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trlProps/ctrlProp5.xml" ContentType="application/vnd.ms-excel.controlproperti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6.xml" ContentType="application/vnd.openxmlformats-officedocument.drawing+xml"/>
  <Override PartName="/xl/ctrlProps/ctrlProp6.xml" ContentType="application/vnd.ms-excel.controlproperties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7.xml" ContentType="application/vnd.openxmlformats-officedocument.drawing+xml"/>
  <Override PartName="/xl/charts/chart33.xml" ContentType="application/vnd.openxmlformats-officedocument.drawingml.chart+xml"/>
  <Override PartName="/xl/drawings/drawing8.xml" ContentType="application/vnd.openxmlformats-officedocument.drawing+xml"/>
  <Override PartName="/xl/ctrlProps/ctrlProp7.xml" ContentType="application/vnd.ms-excel.controlpropertie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9.xml" ContentType="application/vnd.openxmlformats-officedocument.drawing+xml"/>
  <Override PartName="/xl/ctrlProps/ctrlProp8.xml" ContentType="application/vnd.ms-excel.controlpropertie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0.xml" ContentType="application/vnd.openxmlformats-officedocument.drawing+xml"/>
  <Override PartName="/xl/ctrlProps/ctrlProp9.xml" ContentType="application/vnd.ms-excel.controlproperties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1.xml" ContentType="application/vnd.openxmlformats-officedocument.drawing+xml"/>
  <Override PartName="/xl/ctrlProps/ctrlProp10.xml" ContentType="application/vnd.ms-excel.controlpropertie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i\OneDrive\Desktop\sql-sales-analysis\bus  310 p\"/>
    </mc:Choice>
  </mc:AlternateContent>
  <xr:revisionPtr revIDLastSave="0" documentId="13_ncr:1_{268C91A3-1DC8-4738-AE98-95FDBB97F58B}" xr6:coauthVersionLast="47" xr6:coauthVersionMax="47" xr10:uidLastSave="{00000000-0000-0000-0000-000000000000}"/>
  <bookViews>
    <workbookView xWindow="-110" yWindow="-110" windowWidth="19420" windowHeight="10300" firstSheet="24" activeTab="28" xr2:uid="{04222472-DDC6-4B7F-8BAC-9467EA958F74}"/>
  </bookViews>
  <sheets>
    <sheet name="P 8.24" sheetId="7" r:id="rId1"/>
    <sheet name="Linear Regression Output 1" sheetId="8" r:id="rId2"/>
    <sheet name="Sheet8_HID" sheetId="23" state="hidden" r:id="rId3"/>
    <sheet name="Linear Regression Output 2" sheetId="9" r:id="rId4"/>
    <sheet name="Sheet9_HID" sheetId="25" state="hidden" r:id="rId5"/>
    <sheet name="P 8.24 Predictions" sheetId="10" r:id="rId6"/>
    <sheet name="P 8.25" sheetId="11" r:id="rId7"/>
    <sheet name="Linear Regression Output 3" sheetId="13" r:id="rId8"/>
    <sheet name="Sheet12_HID" sheetId="26" state="hidden" r:id="rId9"/>
    <sheet name="Linear Regression Output 4" sheetId="14" r:id="rId10"/>
    <sheet name="Sheet14_HID1" sheetId="29" state="hidden" r:id="rId11"/>
    <sheet name="P 8.25 Prediction" sheetId="12" r:id="rId12"/>
    <sheet name="P 8.26" sheetId="1" r:id="rId13"/>
    <sheet name="Linear Regression Output 5" sheetId="2" r:id="rId14"/>
    <sheet name="Sheet2_HID" sheetId="28" state="hidden" r:id="rId15"/>
    <sheet name="Linear Regression Output 6" sheetId="3" r:id="rId16"/>
    <sheet name="Sheet3_HID" sheetId="30" state="hidden" r:id="rId17"/>
    <sheet name="P 8.26 Answer" sheetId="22" r:id="rId18"/>
    <sheet name="P 8.27" sheetId="15" r:id="rId19"/>
    <sheet name="Linear Regression Output 7" sheetId="16" r:id="rId20"/>
    <sheet name="Sheet16_HID" sheetId="31" state="hidden" r:id="rId21"/>
    <sheet name="Linear Regression Output 8" sheetId="17" r:id="rId22"/>
    <sheet name="Sheet17_HID" sheetId="32" state="hidden" r:id="rId23"/>
    <sheet name="P 8.28" sheetId="4" r:id="rId24"/>
    <sheet name="Linear Regression Output 9" sheetId="5" r:id="rId25"/>
    <sheet name="Sheet5_HID" sheetId="33" state="hidden" r:id="rId26"/>
    <sheet name="Linear Regression Output 10" sheetId="6" r:id="rId27"/>
    <sheet name="Sheet6_HID" sheetId="34" state="hidden" r:id="rId28"/>
    <sheet name="Student Score Report" sheetId="35" r:id="rId29"/>
  </sheets>
  <definedNames>
    <definedName name="tab20251121_062905_RunProcREG_1_69" localSheetId="1" hidden="1">'Linear Regression Output 1'!$A$99:$B$141</definedName>
    <definedName name="tab20251121_062905_RunProcREG_1_78" localSheetId="1" hidden="1">'Linear Regression Output 1'!$A$48:$G$51</definedName>
    <definedName name="tab20251121_062905_RunProcREG_1_89" localSheetId="1" hidden="1">'Linear Regression Output 1'!$A$58:$H$61</definedName>
    <definedName name="tab20251121_062905_RunProcREG_1_91" localSheetId="1" hidden="1">'Linear Regression Output 1'!$A$30:$B$43</definedName>
    <definedName name="tab20251121_062905_RunProcREG_2_69" localSheetId="1" hidden="1">'Linear Regression Output 1'!$C$99:$C$141</definedName>
    <definedName name="tab20251121_062905_RunProcREG_2_89" localSheetId="1" hidden="1">'Linear Regression Output 1'!$A$72:$H$74</definedName>
    <definedName name="tab20251121_062905_RunProcREG_3_69" localSheetId="1" hidden="1">'Linear Regression Output 1'!$D$99:$D$141</definedName>
    <definedName name="tab20251121_062905_RunProcREG_4_69" localSheetId="1" hidden="1">'Linear Regression Output 1'!$E$99:$F$141</definedName>
    <definedName name="tab20251121_062905_RunProcREG_5_69" localSheetId="1" hidden="1">'Linear Regression Output 1'!$G$99:$L$141</definedName>
    <definedName name="tab20251121_072313_RunProcREG_1_69" localSheetId="3" hidden="1">'Linear Regression Output 2'!$A$93:$B$135</definedName>
    <definedName name="tab20251121_072313_RunProcREG_1_78" localSheetId="3" hidden="1">'Linear Regression Output 2'!$A$44:$G$47</definedName>
    <definedName name="tab20251121_072313_RunProcREG_1_89" localSheetId="3" hidden="1">'Linear Regression Output 2'!$A$54:$H$56</definedName>
    <definedName name="tab20251121_072313_RunProcREG_1_91" localSheetId="3" hidden="1">'Linear Regression Output 2'!$A$26:$B$39</definedName>
    <definedName name="tab20251121_072313_RunProcREG_2_69" localSheetId="3" hidden="1">'Linear Regression Output 2'!$C$93:$C$135</definedName>
    <definedName name="tab20251121_072313_RunProcREG_2_89" localSheetId="3" hidden="1">'Linear Regression Output 2'!$A$67:$H$68</definedName>
    <definedName name="tab20251121_072313_RunProcREG_3_69" localSheetId="3" hidden="1">'Linear Regression Output 2'!$D$93:$D$135</definedName>
    <definedName name="tab20251121_072313_RunProcREG_4_69" localSheetId="3" hidden="1">'Linear Regression Output 2'!$E$93:$E$135</definedName>
    <definedName name="tab20251121_072313_RunProcREG_5_69" localSheetId="3" hidden="1">'Linear Regression Output 2'!$F$93:$G$135</definedName>
    <definedName name="tab20251121_072313_RunProcREG_6_69" localSheetId="3" hidden="1">'Linear Regression Output 2'!$H$93:$M$135</definedName>
    <definedName name="tab20251121_072856_RunProcREG_1_69" localSheetId="7" hidden="1">'Linear Regression Output 3'!$A$111:$B$136</definedName>
    <definedName name="tab20251121_072856_RunProcREG_1_78" localSheetId="7" hidden="1">'Linear Regression Output 3'!$A$54:$G$57</definedName>
    <definedName name="tab20251121_072856_RunProcREG_1_89" localSheetId="7" hidden="1">'Linear Regression Output 3'!$A$64:$H$70</definedName>
    <definedName name="tab20251121_072856_RunProcREG_1_91" localSheetId="7" hidden="1">'Linear Regression Output 3'!$A$36:$B$49</definedName>
    <definedName name="tab20251121_072856_RunProcREG_2_69" localSheetId="7" hidden="1">'Linear Regression Output 3'!$C$111:$C$136</definedName>
    <definedName name="tab20251121_072856_RunProcREG_2_89" localSheetId="7" hidden="1">'Linear Regression Output 3'!$A$81:$H$86</definedName>
    <definedName name="tab20251121_072856_RunProcREG_3_69" localSheetId="7" hidden="1">'Linear Regression Output 3'!$D$111:$D$136</definedName>
    <definedName name="tab20251121_072856_RunProcREG_4_69" localSheetId="7" hidden="1">'Linear Regression Output 3'!$E$111:$F$136</definedName>
    <definedName name="tab20251121_072856_RunProcREG_5_69" localSheetId="7" hidden="1">'Linear Regression Output 3'!$G$111:$L$136</definedName>
    <definedName name="tab20251121_073639_RunProcREG_1_69" localSheetId="13" hidden="1">'Linear Regression Output 5'!$A$121:$B$153</definedName>
    <definedName name="tab20251121_073639_RunProcREG_1_78" localSheetId="13" hidden="1">'Linear Regression Output 5'!$A$58:$G$61</definedName>
    <definedName name="tab20251121_073639_RunProcREG_1_89" localSheetId="13" hidden="1">'Linear Regression Output 5'!$A$68:$H$77</definedName>
    <definedName name="tab20251121_073639_RunProcREG_1_91" localSheetId="13" hidden="1">'Linear Regression Output 5'!$A$40:$B$53</definedName>
    <definedName name="tab20251121_073639_RunProcREG_2_69" localSheetId="13" hidden="1">'Linear Regression Output 5'!$C$121:$C$153</definedName>
    <definedName name="tab20251121_073639_RunProcREG_2_89" localSheetId="13" hidden="1">'Linear Regression Output 5'!$A$88:$H$96</definedName>
    <definedName name="tab20251121_073639_RunProcREG_3_69" localSheetId="13" hidden="1">'Linear Regression Output 5'!$D$121:$D$153</definedName>
    <definedName name="tab20251121_073639_RunProcREG_4_69" localSheetId="13" hidden="1">'Linear Regression Output 5'!$E$121:$F$153</definedName>
    <definedName name="tab20251121_073639_RunProcREG_5_69" localSheetId="13" hidden="1">'Linear Regression Output 5'!$G$121:$L$153</definedName>
    <definedName name="tab20251121_074706_RunProcREG_1_69" localSheetId="9" hidden="1">'Linear Regression Output 4'!$A$105:$B$130</definedName>
    <definedName name="tab20251121_074706_RunProcREG_1_78" localSheetId="9" hidden="1">'Linear Regression Output 4'!$A$50:$G$53</definedName>
    <definedName name="tab20251121_074706_RunProcREG_1_89" localSheetId="9" hidden="1">'Linear Regression Output 4'!$A$60:$H$65</definedName>
    <definedName name="tab20251121_074706_RunProcREG_1_91" localSheetId="9" hidden="1">'Linear Regression Output 4'!$A$32:$B$45</definedName>
    <definedName name="tab20251121_074706_RunProcREG_2_69" localSheetId="9" hidden="1">'Linear Regression Output 4'!$C$105:$C$130</definedName>
    <definedName name="tab20251121_074706_RunProcREG_2_89" localSheetId="9" hidden="1">'Linear Regression Output 4'!$A$76:$H$80</definedName>
    <definedName name="tab20251121_074706_RunProcREG_3_69" localSheetId="9" hidden="1">'Linear Regression Output 4'!$D$105:$D$130</definedName>
    <definedName name="tab20251121_074706_RunProcREG_4_69" localSheetId="9" hidden="1">'Linear Regression Output 4'!$E$105:$F$130</definedName>
    <definedName name="tab20251121_074706_RunProcREG_5_69" localSheetId="9" hidden="1">'Linear Regression Output 4'!$G$105:$L$130</definedName>
    <definedName name="tab20251121_075059_RunProcREG_1_69" localSheetId="15" hidden="1">'Linear Regression Output 6'!$A$97:$B$129</definedName>
    <definedName name="tab20251121_075059_RunProcREG_1_78" localSheetId="15" hidden="1">'Linear Regression Output 6'!$A$46:$G$49</definedName>
    <definedName name="tab20251121_075059_RunProcREG_1_89" localSheetId="15" hidden="1">'Linear Regression Output 6'!$A$56:$H$59</definedName>
    <definedName name="tab20251121_075059_RunProcREG_1_91" localSheetId="15" hidden="1">'Linear Regression Output 6'!$A$28:$B$41</definedName>
    <definedName name="tab20251121_075059_RunProcREG_2_69" localSheetId="15" hidden="1">'Linear Regression Output 6'!$C$97:$C$129</definedName>
    <definedName name="tab20251121_075059_RunProcREG_2_89" localSheetId="15" hidden="1">'Linear Regression Output 6'!$A$70:$H$72</definedName>
    <definedName name="tab20251121_075059_RunProcREG_3_69" localSheetId="15" hidden="1">'Linear Regression Output 6'!$D$97:$D$129</definedName>
    <definedName name="tab20251121_075059_RunProcREG_4_69" localSheetId="15" hidden="1">'Linear Regression Output 6'!$E$97:$F$129</definedName>
    <definedName name="tab20251121_075059_RunProcREG_5_69" localSheetId="15" hidden="1">'Linear Regression Output 6'!$G$97:$L$129</definedName>
    <definedName name="tab20251121_075700_RunProcREG_1_69" localSheetId="19" hidden="1">'Linear Regression Output 7'!$A$105:$B$172</definedName>
    <definedName name="tab20251121_075700_RunProcREG_1_78" localSheetId="19" hidden="1">'Linear Regression Output 7'!$A$50:$G$53</definedName>
    <definedName name="tab20251121_075700_RunProcREG_1_89" localSheetId="19" hidden="1">'Linear Regression Output 7'!$A$60:$H$65</definedName>
    <definedName name="tab20251121_075700_RunProcREG_1_91" localSheetId="19" hidden="1">'Linear Regression Output 7'!$A$32:$B$45</definedName>
    <definedName name="tab20251121_075700_RunProcREG_2_69" localSheetId="19" hidden="1">'Linear Regression Output 7'!$C$105:$C$172</definedName>
    <definedName name="tab20251121_075700_RunProcREG_2_89" localSheetId="19" hidden="1">'Linear Regression Output 7'!$A$76:$H$80</definedName>
    <definedName name="tab20251121_075700_RunProcREG_3_69" localSheetId="19" hidden="1">'Linear Regression Output 7'!$D$105:$D$172</definedName>
    <definedName name="tab20251121_075700_RunProcREG_4_69" localSheetId="19" hidden="1">'Linear Regression Output 7'!$E$105:$F$172</definedName>
    <definedName name="tab20251121_075700_RunProcREG_5_69" localSheetId="19" hidden="1">'Linear Regression Output 7'!$G$105:$L$172</definedName>
    <definedName name="tab20251121_075848_RunProcREG_1_69" localSheetId="21" hidden="1">'Linear Regression Output 8'!$A$97:$B$164</definedName>
    <definedName name="tab20251121_075848_RunProcREG_1_78" localSheetId="21" hidden="1">'Linear Regression Output 8'!$A$46:$G$49</definedName>
    <definedName name="tab20251121_075848_RunProcREG_1_89" localSheetId="21" hidden="1">'Linear Regression Output 8'!$A$56:$H$59</definedName>
    <definedName name="tab20251121_075848_RunProcREG_1_91" localSheetId="21" hidden="1">'Linear Regression Output 8'!$A$28:$B$41</definedName>
    <definedName name="tab20251121_075848_RunProcREG_2_69" localSheetId="21" hidden="1">'Linear Regression Output 8'!$C$97:$C$164</definedName>
    <definedName name="tab20251121_075848_RunProcREG_2_89" localSheetId="21" hidden="1">'Linear Regression Output 8'!$A$70:$H$72</definedName>
    <definedName name="tab20251121_075848_RunProcREG_3_69" localSheetId="21" hidden="1">'Linear Regression Output 8'!$D$97:$D$164</definedName>
    <definedName name="tab20251121_075848_RunProcREG_4_69" localSheetId="21" hidden="1">'Linear Regression Output 8'!$E$97:$F$164</definedName>
    <definedName name="tab20251121_075848_RunProcREG_5_69" localSheetId="21" hidden="1">'Linear Regression Output 8'!$G$97:$L$164</definedName>
    <definedName name="tab20251121_080007_RunProcREG_1_69" localSheetId="24" hidden="1">'Linear Regression Output 9'!$A$101:$B$201</definedName>
    <definedName name="tab20251121_080007_RunProcREG_1_78" localSheetId="24" hidden="1">'Linear Regression Output 9'!$A$48:$G$51</definedName>
    <definedName name="tab20251121_080007_RunProcREG_1_89" localSheetId="24" hidden="1">'Linear Regression Output 9'!$A$58:$H$62</definedName>
    <definedName name="tab20251121_080007_RunProcREG_1_91" localSheetId="24" hidden="1">'Linear Regression Output 9'!$A$30:$B$43</definedName>
    <definedName name="tab20251121_080007_RunProcREG_2_69" localSheetId="24" hidden="1">'Linear Regression Output 9'!$C$101:$C$201</definedName>
    <definedName name="tab20251121_080007_RunProcREG_2_89" localSheetId="24" hidden="1">'Linear Regression Output 9'!$A$73:$H$76</definedName>
    <definedName name="tab20251121_080007_RunProcREG_3_69" localSheetId="24" hidden="1">'Linear Regression Output 9'!$D$101:$D$201</definedName>
    <definedName name="tab20251121_080007_RunProcREG_4_69" localSheetId="24" hidden="1">'Linear Regression Output 9'!$E$101:$F$201</definedName>
    <definedName name="tab20251121_080007_RunProcREG_5_69" localSheetId="24" hidden="1">'Linear Regression Output 9'!$G$101:$L$201</definedName>
    <definedName name="tab20251121_080148_RunProcREG_1_69" localSheetId="26" hidden="1">'Linear Regression Output 10'!$A$97:$B$197</definedName>
    <definedName name="tab20251121_080148_RunProcREG_1_78" localSheetId="26" hidden="1">'Linear Regression Output 10'!$A$46:$G$49</definedName>
    <definedName name="tab20251121_080148_RunProcREG_1_89" localSheetId="26" hidden="1">'Linear Regression Output 10'!$A$56:$H$59</definedName>
    <definedName name="tab20251121_080148_RunProcREG_1_91" localSheetId="26" hidden="1">'Linear Regression Output 10'!$A$28:$B$41</definedName>
    <definedName name="tab20251121_080148_RunProcREG_2_69" localSheetId="26" hidden="1">'Linear Regression Output 10'!$C$97:$C$197</definedName>
    <definedName name="tab20251121_080148_RunProcREG_2_89" localSheetId="26" hidden="1">'Linear Regression Output 10'!$A$70:$H$72</definedName>
    <definedName name="tab20251121_080148_RunProcREG_3_69" localSheetId="26" hidden="1">'Linear Regression Output 10'!$D$97:$D$197</definedName>
    <definedName name="tab20251121_080148_RunProcREG_4_69" localSheetId="26" hidden="1">'Linear Regression Output 10'!$E$97:$F$197</definedName>
    <definedName name="tab20251121_080148_RunProcREG_5_69" localSheetId="26" hidden="1">'Linear Regression Output 10'!$G$97:$L$197</definedName>
    <definedName name="xdata1" localSheetId="8" hidden="1">Sheet12_HID!$C$1:$C$70</definedName>
    <definedName name="xdata1" localSheetId="10" hidden="1">Sheet14_HID1!$C$1:$C$70</definedName>
    <definedName name="xdata1" localSheetId="20" hidden="1">Sheet16_HID!$C$1:$C$70</definedName>
    <definedName name="xdata1" localSheetId="22" hidden="1">Sheet17_HID!$C$1:$C$70</definedName>
    <definedName name="xdata1" localSheetId="14" hidden="1">Sheet2_HID!$C$1:$C$70</definedName>
    <definedName name="xdata1" localSheetId="16" hidden="1">Sheet3_HID!$C$1:$C$70</definedName>
    <definedName name="xdata1" localSheetId="25" hidden="1">Sheet5_HID!$C$1:$C$70</definedName>
    <definedName name="xdata1" localSheetId="27" hidden="1">Sheet6_HID!$C$1:$C$70</definedName>
    <definedName name="xdata1" localSheetId="2" hidden="1">Sheet8_HID!$C$1:$C$70</definedName>
    <definedName name="xdata1" localSheetId="4" hidden="1">Sheet9_HID!$C$1:$C$70</definedName>
    <definedName name="xdata2" localSheetId="8" hidden="1">Sheet12_HID!$G$1:$G$70</definedName>
    <definedName name="xdata2" localSheetId="10" hidden="1">Sheet14_HID1!$G$1:$G$70</definedName>
    <definedName name="xdata2" localSheetId="20" hidden="1">Sheet16_HID!$G$1:$G$70</definedName>
    <definedName name="xdata2" localSheetId="22" hidden="1">Sheet17_HID!$G$1:$G$70</definedName>
    <definedName name="xdata2" localSheetId="14" hidden="1">Sheet2_HID!$G$1:$G$70</definedName>
    <definedName name="xdata2" localSheetId="16" hidden="1">Sheet3_HID!$G$1:$G$70</definedName>
    <definedName name="xdata2" localSheetId="25" hidden="1">Sheet5_HID!$G$1:$G$70</definedName>
    <definedName name="xdata2" localSheetId="27" hidden="1">Sheet6_HID!$G$1:$G$70</definedName>
    <definedName name="xdata2" localSheetId="2" hidden="1">Sheet8_HID!$G$1:$G$70</definedName>
    <definedName name="xdata2" localSheetId="4" hidden="1">Sheet9_HID!$G$1:$G$70</definedName>
    <definedName name="xdata3" localSheetId="4" hidden="1">Sheet9_HID!$K$1:$K$100</definedName>
    <definedName name="xdata3" hidden="1">82839.6996171616+(ROW(OFFSET(#REF!,0,0,70,1))-1)*812.981089581519</definedName>
    <definedName name="xdata4" localSheetId="4" hidden="1">Sheet9_HID!$O$1:$O$100</definedName>
    <definedName name="xdata4" hidden="1">67285.291879824+(ROW(OFFSET(#REF!,0,0,70,1))-1)*1038.40728867337</definedName>
    <definedName name="xdata5" localSheetId="4" hidden="1">Sheet9_HID!$S$1:$S$70</definedName>
    <definedName name="xdata6" localSheetId="4" hidden="1">Sheet9_HID!$W$1:$W$70</definedName>
    <definedName name="ydata1" localSheetId="8" hidden="1">Sheet12_HID!$D$1:$D$70</definedName>
    <definedName name="ydata1" localSheetId="10" hidden="1">Sheet14_HID1!$D$1:$D$70</definedName>
    <definedName name="ydata1" localSheetId="20" hidden="1">Sheet16_HID!$D$1:$D$70</definedName>
    <definedName name="ydata1" localSheetId="22" hidden="1">Sheet17_HID!$D$1:$D$70</definedName>
    <definedName name="ydata1" localSheetId="14" hidden="1">Sheet2_HID!$D$1:$D$70</definedName>
    <definedName name="ydata1" localSheetId="16" hidden="1">Sheet3_HID!$D$1:$D$70</definedName>
    <definedName name="ydata1" localSheetId="25" hidden="1">Sheet5_HID!$D$1:$D$70</definedName>
    <definedName name="ydata1" localSheetId="27" hidden="1">Sheet6_HID!$D$1:$D$70</definedName>
    <definedName name="ydata1" localSheetId="2" hidden="1">Sheet8_HID!$D$1:$D$70</definedName>
    <definedName name="ydata1" localSheetId="4" hidden="1">Sheet9_HID!$D$1:$D$70</definedName>
    <definedName name="ydata2" localSheetId="8" hidden="1">Sheet12_HID!$H$1:$H$70</definedName>
    <definedName name="ydata2" localSheetId="10" hidden="1">Sheet14_HID1!$H$1:$H$70</definedName>
    <definedName name="ydata2" localSheetId="20" hidden="1">Sheet16_HID!$H$1:$H$70</definedName>
    <definedName name="ydata2" localSheetId="22" hidden="1">Sheet17_HID!$H$1:$H$70</definedName>
    <definedName name="ydata2" localSheetId="14" hidden="1">Sheet2_HID!$H$1:$H$70</definedName>
    <definedName name="ydata2" localSheetId="16" hidden="1">Sheet3_HID!$H$1:$H$70</definedName>
    <definedName name="ydata2" localSheetId="25" hidden="1">Sheet5_HID!$H$1:$H$70</definedName>
    <definedName name="ydata2" localSheetId="27" hidden="1">Sheet6_HID!$H$1:$H$70</definedName>
    <definedName name="ydata2" localSheetId="2" hidden="1">Sheet8_HID!$H$1:$H$70</definedName>
    <definedName name="ydata2" localSheetId="4" hidden="1">Sheet9_HID!$H$1:$H$70</definedName>
    <definedName name="ydata3" localSheetId="4" hidden="1">Sheet9_HID!$L$1:$L$100</definedName>
    <definedName name="ydata3" hidden="1">32673.219897243+35.0363725834721*Sheet8_HID!xdata2-14729.0370242134*(1.02380952380952+(Sheet8_HID!xdata2-1695.2619047619)^2/1989034.11904762)^0.5</definedName>
    <definedName name="ydata4" localSheetId="4" hidden="1">Sheet9_HID!$P$1:$P$100</definedName>
    <definedName name="ydata4" hidden="1">32673.219897243+35.0363725834721*Sheet8_HID!xdata2+14729.0370242134*(1.02380952380952+(Sheet8_HID!xdata2-1695.2619047619)^2/1989034.11904762)^0.5</definedName>
    <definedName name="ydata5" localSheetId="4" hidden="1">Sheet9_HID!$T$1:$T$70</definedName>
    <definedName name="ydata5" hidden="1">0+1*[0]!xdata3-14729.0370242134*(1.02380952380952+([0]!xdata3-92069.0476190476)^2/2441633668.92218)^0.5</definedName>
    <definedName name="ydata6" localSheetId="4" hidden="1">Sheet9_HID!$X$1:$X$70</definedName>
    <definedName name="ydata6" hidden="1">0+1*[0]!xdata4+14729.0370242134*(1.02380952380952+([0]!xdata4-92069.0476190476)^2/2441633668.92218)^0.5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2" l="1"/>
  <c r="H1" i="34"/>
  <c r="H2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G1" i="34"/>
  <c r="G2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D1" i="34"/>
  <c r="D2" i="34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C1" i="34"/>
  <c r="C2" i="34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H1" i="33"/>
  <c r="H2" i="33"/>
  <c r="H3" i="33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G1" i="33"/>
  <c r="G2" i="33"/>
  <c r="G3" i="33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D1" i="33"/>
  <c r="D2" i="33"/>
  <c r="D3" i="33"/>
  <c r="D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C1" i="33"/>
  <c r="C2" i="33"/>
  <c r="C3" i="33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H1" i="32"/>
  <c r="H2" i="32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H69" i="32"/>
  <c r="H70" i="32"/>
  <c r="G1" i="32"/>
  <c r="G2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D1" i="32"/>
  <c r="D2" i="32"/>
  <c r="D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C1" i="32"/>
  <c r="C2" i="32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H1" i="31"/>
  <c r="H2" i="31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G1" i="31"/>
  <c r="G2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D1" i="31"/>
  <c r="D2" i="31"/>
  <c r="D3" i="3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C1" i="31"/>
  <c r="C2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H1" i="30"/>
  <c r="H2" i="30"/>
  <c r="H3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G1" i="30"/>
  <c r="G2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D1" i="30"/>
  <c r="D2" i="30"/>
  <c r="D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C1" i="30"/>
  <c r="C2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H1" i="29"/>
  <c r="H2" i="29"/>
  <c r="H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G1" i="29"/>
  <c r="G2" i="29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D1" i="29"/>
  <c r="D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C1" i="29"/>
  <c r="C2" i="29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H1" i="28"/>
  <c r="H2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G1" i="28"/>
  <c r="G2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D1" i="28"/>
  <c r="D2" i="28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C1" i="28"/>
  <c r="C2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H1" i="26"/>
  <c r="H2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G1" i="26"/>
  <c r="G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D1" i="26"/>
  <c r="D2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C1" i="26"/>
  <c r="C2" i="26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G6" i="10"/>
  <c r="C6" i="10"/>
  <c r="X1" i="25"/>
  <c r="X2" i="25"/>
  <c r="X3" i="25"/>
  <c r="X4" i="25"/>
  <c r="X5" i="25"/>
  <c r="X6" i="25"/>
  <c r="X7" i="25"/>
  <c r="X8" i="25"/>
  <c r="X9" i="25"/>
  <c r="X10" i="25"/>
  <c r="X11" i="25"/>
  <c r="X12" i="25"/>
  <c r="X13" i="25"/>
  <c r="X14" i="25"/>
  <c r="X15" i="25"/>
  <c r="X16" i="25"/>
  <c r="X17" i="25"/>
  <c r="X18" i="25"/>
  <c r="X19" i="25"/>
  <c r="X20" i="25"/>
  <c r="X21" i="25"/>
  <c r="X22" i="25"/>
  <c r="X23" i="25"/>
  <c r="X24" i="25"/>
  <c r="X25" i="25"/>
  <c r="X26" i="25"/>
  <c r="X27" i="25"/>
  <c r="X28" i="25"/>
  <c r="X29" i="25"/>
  <c r="X30" i="25"/>
  <c r="X31" i="25"/>
  <c r="X32" i="25"/>
  <c r="X33" i="25"/>
  <c r="X34" i="25"/>
  <c r="X35" i="25"/>
  <c r="X36" i="25"/>
  <c r="X37" i="25"/>
  <c r="X38" i="25"/>
  <c r="X39" i="25"/>
  <c r="X40" i="25"/>
  <c r="X41" i="25"/>
  <c r="X42" i="25"/>
  <c r="X43" i="25"/>
  <c r="X44" i="25"/>
  <c r="X45" i="25"/>
  <c r="X46" i="25"/>
  <c r="X47" i="25"/>
  <c r="X48" i="25"/>
  <c r="X49" i="25"/>
  <c r="X50" i="25"/>
  <c r="X51" i="25"/>
  <c r="X52" i="25"/>
  <c r="X53" i="25"/>
  <c r="X54" i="25"/>
  <c r="X55" i="25"/>
  <c r="X56" i="25"/>
  <c r="X57" i="25"/>
  <c r="X58" i="25"/>
  <c r="X59" i="25"/>
  <c r="X60" i="25"/>
  <c r="X61" i="25"/>
  <c r="X62" i="25"/>
  <c r="X63" i="25"/>
  <c r="X64" i="25"/>
  <c r="X65" i="25"/>
  <c r="X66" i="25"/>
  <c r="X67" i="25"/>
  <c r="X68" i="25"/>
  <c r="X69" i="25"/>
  <c r="X70" i="25"/>
  <c r="W1" i="25"/>
  <c r="W2" i="25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65" i="25"/>
  <c r="W66" i="25"/>
  <c r="W67" i="25"/>
  <c r="W68" i="25"/>
  <c r="W69" i="25"/>
  <c r="W70" i="25"/>
  <c r="T1" i="25"/>
  <c r="T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T33" i="25"/>
  <c r="T34" i="25"/>
  <c r="T35" i="25"/>
  <c r="T36" i="25"/>
  <c r="T37" i="25"/>
  <c r="T38" i="25"/>
  <c r="T39" i="25"/>
  <c r="T40" i="25"/>
  <c r="T41" i="25"/>
  <c r="T42" i="25"/>
  <c r="T43" i="25"/>
  <c r="T44" i="25"/>
  <c r="T45" i="25"/>
  <c r="T46" i="25"/>
  <c r="T47" i="25"/>
  <c r="T48" i="25"/>
  <c r="T49" i="25"/>
  <c r="T50" i="25"/>
  <c r="T51" i="25"/>
  <c r="T52" i="25"/>
  <c r="T53" i="25"/>
  <c r="T54" i="25"/>
  <c r="T55" i="25"/>
  <c r="T56" i="25"/>
  <c r="T57" i="25"/>
  <c r="T58" i="25"/>
  <c r="T59" i="25"/>
  <c r="T60" i="25"/>
  <c r="T61" i="25"/>
  <c r="T62" i="25"/>
  <c r="T63" i="25"/>
  <c r="T64" i="25"/>
  <c r="T65" i="25"/>
  <c r="T66" i="25"/>
  <c r="T67" i="25"/>
  <c r="T68" i="25"/>
  <c r="T69" i="25"/>
  <c r="T70" i="25"/>
  <c r="S1" i="25"/>
  <c r="S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55" i="25"/>
  <c r="S56" i="25"/>
  <c r="S57" i="25"/>
  <c r="S58" i="25"/>
  <c r="S59" i="25"/>
  <c r="S60" i="25"/>
  <c r="S61" i="25"/>
  <c r="S62" i="25"/>
  <c r="S63" i="25"/>
  <c r="S64" i="25"/>
  <c r="S65" i="25"/>
  <c r="S66" i="25"/>
  <c r="S67" i="25"/>
  <c r="S68" i="25"/>
  <c r="S69" i="25"/>
  <c r="S70" i="25"/>
  <c r="P1" i="25"/>
  <c r="P2" i="25"/>
  <c r="P3" i="25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P40" i="25"/>
  <c r="P41" i="25"/>
  <c r="P42" i="25"/>
  <c r="P43" i="25"/>
  <c r="P44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P77" i="25"/>
  <c r="P78" i="25"/>
  <c r="P79" i="25"/>
  <c r="P80" i="25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O1" i="25"/>
  <c r="O2" i="25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L1" i="25"/>
  <c r="L2" i="25"/>
  <c r="L3" i="25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65" i="25"/>
  <c r="L66" i="25"/>
  <c r="L67" i="25"/>
  <c r="L68" i="25"/>
  <c r="L69" i="25"/>
  <c r="L70" i="25"/>
  <c r="L71" i="25"/>
  <c r="L72" i="25"/>
  <c r="L73" i="25"/>
  <c r="L74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89" i="25"/>
  <c r="L90" i="25"/>
  <c r="L91" i="25"/>
  <c r="L92" i="25"/>
  <c r="L93" i="25"/>
  <c r="L94" i="25"/>
  <c r="L95" i="25"/>
  <c r="L96" i="25"/>
  <c r="L97" i="25"/>
  <c r="L98" i="25"/>
  <c r="L99" i="25"/>
  <c r="L100" i="25"/>
  <c r="K1" i="25"/>
  <c r="K2" i="25"/>
  <c r="K3" i="25"/>
  <c r="K4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K82" i="25"/>
  <c r="K83" i="25"/>
  <c r="K84" i="25"/>
  <c r="K85" i="25"/>
  <c r="K86" i="25"/>
  <c r="K87" i="25"/>
  <c r="K88" i="25"/>
  <c r="K89" i="25"/>
  <c r="K90" i="25"/>
  <c r="K91" i="25"/>
  <c r="K92" i="25"/>
  <c r="K93" i="25"/>
  <c r="K94" i="25"/>
  <c r="K95" i="25"/>
  <c r="K96" i="25"/>
  <c r="K97" i="25"/>
  <c r="K98" i="25"/>
  <c r="K99" i="25"/>
  <c r="K100" i="25"/>
  <c r="H1" i="25"/>
  <c r="H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G1" i="25"/>
  <c r="G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D1" i="25"/>
  <c r="D2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C1" i="25"/>
  <c r="C2" i="25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H1" i="23"/>
  <c r="H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G1" i="23"/>
  <c r="G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D1" i="23"/>
  <c r="D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C1" i="23"/>
  <c r="C2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</calcChain>
</file>

<file path=xl/sharedStrings.xml><?xml version="1.0" encoding="utf-8"?>
<sst xmlns="http://schemas.openxmlformats.org/spreadsheetml/2006/main" count="2069" uniqueCount="390">
  <si>
    <t>Department</t>
  </si>
  <si>
    <t>Years</t>
  </si>
  <si>
    <t>Ideas</t>
  </si>
  <si>
    <t>Communication</t>
  </si>
  <si>
    <t>Recognition</t>
  </si>
  <si>
    <t>Training</t>
  </si>
  <si>
    <t>Work Conditions</t>
  </si>
  <si>
    <t>Tools and Information</t>
  </si>
  <si>
    <t>Work/Life Balance</t>
  </si>
  <si>
    <t>Satisfaction</t>
  </si>
  <si>
    <t>Management</t>
  </si>
  <si>
    <t>Administrative</t>
  </si>
  <si>
    <t>Production</t>
  </si>
  <si>
    <t>Quality Control</t>
  </si>
  <si>
    <t>Maintenance</t>
  </si>
  <si>
    <t>Shipping / Receiving</t>
  </si>
  <si>
    <t>Intercept</t>
  </si>
  <si>
    <t>Current Salary</t>
  </si>
  <si>
    <t>Beginning Salary</t>
  </si>
  <si>
    <t>Previous Experience (months)</t>
  </si>
  <si>
    <t>Education (years)</t>
  </si>
  <si>
    <t>Employee Number</t>
  </si>
  <si>
    <t>House Age</t>
  </si>
  <si>
    <t>Square Feet</t>
  </si>
  <si>
    <t>Market Value</t>
  </si>
  <si>
    <t>Record ID</t>
  </si>
  <si>
    <t>Model Components</t>
  </si>
  <si>
    <t>Coefficients Values</t>
  </si>
  <si>
    <t>Prediction 1</t>
  </si>
  <si>
    <t>New I.V. Value</t>
  </si>
  <si>
    <t>Predicted Value =</t>
  </si>
  <si>
    <t>Prediction 2</t>
  </si>
  <si>
    <t>City</t>
  </si>
  <si>
    <t>Comparative Salary</t>
  </si>
  <si>
    <t>Groceries</t>
  </si>
  <si>
    <t>Housing</t>
  </si>
  <si>
    <t>Utilities</t>
  </si>
  <si>
    <t>Transportation</t>
  </si>
  <si>
    <t>Healthcare</t>
  </si>
  <si>
    <t>Atlanta</t>
  </si>
  <si>
    <t>Austin</t>
  </si>
  <si>
    <t>Boston</t>
  </si>
  <si>
    <t>Charleston</t>
  </si>
  <si>
    <t>Charlotte</t>
  </si>
  <si>
    <t>Chicago</t>
  </si>
  <si>
    <t>Columbus</t>
  </si>
  <si>
    <t>Dallas</t>
  </si>
  <si>
    <t>DC</t>
  </si>
  <si>
    <t>Denver</t>
  </si>
  <si>
    <t xml:space="preserve">Detroit </t>
  </si>
  <si>
    <t>Indianapolis</t>
  </si>
  <si>
    <t>Los Angeles</t>
  </si>
  <si>
    <t>Lousiville</t>
  </si>
  <si>
    <t>Minneapolis</t>
  </si>
  <si>
    <t>New Orleans</t>
  </si>
  <si>
    <t>New York</t>
  </si>
  <si>
    <t>Philadelphia</t>
  </si>
  <si>
    <t>Phoenix</t>
  </si>
  <si>
    <t>Pittsburgh</t>
  </si>
  <si>
    <t>Portland</t>
  </si>
  <si>
    <t>San Diego</t>
  </si>
  <si>
    <t>San Francisco</t>
  </si>
  <si>
    <t>Seattle</t>
  </si>
  <si>
    <t xml:space="preserve">St. Louis </t>
  </si>
  <si>
    <t>Prediction</t>
  </si>
  <si>
    <t>Calories</t>
  </si>
  <si>
    <t>Carbs</t>
  </si>
  <si>
    <t>Sugars</t>
  </si>
  <si>
    <t>Fiber</t>
  </si>
  <si>
    <t>Sodium</t>
  </si>
  <si>
    <t>Sample ID</t>
  </si>
  <si>
    <t>High</t>
  </si>
  <si>
    <t>Significant</t>
  </si>
  <si>
    <t>Not significant</t>
  </si>
  <si>
    <t>Medium</t>
  </si>
  <si>
    <t>Predicted Salry =</t>
  </si>
  <si>
    <t>Low</t>
  </si>
  <si>
    <t>Remember For "Predictive Power" descriptive terms, use one of the following:</t>
  </si>
  <si>
    <t>Remember For the P Value Assessment, use one of the following:</t>
  </si>
  <si>
    <t>Is the "full model" statistically significant? Yes or No</t>
  </si>
  <si>
    <t>For the initial linear regression model:</t>
  </si>
  <si>
    <t>For the final linear regression model:</t>
  </si>
  <si>
    <t>How many independent variables are not statistical significant?</t>
  </si>
  <si>
    <t>How many independent variables remain in the regression model?</t>
  </si>
  <si>
    <t>What is the predictive power of the regression model?</t>
  </si>
  <si>
    <t>Answer in cell A2 below:  What managerial implications does your result have? (No scatter plot needed)</t>
  </si>
  <si>
    <t>Y / Dependent variables: Workbook = Homework 9 BUS 310 (Empty).xlsx / Sheet = P 8.24 / Range = 'P 8.24'!$D$4:$D$46 / 42 rows and 1 column</t>
  </si>
  <si>
    <t>X / Quantitative: Workbook = Homework 9 BUS 310 (Empty).xlsx / Sheet = P 8.24 / Range = 'P 8.24'!$B$4:$C$46 / 42 rows and 2 columns</t>
  </si>
  <si>
    <t>Confidence interval (%): 95</t>
  </si>
  <si>
    <t>Tolerance: 0.0001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</si>
  <si>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</si>
  <si>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</si>
  <si>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</si>
  <si>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</si>
  <si>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</si>
  <si>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</si>
  <si>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</si>
  <si>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</si>
  <si>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</si>
  <si>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Correlation matrix:</t>
  </si>
  <si>
    <t>Regression of variable Market Value:</t>
  </si>
  <si>
    <t>Goodness of fit statistics (Market Value):</t>
  </si>
  <si>
    <t>Sum of weights</t>
  </si>
  <si>
    <t>DF</t>
  </si>
  <si>
    <t>R²</t>
  </si>
  <si>
    <t>Adjusted R²</t>
  </si>
  <si>
    <t>MSE</t>
  </si>
  <si>
    <t>RMSE</t>
  </si>
  <si>
    <t>MAPE</t>
  </si>
  <si>
    <t>DW</t>
  </si>
  <si>
    <t>Cp</t>
  </si>
  <si>
    <t>AIC</t>
  </si>
  <si>
    <t>AICC</t>
  </si>
  <si>
    <t>SBC</t>
  </si>
  <si>
    <t>PC</t>
  </si>
  <si>
    <t>Analysis of variance (Market Value):</t>
  </si>
  <si>
    <t>Source</t>
  </si>
  <si>
    <t>Sum of squares</t>
  </si>
  <si>
    <t>Mean squares</t>
  </si>
  <si>
    <t>F</t>
  </si>
  <si>
    <t>Pr &gt; F</t>
  </si>
  <si>
    <t>p-values signification codes</t>
  </si>
  <si>
    <t>Model</t>
  </si>
  <si>
    <t>Error</t>
  </si>
  <si>
    <t>Corrected Total</t>
  </si>
  <si>
    <t>***</t>
  </si>
  <si>
    <t/>
  </si>
  <si>
    <t>Computed against model Y=Mean(Y)</t>
  </si>
  <si>
    <t>Signification codes: 0 &lt; *** &lt; 0.001 &lt; ** &lt; 0.01 &lt; * &lt; 0.05 &lt; . &lt; 0.1 &lt; ° &lt; 1</t>
  </si>
  <si>
    <t>Model parameters (Market Value):</t>
  </si>
  <si>
    <t>Value</t>
  </si>
  <si>
    <t>Standard error</t>
  </si>
  <si>
    <t>t</t>
  </si>
  <si>
    <t>Pr &gt; |t|</t>
  </si>
  <si>
    <t>Lower bound (95%)</t>
  </si>
  <si>
    <t>Upper bound (95%)</t>
  </si>
  <si>
    <t>**</t>
  </si>
  <si>
    <t>°</t>
  </si>
  <si>
    <t>Equation of the model (Market Value):</t>
  </si>
  <si>
    <t>Market Value = 47331.3815356157-825.161220345618*House Age+40.9110684484375*Square Feet</t>
  </si>
  <si>
    <t>Standardized coefficients (Market Value):</t>
  </si>
  <si>
    <t xml:space="preserve"> </t>
  </si>
  <si>
    <t>Predictions and residuals (Market Value):</t>
  </si>
  <si>
    <t>Observation</t>
  </si>
  <si>
    <t>Weight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</si>
  <si>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</si>
  <si>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</si>
  <si>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</si>
  <si>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</si>
  <si>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</si>
  <si>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</si>
  <si>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</si>
  <si>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</si>
  <si>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</si>
  <si>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</si>
  <si>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</si>
  <si>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</si>
  <si>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</si>
  <si>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</si>
  <si>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</si>
  <si>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</si>
  <si>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</si>
  <si>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</si>
  <si>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</si>
  <si>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</si>
  <si>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</si>
  <si>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</si>
  <si>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</si>
  <si>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</si>
  <si>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</si>
  <si>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</si>
  <si>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</si>
  <si>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</si>
  <si>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</si>
  <si>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</si>
  <si>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</si>
  <si>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</si>
  <si>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</si>
  <si>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</si>
  <si>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</si>
  <si>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</si>
  <si>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</si>
  <si>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</si>
  <si>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</si>
  <si>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</si>
  <si>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</si>
  <si>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</si>
  <si>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Pred(Market Value)</t>
  </si>
  <si>
    <t>Residual</t>
  </si>
  <si>
    <t>Std. residual</t>
  </si>
  <si>
    <t>Std. dev. on pred. (Mean)</t>
  </si>
  <si>
    <t>Lower bound 95% (Mean)</t>
  </si>
  <si>
    <t>Upper bound 95% (Mean)</t>
  </si>
  <si>
    <t>Std. dev. on pred. (Observation)</t>
  </si>
  <si>
    <t>Lower bound 95% (Observation)</t>
  </si>
  <si>
    <t>Upper bound 95% (Observation)</t>
  </si>
  <si>
    <t>Test assumptions:</t>
  </si>
  <si>
    <t>Test on the normality of the residuals (Shapiro-Wilk) (Market Value):</t>
  </si>
  <si>
    <t>W</t>
  </si>
  <si>
    <t>p-value (Two-tailed)</t>
  </si>
  <si>
    <t>alpha</t>
  </si>
  <si>
    <t>Signification codes: 0 &lt; "***" &lt; 0.001 &lt; "**" &lt; 0.01 &lt; "*" &lt; 0.05 &lt; "." &lt; 0.1 &lt; " " &lt; 1</t>
  </si>
  <si>
    <t>Test interpretation:</t>
  </si>
  <si>
    <t>H0: The residuals follow a Normal distribution.</t>
  </si>
  <si>
    <t>Ha: The residuals do not follow a Normal distribution.</t>
  </si>
  <si>
    <t>As the computed p-value is lower than the significance level alpha=0.05, one should reject the null hypothesis H0, and accept the alternative hypothesis Ha.</t>
  </si>
  <si>
    <t>Interpretation (Market Value):</t>
  </si>
  <si>
    <t>Given the R2, 56% of the variability of the dependent variable Market Value is explained by the 2 explanatory variables.</t>
  </si>
  <si>
    <t>Given the p-value of the F statistic computed in the ANOVA table, and given the significance level of 5%, the information brought by the explanatory variables is significantly better than what a basic mean would bring.</t>
  </si>
  <si>
    <r>
      <t>XLSTAT 2025.2.0.1432 - Linear regression - Start time: 21/11/2025 at 06:40:36 / End time: 21/11/2025 at 06:40:37</t>
    </r>
    <r>
      <rPr>
        <sz val="12"/>
        <color rgb="FFFFFFFF"/>
        <rFont val="Times New Roman"/>
        <family val="2"/>
      </rPr>
      <t xml:space="preserve"> / Microsoft Excel 16.019328</t>
    </r>
  </si>
  <si>
    <t>Yes</t>
  </si>
  <si>
    <t>Market Value = 32673.219897243+35.0363725834721*Square Feet</t>
  </si>
  <si>
    <t>Given the R2, 53% of the variability of the dependent variable Market Value is explained by the explanatory variable.</t>
  </si>
  <si>
    <r>
      <t>XLSTAT 2025.2.0.1432 - Linear regression - Start time: 21/11/2025 at 07:23:29 / End time: 21/11/2025 at 07:23:30</t>
    </r>
    <r>
      <rPr>
        <sz val="12"/>
        <color rgb="FFFFFFFF"/>
        <rFont val="Times New Roman"/>
        <family val="2"/>
      </rPr>
      <t xml:space="preserve"> / Microsoft Excel 16.019328</t>
    </r>
  </si>
  <si>
    <t>Y / Dependent variables: Workbook = Homework 9 BUS 310 (Empty).xlsx / Sheet = P 8.25 / Range = 'P 8.25'!$B$4:$B$29 / 25 rows and 1 column</t>
  </si>
  <si>
    <t>X / Quantitative: Workbook = Homework 9 BUS 310 (Empty).xlsx / Sheet = P 8.25 / Range = 'P 8.25'!$C$4:$G$29 / 25 rows and 5 columns</t>
  </si>
  <si>
    <t>Regression of variable Comparative Salary:</t>
  </si>
  <si>
    <t>Goodness of fit statistics (Comparative Salary):</t>
  </si>
  <si>
    <t>Analysis of variance (Comparative Salary):</t>
  </si>
  <si>
    <t>Model parameters (Comparative Salary):</t>
  </si>
  <si>
    <t>*</t>
  </si>
  <si>
    <t>Equation of the model (Comparative Salary):</t>
  </si>
  <si>
    <t>Comparative Salary = 55278.317534797+12020.5601780845*Groceries+14337.2828739575*Housing+6711.18048834489*Utilities+5162.17086901868*Transportation+12307.6802822955*Healthcare</t>
  </si>
  <si>
    <t>Standardized coefficients (Comparative Salary):</t>
  </si>
  <si>
    <t>Predictions and residuals (Comparative Salary):</t>
  </si>
  <si>
    <t>Pred(Comparative Salary)</t>
  </si>
  <si>
    <t>Test on the normality of the residuals (Shapiro-Wilk) (Comparative Salary):</t>
  </si>
  <si>
    <t>As the computed p-value is greater than the significance level alpha=0.05, one cannot reject the null hypothesis H0.</t>
  </si>
  <si>
    <t>Interpretation (Comparative Salary):</t>
  </si>
  <si>
    <t>Given the R2, 100% of the variability of the dependent variable Comparative Salary is explained by the 5 explanatory variables.</t>
  </si>
  <si>
    <r>
      <t>XLSTAT 2025.2.0.1432 - Linear regression - Start time: 21/11/2025 at 07:29:26 / End time: 21/11/2025 at 07:29:26</t>
    </r>
    <r>
      <rPr>
        <sz val="12"/>
        <color rgb="FFFFFFFF"/>
        <rFont val="Times New Roman"/>
        <family val="2"/>
      </rPr>
      <t xml:space="preserve"> / Microsoft Excel 16.019328</t>
    </r>
  </si>
  <si>
    <t>Regression of variable Satisfaction:</t>
  </si>
  <si>
    <t>Goodness of fit statistics (Satisfaction):</t>
  </si>
  <si>
    <t>Analysis of variance (Satisfaction):</t>
  </si>
  <si>
    <t>Model parameters (Satisfaction):</t>
  </si>
  <si>
    <t>.</t>
  </si>
  <si>
    <t>Equation of the model (Satisfaction):</t>
  </si>
  <si>
    <t>Satisfaction = -1.86461635555371E-02-0.024730078521403*Years+0.652780444599288*Ideas+0.218988156949755*Communication+0.280704782079449*Recognition+0.58317620664666*Training+0.203288048223128*Work Conditions-0.220831114656613*Tools and Information+0.315309646989284*Work/Life Balance</t>
  </si>
  <si>
    <t>Standardized coefficients (Satisfaction):</t>
  </si>
  <si>
    <t>Predictions and residuals (Satisfaction):</t>
  </si>
  <si>
    <t>Pred(Satisfaction)</t>
  </si>
  <si>
    <t>Test on the normality of the residuals (Shapiro-Wilk) (Satisfaction):</t>
  </si>
  <si>
    <t>Interpretation (Satisfaction):</t>
  </si>
  <si>
    <t>Given the R2, 90% of the variability of the dependent variable Satisfaction is explained by the 8 explanatory variables.</t>
  </si>
  <si>
    <r>
      <t>XLSTAT 2025.2.0.1432 - Linear regression - Start time: 21/11/2025 at 07:37:19 / End time: 21/11/2025 at 07:37:20</t>
    </r>
    <r>
      <rPr>
        <sz val="12"/>
        <color rgb="FFFFFFFF"/>
        <rFont val="Times New Roman"/>
        <family val="2"/>
      </rPr>
      <t xml:space="preserve"> / Microsoft Excel 16.019328</t>
    </r>
  </si>
  <si>
    <t>Comparative Salary = 55269.5886595433+13301.4789062151*Groceries+14641.4026026387*Housing+6589.85721155329*Utilities+12635.171870953*Healthcare</t>
  </si>
  <si>
    <t>Given the R2, 100% of the variability of the dependent variable Comparative Salary is explained by the 4 explanatory variables.</t>
  </si>
  <si>
    <r>
      <t>XLSTAT 2025.2.0.1432 - Linear regression - Start time: 21/11/2025 at 07:47:18 / End time: 21/11/2025 at 07:47:19</t>
    </r>
    <r>
      <rPr>
        <sz val="12"/>
        <color rgb="FFFFFFFF"/>
        <rFont val="Times New Roman"/>
        <family val="2"/>
      </rPr>
      <t xml:space="preserve"> / Microsoft Excel 16.019328</t>
    </r>
  </si>
  <si>
    <t>Satisfaction = -0.214837350807391+1.25544114205476*Ideas+0.680932600046805*Training</t>
  </si>
  <si>
    <t>Given the R2, 80% of the variability of the dependent variable Satisfaction is explained by the 2 explanatory variables.</t>
  </si>
  <si>
    <r>
      <t>XLSTAT 2025.2.0.1432 - Linear regression - Start time: 21/11/2025 at 07:51:30 / End time: 21/11/2025 at 07:51:31</t>
    </r>
    <r>
      <rPr>
        <sz val="12"/>
        <color rgb="FFFFFFFF"/>
        <rFont val="Times New Roman"/>
        <family val="2"/>
      </rPr>
      <t xml:space="preserve"> / Microsoft Excel 16.019328</t>
    </r>
  </si>
  <si>
    <t>Regression of variable Calories:</t>
  </si>
  <si>
    <t>Goodness of fit statistics (Calories):</t>
  </si>
  <si>
    <t>Analysis of variance (Calories):</t>
  </si>
  <si>
    <t>Model parameters (Calories):</t>
  </si>
  <si>
    <t>Equation of the model (Calories):</t>
  </si>
  <si>
    <t>Calories = 21.8911832577502+3.43335643680443*Carbs+3.94123588222674*Sugars+0.659166154537264*Fiber+0.024335483029026*Sodium</t>
  </si>
  <si>
    <t>Standardized coefficients (Calories):</t>
  </si>
  <si>
    <t>Predictions and residuals (Calories):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</si>
  <si>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</si>
  <si>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</si>
  <si>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</si>
  <si>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</si>
  <si>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</si>
  <si>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</si>
  <si>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</si>
  <si>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</si>
  <si>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</si>
  <si>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</si>
  <si>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</si>
  <si>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</si>
  <si>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</si>
  <si>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</si>
  <si>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</si>
  <si>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</si>
  <si>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</si>
  <si>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</si>
  <si>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</si>
  <si>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</si>
  <si>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</si>
  <si>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</si>
  <si>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</si>
  <si>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</si>
  <si>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</si>
  <si>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Pred(Calories)</t>
  </si>
  <si>
    <t>Test on the normality of the residuals (Shapiro-Wilk) (Calories):</t>
  </si>
  <si>
    <t>Interpretation (Calories):</t>
  </si>
  <si>
    <t>Given the R2, 74% of the variability of the dependent variable Calories is explained by the 4 explanatory variables.</t>
  </si>
  <si>
    <r>
      <t>XLSTAT 2025.2.0.1432 - Linear regression - Start time: 21/11/2025 at 07:57:23 / End time: 21/11/2025 at 07:57:24</t>
    </r>
    <r>
      <rPr>
        <sz val="12"/>
        <color rgb="FFFFFFFF"/>
        <rFont val="Times New Roman"/>
        <family val="2"/>
      </rPr>
      <t xml:space="preserve"> / Microsoft Excel 16.019328</t>
    </r>
  </si>
  <si>
    <t>Calories = 28.7601953217295+3.35832692156233*Carbs+3.90558460205621*Sugars</t>
  </si>
  <si>
    <t>Given the R2, 73% of the variability of the dependent variable Calories is explained by the 2 explanatory variables.</t>
  </si>
  <si>
    <r>
      <t>XLSTAT 2025.2.0.1432 - Linear regression - Start time: 21/11/2025 at 07:59:05 / End time: 21/11/2025 at 07:59:05</t>
    </r>
    <r>
      <rPr>
        <sz val="12"/>
        <color rgb="FFFFFFFF"/>
        <rFont val="Times New Roman"/>
        <family val="2"/>
      </rPr>
      <t xml:space="preserve"> / Microsoft Excel 16.019328</t>
    </r>
  </si>
  <si>
    <t>Regression of variable Current Salary:</t>
  </si>
  <si>
    <t>Goodness of fit statistics (Current Salary):</t>
  </si>
  <si>
    <t>Analysis of variance (Current Salary):</t>
  </si>
  <si>
    <t>Model parameters (Current Salary):</t>
  </si>
  <si>
    <t>Equation of the model (Current Salary):</t>
  </si>
  <si>
    <t>Current Salary = -4139.23767360164+1.73024166165774*Beginning Salary-10.9071072361133*Previous Experience (months)+719.12214722319*Education (years)</t>
  </si>
  <si>
    <t>Standardized coefficients (Current Salary):</t>
  </si>
  <si>
    <t>Predictions and residuals (Current Salary):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</si>
  <si>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</si>
  <si>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</si>
  <si>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</si>
  <si>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</si>
  <si>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</si>
  <si>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</si>
  <si>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</si>
  <si>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</si>
  <si>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</si>
  <si>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</si>
  <si>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</si>
  <si>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</si>
  <si>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</si>
  <si>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</si>
  <si>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</si>
  <si>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</si>
  <si>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</si>
  <si>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</si>
  <si>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</si>
  <si>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</si>
  <si>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</si>
  <si>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</si>
  <si>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</si>
  <si>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</si>
  <si>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</si>
  <si>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</si>
  <si>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</si>
  <si>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</si>
  <si>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</si>
  <si>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</si>
  <si>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</si>
  <si>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</si>
  <si>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</si>
  <si>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Pred(Current Salary)</t>
  </si>
  <si>
    <t>Test on the normality of the residuals (Shapiro-Wilk) (Current Salary):</t>
  </si>
  <si>
    <t>Interpretation (Current Salary):</t>
  </si>
  <si>
    <t>Given the R2, 80% of the variability of the dependent variable Current Salary is explained by the 3 explanatory variables.</t>
  </si>
  <si>
    <r>
      <t>XLSTAT 2025.2.0.1432 - Linear regression - Start time: 21/11/2025 at 08:00:36 / End time: 21/11/2025 at 08:00:37</t>
    </r>
    <r>
      <rPr>
        <sz val="12"/>
        <color rgb="FFFFFFFF"/>
        <rFont val="Times New Roman"/>
        <family val="2"/>
      </rPr>
      <t xml:space="preserve"> / Microsoft Excel 16.019328</t>
    </r>
  </si>
  <si>
    <t>Current Salary = -6276.56961791372+1.69044003611618*Beginning Salary+852.91089426295*Education (years)</t>
  </si>
  <si>
    <t>Given the R2, 80% of the variability of the dependent variable Current Salary is explained by the 2 explanatory variables.</t>
  </si>
  <si>
    <r>
      <t>XLSTAT 2025.2.0.1432 - Linear regression - Start time: 21/11/2025 at 08:02:21 / End time: 21/11/2025 at 08:02:22</t>
    </r>
    <r>
      <rPr>
        <sz val="12"/>
        <color rgb="FFFFFFFF"/>
        <rFont val="Times New Roman"/>
        <family val="2"/>
      </rPr>
      <t xml:space="preserve"> / Microsoft Excel 16.019328</t>
    </r>
  </si>
  <si>
    <t>Questions</t>
  </si>
  <si>
    <t>Score</t>
  </si>
  <si>
    <t>Max Points</t>
  </si>
  <si>
    <t>Feedback</t>
  </si>
  <si>
    <t>Check to make sure you're referencing the correct cells.</t>
  </si>
  <si>
    <t>Data in cell(s): H3, in worksheet: P 8.24</t>
  </si>
  <si>
    <t>Data in cell(s): H4, in worksheet: P 8.24</t>
  </si>
  <si>
    <t>Data in cell(s): H5, in worksheet: P 8.24</t>
  </si>
  <si>
    <t>Check to make sure your cells contain the correct values.</t>
  </si>
  <si>
    <t>Data in cell(s): H9, in worksheet: P 8.24</t>
  </si>
  <si>
    <t>Data in cell(s): H10, in worksheet: P 8.24</t>
  </si>
  <si>
    <t>Data in cell(s): H11, in worksheet: P 8.24</t>
  </si>
  <si>
    <t>Make sure to use the correct regression method</t>
  </si>
  <si>
    <t>Data in cell(s): A1:A11, in worksheet: Linear Regression Output 2</t>
  </si>
  <si>
    <t>Check to make sure your formula is correct.</t>
  </si>
  <si>
    <t>Data in cell(s): C6, in worksheet: P 8.24 Predictions</t>
  </si>
  <si>
    <t>Data in cell(s): G6, in worksheet: P 8.24 Predictions</t>
  </si>
  <si>
    <t>Data in cell(s): K3, in worksheet: P 8.25</t>
  </si>
  <si>
    <t>Data in cell(s): K4, in worksheet: P 8.25</t>
  </si>
  <si>
    <t>Data in cell(s): K5, in worksheet: P 8.25</t>
  </si>
  <si>
    <t>Data in cell(s): K9, in worksheet: P 8.25</t>
  </si>
  <si>
    <t>Data in cell(s): K19, in worksheet: P 8.25</t>
  </si>
  <si>
    <t>Data in cell(s): K11, in worksheet: P 8.25</t>
  </si>
  <si>
    <t>Data in cell(s): A1:A11, in worksheet: Linear Regression Output 4</t>
  </si>
  <si>
    <t>Data in cell(s): C9, in worksheet: P 8.25 Prediction</t>
  </si>
  <si>
    <t>Data in cell(s): M3, in worksheet: P 8.26</t>
  </si>
  <si>
    <t>Data in cell(s): M4, in worksheet: P 8.26</t>
  </si>
  <si>
    <t>Data in cell(s): M5, in worksheet: P 8.26</t>
  </si>
  <si>
    <t>Data in cell(s): M9, in worksheet: P 8.26</t>
  </si>
  <si>
    <t>Data in cell(s): M10, in worksheet: P 8.26</t>
  </si>
  <si>
    <t>Data in cell(s): M11, in worksheet: P 8.26</t>
  </si>
  <si>
    <t>Data in cell(s): A1:A11, in worksheet: Linear Regression Output 6</t>
  </si>
  <si>
    <t>Data in cell(s): A2, in worksheet: P 8.26 Answer</t>
  </si>
  <si>
    <t>Data in cell(s): I3, in worksheet: P 8.27</t>
  </si>
  <si>
    <t>Data in cell(s): I4, in worksheet: P 8.27</t>
  </si>
  <si>
    <t>Data in cell(s): I5, in worksheet: P 8.27</t>
  </si>
  <si>
    <t>Data in cell(s): I9, in worksheet: P 8.27</t>
  </si>
  <si>
    <t>Data in cell(s): I10, in worksheet: P 8.27</t>
  </si>
  <si>
    <t>Data in cell(s): I11, in worksheet: P 8.27</t>
  </si>
  <si>
    <t>Data in cell(s): A1:A11, in worksheet: Linear Regression Output 8</t>
  </si>
  <si>
    <t>Data in cell(s): H3, in worksheet: P 8.28</t>
  </si>
  <si>
    <t>Data in cell(s): H4, in worksheet: P 8.28</t>
  </si>
  <si>
    <t>Data in cell(s): H5, in worksheet: P 8.28</t>
  </si>
  <si>
    <t>Data in cell(s): H9, in worksheet: P 8.28</t>
  </si>
  <si>
    <t>Data in cell(s): H10, in worksheet: P 8.28</t>
  </si>
  <si>
    <t>Data in cell(s): H11, in worksheet: P 8.28</t>
  </si>
  <si>
    <t>Data in cell(s): A1:A11, in worksheet: Linear Regression Output 10</t>
  </si>
  <si>
    <t>Total Score</t>
  </si>
  <si>
    <t>36.7347%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</si>
</sst>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0"/>
    <numFmt numFmtId="165" formatCode="&quot;$&quot;#,##0"/>
    <numFmt numFmtId="166" formatCode="&quot;$&quot;#,##0.00"/>
    <numFmt numFmtId="167" formatCode="0.000"/>
    <numFmt numFmtId="168" formatCode="[&lt;0.0001]&quot;&lt;0.0001&quot;;0.000"/>
  </numFmts>
  <fonts count="15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color rgb="FF000000"/>
      <name val="Times New Roman"/>
      <family val="1"/>
    </font>
    <font>
      <sz val="12"/>
      <color rgb="FFFFFFFF"/>
      <name val="Arial"/>
      <family val="2"/>
    </font>
    <font>
      <sz val="12"/>
      <color rgb="FFFFFFFF"/>
      <name val="Times New Roman"/>
      <family val="2"/>
    </font>
    <font>
      <sz val="12"/>
      <color rgb="FF008941"/>
      <name val="Times New Roman"/>
      <family val="1"/>
    </font>
    <font>
      <sz val="12"/>
      <color rgb="FF008941"/>
      <name val="Times New Roman"/>
      <family val="2"/>
    </font>
    <font>
      <sz val="12"/>
      <color rgb="FF007800"/>
      <name val="Times New Roman"/>
      <family val="1"/>
    </font>
    <font>
      <sz val="12"/>
      <color rgb="FF007800"/>
      <name val="Times New Roman"/>
      <family val="2"/>
    </font>
    <font>
      <b/>
      <sz val="12"/>
      <color rgb="FF007800"/>
      <name val="Times New Roman"/>
      <family val="1"/>
    </font>
    <font>
      <i/>
      <sz val="12"/>
      <color theme="1"/>
      <name val="Times New Roman"/>
      <family val="1"/>
    </font>
    <font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7CEFA"/>
      </patternFill>
    </fill>
    <fill>
      <patternFill patternType="solid">
        <fgColor rgb="FFFF0000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/>
    <xf numFmtId="49" fontId="0" fillId="0" borderId="0" xfId="0" applyNumberFormat="1"/>
    <xf numFmtId="49" fontId="0" fillId="0" borderId="1" xfId="0" applyNumberFormat="1" applyBorder="1"/>
    <xf numFmtId="164" fontId="0" fillId="2" borderId="0" xfId="0" applyNumberFormat="1" applyFill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6" fontId="0" fillId="0" borderId="0" xfId="0" applyNumberForma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49" fontId="0" fillId="0" borderId="4" xfId="0" applyNumberFormat="1" applyBorder="1"/>
    <xf numFmtId="49" fontId="0" fillId="0" borderId="6" xfId="0" applyNumberFormat="1" applyBorder="1"/>
    <xf numFmtId="49" fontId="0" fillId="0" borderId="8" xfId="0" applyNumberFormat="1" applyBorder="1"/>
    <xf numFmtId="0" fontId="1" fillId="0" borderId="0" xfId="0" applyFont="1" applyAlignment="1">
      <alignment horizontal="right"/>
    </xf>
    <xf numFmtId="166" fontId="2" fillId="0" borderId="0" xfId="0" applyNumberFormat="1" applyFont="1"/>
    <xf numFmtId="9" fontId="2" fillId="0" borderId="0" xfId="0" applyNumberFormat="1" applyFont="1"/>
    <xf numFmtId="9" fontId="1" fillId="0" borderId="1" xfId="0" applyNumberFormat="1" applyFont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center" wrapText="1"/>
    </xf>
    <xf numFmtId="0" fontId="4" fillId="0" borderId="0" xfId="0" applyFont="1"/>
    <xf numFmtId="2" fontId="4" fillId="0" borderId="0" xfId="0" applyNumberFormat="1" applyFont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4" borderId="0" xfId="0" applyFont="1" applyFill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1" fillId="2" borderId="0" xfId="0" applyFont="1" applyFill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top" wrapText="1"/>
    </xf>
    <xf numFmtId="0" fontId="1" fillId="4" borderId="3" xfId="0" applyFont="1" applyFill="1" applyBorder="1"/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5" fillId="2" borderId="3" xfId="0" applyFont="1" applyFill="1" applyBorder="1"/>
    <xf numFmtId="0" fontId="1" fillId="0" borderId="10" xfId="0" applyFont="1" applyBorder="1"/>
    <xf numFmtId="0" fontId="5" fillId="2" borderId="3" xfId="0" applyFont="1" applyFill="1" applyBorder="1" applyAlignment="1">
      <alignment horizontal="left"/>
    </xf>
    <xf numFmtId="0" fontId="6" fillId="0" borderId="0" xfId="0" applyFont="1"/>
    <xf numFmtId="49" fontId="2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/>
    <xf numFmtId="49" fontId="2" fillId="0" borderId="1" xfId="0" applyNumberFormat="1" applyFont="1" applyBorder="1"/>
    <xf numFmtId="0" fontId="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9" fillId="0" borderId="13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/>
    <xf numFmtId="49" fontId="10" fillId="0" borderId="1" xfId="0" applyNumberFormat="1" applyFont="1" applyBorder="1"/>
    <xf numFmtId="167" fontId="0" fillId="0" borderId="13" xfId="0" applyNumberFormat="1" applyBorder="1" applyAlignment="1">
      <alignment horizontal="center"/>
    </xf>
    <xf numFmtId="167" fontId="11" fillId="0" borderId="13" xfId="0" applyNumberFormat="1" applyFont="1" applyBorder="1" applyAlignment="1">
      <alignment horizontal="center"/>
    </xf>
    <xf numFmtId="167" fontId="11" fillId="0" borderId="0" xfId="0" applyNumberFormat="1" applyFont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49" fontId="2" fillId="0" borderId="2" xfId="0" applyNumberFormat="1" applyFont="1" applyBorder="1"/>
    <xf numFmtId="0" fontId="0" fillId="0" borderId="2" xfId="0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" xfId="0" applyNumberForma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13" fillId="0" borderId="0" xfId="0" applyFont="1"/>
    <xf numFmtId="0" fontId="0" fillId="0" borderId="13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left"/>
    </xf>
    <xf numFmtId="168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49" fontId="2" fillId="0" borderId="14" xfId="0" applyNumberFormat="1" applyFont="1" applyBorder="1"/>
    <xf numFmtId="167" fontId="0" fillId="0" borderId="14" xfId="0" applyNumberFormat="1" applyBorder="1" applyAlignment="1">
      <alignment horizontal="center"/>
    </xf>
    <xf numFmtId="168" fontId="1" fillId="0" borderId="14" xfId="0" applyNumberFormat="1" applyFon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14" fillId="5" borderId="0" xfId="0" applyFont="1" applyFill="1" applyAlignment="1">
      <alignment wrapText="1"/>
    </xf>
    <xf numFmtId="0" fontId="0" fillId="0" borderId="15" xfId="0" applyBorder="1" applyAlignment="1">
      <alignment wrapText="1"/>
    </xf>
    <xf numFmtId="167" fontId="0" fillId="6" borderId="0" xfId="0" applyNumberFormat="1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4" fillId="6" borderId="0" xfId="0" applyFont="1" applyFill="1"/>
    <xf numFmtId="0" fontId="2" fillId="6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49" fontId="8" fillId="6" borderId="13" xfId="0" applyNumberFormat="1" applyFont="1" applyFill="1" applyBorder="1"/>
    <xf numFmtId="166" fontId="1" fillId="6" borderId="3" xfId="0" applyNumberFormat="1" applyFont="1" applyFill="1" applyBorder="1"/>
    <xf numFmtId="166" fontId="1" fillId="6" borderId="10" xfId="0" applyNumberFormat="1" applyFont="1" applyFill="1" applyBorder="1"/>
    <xf numFmtId="0" fontId="5" fillId="6" borderId="3" xfId="0" applyFont="1" applyFill="1" applyBorder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Market Value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F2-40F7-93B9-FB2BA8D0AE2B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2F2-40F7-93B9-FB2BA8D0AE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0.28270194689592087</c:v>
                </c:pt>
                <c:pt idx="1">
                  <c:v>0.28270194689592099</c:v>
                </c:pt>
              </c:numLit>
            </c:plus>
            <c:minus>
              <c:numLit>
                <c:formatCode>General</c:formatCode>
                <c:ptCount val="2"/>
                <c:pt idx="0">
                  <c:v>0.28270194689592087</c:v>
                </c:pt>
                <c:pt idx="1">
                  <c:v>0.28270194689592087</c:v>
                </c:pt>
              </c:numLit>
            </c:minus>
          </c:errBars>
          <c:cat>
            <c:strRef>
              <c:f>'Linear Regression Output 1'!$A$73:$A$74</c:f>
              <c:strCache>
                <c:ptCount val="2"/>
                <c:pt idx="0">
                  <c:v>House Age</c:v>
                </c:pt>
                <c:pt idx="1">
                  <c:v>Square Feet</c:v>
                </c:pt>
              </c:strCache>
            </c:strRef>
          </c:cat>
          <c:val>
            <c:numRef>
              <c:f>'Linear Regression Output 1'!$B$73:$B$74</c:f>
              <c:numCache>
                <c:formatCode>0.000</c:formatCode>
                <c:ptCount val="2"/>
                <c:pt idx="0">
                  <c:v>-0.18990028619604418</c:v>
                </c:pt>
                <c:pt idx="1">
                  <c:v>0.85386786044744245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2-40F7-93B9-FB2BA8D0A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49232144"/>
        <c:axId val="1049226024"/>
      </c:barChart>
      <c:catAx>
        <c:axId val="1049232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49226024"/>
        <c:crosses val="autoZero"/>
        <c:auto val="1"/>
        <c:lblAlgn val="ctr"/>
        <c:lblOffset val="100"/>
        <c:noMultiLvlLbl val="0"/>
      </c:catAx>
      <c:valAx>
        <c:axId val="1049226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4923214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Market Value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1'!$C$100:$C$141</c:f>
              <c:numCache>
                <c:formatCode>0.000</c:formatCode>
                <c:ptCount val="42"/>
                <c:pt idx="0">
                  <c:v>101900</c:v>
                </c:pt>
                <c:pt idx="1">
                  <c:v>96700</c:v>
                </c:pt>
                <c:pt idx="2">
                  <c:v>84400</c:v>
                </c:pt>
                <c:pt idx="3">
                  <c:v>96000</c:v>
                </c:pt>
                <c:pt idx="4">
                  <c:v>78800</c:v>
                </c:pt>
                <c:pt idx="5">
                  <c:v>86400</c:v>
                </c:pt>
                <c:pt idx="6">
                  <c:v>82000</c:v>
                </c:pt>
                <c:pt idx="7">
                  <c:v>120700</c:v>
                </c:pt>
                <c:pt idx="8">
                  <c:v>81500</c:v>
                </c:pt>
                <c:pt idx="9">
                  <c:v>114000</c:v>
                </c:pt>
                <c:pt idx="10">
                  <c:v>76600</c:v>
                </c:pt>
                <c:pt idx="11">
                  <c:v>90000</c:v>
                </c:pt>
                <c:pt idx="12">
                  <c:v>93300</c:v>
                </c:pt>
                <c:pt idx="13">
                  <c:v>81300</c:v>
                </c:pt>
                <c:pt idx="14">
                  <c:v>87500</c:v>
                </c:pt>
                <c:pt idx="15">
                  <c:v>87600</c:v>
                </c:pt>
                <c:pt idx="16">
                  <c:v>116100</c:v>
                </c:pt>
                <c:pt idx="17">
                  <c:v>91300</c:v>
                </c:pt>
                <c:pt idx="18">
                  <c:v>100700</c:v>
                </c:pt>
                <c:pt idx="19">
                  <c:v>88100</c:v>
                </c:pt>
                <c:pt idx="20">
                  <c:v>91000</c:v>
                </c:pt>
                <c:pt idx="21">
                  <c:v>82600</c:v>
                </c:pt>
                <c:pt idx="22">
                  <c:v>108500</c:v>
                </c:pt>
                <c:pt idx="23">
                  <c:v>88100</c:v>
                </c:pt>
                <c:pt idx="24">
                  <c:v>94200</c:v>
                </c:pt>
                <c:pt idx="25">
                  <c:v>87500</c:v>
                </c:pt>
                <c:pt idx="26">
                  <c:v>81000</c:v>
                </c:pt>
                <c:pt idx="27">
                  <c:v>88400</c:v>
                </c:pt>
                <c:pt idx="28">
                  <c:v>83400</c:v>
                </c:pt>
                <c:pt idx="29">
                  <c:v>96700</c:v>
                </c:pt>
                <c:pt idx="30">
                  <c:v>113200</c:v>
                </c:pt>
                <c:pt idx="31">
                  <c:v>100800</c:v>
                </c:pt>
                <c:pt idx="32">
                  <c:v>90900</c:v>
                </c:pt>
                <c:pt idx="33">
                  <c:v>89200</c:v>
                </c:pt>
                <c:pt idx="34">
                  <c:v>94700</c:v>
                </c:pt>
                <c:pt idx="35">
                  <c:v>104400</c:v>
                </c:pt>
                <c:pt idx="36">
                  <c:v>87100</c:v>
                </c:pt>
                <c:pt idx="37">
                  <c:v>88600</c:v>
                </c:pt>
                <c:pt idx="38">
                  <c:v>87100</c:v>
                </c:pt>
                <c:pt idx="39">
                  <c:v>87200</c:v>
                </c:pt>
                <c:pt idx="40">
                  <c:v>79800</c:v>
                </c:pt>
                <c:pt idx="41">
                  <c:v>87600</c:v>
                </c:pt>
              </c:numCache>
            </c:numRef>
          </c:xVal>
          <c:yVal>
            <c:numRef>
              <c:f>'Linear Regression Output 1'!$F$100:$F$141</c:f>
              <c:numCache>
                <c:formatCode>0.000</c:formatCode>
                <c:ptCount val="42"/>
                <c:pt idx="0">
                  <c:v>0.81269813782831424</c:v>
                </c:pt>
                <c:pt idx="1">
                  <c:v>0.38183444196745164</c:v>
                </c:pt>
                <c:pt idx="2">
                  <c:v>-0.27894254965241622</c:v>
                </c:pt>
                <c:pt idx="3">
                  <c:v>2.9598806222580869E-2</c:v>
                </c:pt>
                <c:pt idx="4">
                  <c:v>-0.85122322600899225</c:v>
                </c:pt>
                <c:pt idx="5">
                  <c:v>-0.74090324703154786</c:v>
                </c:pt>
                <c:pt idx="6">
                  <c:v>-0.40750896867721081</c:v>
                </c:pt>
                <c:pt idx="7">
                  <c:v>4.2939854058259854</c:v>
                </c:pt>
                <c:pt idx="8">
                  <c:v>-1.0668061128658664</c:v>
                </c:pt>
                <c:pt idx="9">
                  <c:v>-0.55010540580494904</c:v>
                </c:pt>
                <c:pt idx="10">
                  <c:v>-1.2706942148197926</c:v>
                </c:pt>
                <c:pt idx="11">
                  <c:v>-0.58680063707968699</c:v>
                </c:pt>
                <c:pt idx="12">
                  <c:v>-0.41382047441318887</c:v>
                </c:pt>
                <c:pt idx="13">
                  <c:v>-0.61898889936373858</c:v>
                </c:pt>
                <c:pt idx="14">
                  <c:v>-0.36713892426853834</c:v>
                </c:pt>
                <c:pt idx="15">
                  <c:v>0.16477170767936519</c:v>
                </c:pt>
                <c:pt idx="16">
                  <c:v>1.1535987205561522</c:v>
                </c:pt>
                <c:pt idx="17">
                  <c:v>-0.81979169142373376</c:v>
                </c:pt>
                <c:pt idx="18">
                  <c:v>1.8668095117361447</c:v>
                </c:pt>
                <c:pt idx="19">
                  <c:v>0.23410206038745604</c:v>
                </c:pt>
                <c:pt idx="20">
                  <c:v>-0.4481399316635053</c:v>
                </c:pt>
                <c:pt idx="21">
                  <c:v>-0.32431254542750182</c:v>
                </c:pt>
                <c:pt idx="22">
                  <c:v>0.75310676927542564</c:v>
                </c:pt>
                <c:pt idx="23">
                  <c:v>0.52908545612773628</c:v>
                </c:pt>
                <c:pt idx="24">
                  <c:v>-6.1254200949632846E-2</c:v>
                </c:pt>
                <c:pt idx="25">
                  <c:v>-0.10522978950319661</c:v>
                </c:pt>
                <c:pt idx="26">
                  <c:v>-1.1361364655739572</c:v>
                </c:pt>
                <c:pt idx="27">
                  <c:v>1.956484537136691E-2</c:v>
                </c:pt>
                <c:pt idx="28">
                  <c:v>-0.41760325506859791</c:v>
                </c:pt>
                <c:pt idx="29">
                  <c:v>1.316978113508416</c:v>
                </c:pt>
                <c:pt idx="30">
                  <c:v>-0.66103397013789444</c:v>
                </c:pt>
                <c:pt idx="31">
                  <c:v>0.56940724010427357</c:v>
                </c:pt>
                <c:pt idx="32">
                  <c:v>-0.3316335276801613</c:v>
                </c:pt>
                <c:pt idx="33">
                  <c:v>-0.69301872848964297</c:v>
                </c:pt>
                <c:pt idx="34">
                  <c:v>1.0396567026760526</c:v>
                </c:pt>
                <c:pt idx="35">
                  <c:v>0.716874807758345</c:v>
                </c:pt>
                <c:pt idx="36">
                  <c:v>-0.27511150856486988</c:v>
                </c:pt>
                <c:pt idx="37">
                  <c:v>0.1890149762003463</c:v>
                </c:pt>
                <c:pt idx="38">
                  <c:v>-0.3470337386391491</c:v>
                </c:pt>
                <c:pt idx="39">
                  <c:v>0.10930742551289252</c:v>
                </c:pt>
                <c:pt idx="40">
                  <c:v>-0.82697995748801112</c:v>
                </c:pt>
                <c:pt idx="41">
                  <c:v>-0.5801831581425213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A-43CB-8B5F-373C1286625A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96700</c:v>
              </c:pt>
            </c:numLit>
          </c:xVal>
          <c:yVal>
            <c:numLit>
              <c:formatCode>General</c:formatCode>
              <c:ptCount val="1"/>
              <c:pt idx="0">
                <c:v>0.38183444196745164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A4A-43CB-8B5F-373C12866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76344"/>
        <c:axId val="1049170224"/>
      </c:scatterChart>
      <c:valAx>
        <c:axId val="1049176344"/>
        <c:scaling>
          <c:orientation val="minMax"/>
          <c:max val="130000"/>
          <c:min val="7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Market 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49170224"/>
        <c:crosses val="autoZero"/>
        <c:crossBetween val="midCat"/>
      </c:valAx>
      <c:valAx>
        <c:axId val="1049170224"/>
        <c:scaling>
          <c:orientation val="minMax"/>
          <c:max val="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4917634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Pred(Market Value)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1'!$D$100:$D$141</c:f>
              <c:numCache>
                <c:formatCode>0.000</c:formatCode>
                <c:ptCount val="42"/>
                <c:pt idx="0">
                  <c:v>96038.944155887206</c:v>
                </c:pt>
                <c:pt idx="1">
                  <c:v>93946.267853452795</c:v>
                </c:pt>
                <c:pt idx="2">
                  <c:v>86411.691407563427</c:v>
                </c:pt>
                <c:pt idx="3">
                  <c:v>95786.537893819725</c:v>
                </c:pt>
                <c:pt idx="4">
                  <c:v>84938.892943419676</c:v>
                </c:pt>
                <c:pt idx="5">
                  <c:v>91743.281968801268</c:v>
                </c:pt>
                <c:pt idx="6">
                  <c:v>84938.892943419676</c:v>
                </c:pt>
                <c:pt idx="7">
                  <c:v>89732.427803263738</c:v>
                </c:pt>
                <c:pt idx="8">
                  <c:v>89193.644062057181</c:v>
                </c:pt>
                <c:pt idx="9">
                  <c:v>117967.27684424972</c:v>
                </c:pt>
                <c:pt idx="10">
                  <c:v>85764.054163765293</c:v>
                </c:pt>
                <c:pt idx="11">
                  <c:v>94231.917292779093</c:v>
                </c:pt>
                <c:pt idx="12">
                  <c:v>96284.410566577833</c:v>
                </c:pt>
                <c:pt idx="13">
                  <c:v>85764.054163765293</c:v>
                </c:pt>
                <c:pt idx="14">
                  <c:v>90147.750299312218</c:v>
                </c:pt>
                <c:pt idx="15">
                  <c:v>86411.691407563427</c:v>
                </c:pt>
                <c:pt idx="16">
                  <c:v>107780.42080058878</c:v>
                </c:pt>
                <c:pt idx="17">
                  <c:v>97212.213477950936</c:v>
                </c:pt>
                <c:pt idx="18">
                  <c:v>87236.852627909044</c:v>
                </c:pt>
                <c:pt idx="19">
                  <c:v>86411.691407563427</c:v>
                </c:pt>
                <c:pt idx="20">
                  <c:v>94231.917292779093</c:v>
                </c:pt>
                <c:pt idx="21">
                  <c:v>84938.892943419676</c:v>
                </c:pt>
                <c:pt idx="22">
                  <c:v>103068.7080776416</c:v>
                </c:pt>
                <c:pt idx="23">
                  <c:v>84284.315848244689</c:v>
                </c:pt>
                <c:pt idx="24">
                  <c:v>94641.75601707623</c:v>
                </c:pt>
                <c:pt idx="25">
                  <c:v>88258.901299307225</c:v>
                </c:pt>
                <c:pt idx="26">
                  <c:v>89193.644062057181</c:v>
                </c:pt>
                <c:pt idx="27">
                  <c:v>88258.901299307225</c:v>
                </c:pt>
                <c:pt idx="28">
                  <c:v>86411.691407563427</c:v>
                </c:pt>
                <c:pt idx="29">
                  <c:v>87202.153371024717</c:v>
                </c:pt>
                <c:pt idx="30">
                  <c:v>117967.27684424972</c:v>
                </c:pt>
                <c:pt idx="31">
                  <c:v>96693.521251062208</c:v>
                </c:pt>
                <c:pt idx="32">
                  <c:v>93291.690758277793</c:v>
                </c:pt>
                <c:pt idx="33">
                  <c:v>94197.946075707529</c:v>
                </c:pt>
                <c:pt idx="34">
                  <c:v>87202.153371024717</c:v>
                </c:pt>
                <c:pt idx="35">
                  <c:v>99230.007494865335</c:v>
                </c:pt>
                <c:pt idx="36">
                  <c:v>89084.062519652842</c:v>
                </c:pt>
                <c:pt idx="37">
                  <c:v>87236.852627909044</c:v>
                </c:pt>
                <c:pt idx="38">
                  <c:v>89602.754746541556</c:v>
                </c:pt>
                <c:pt idx="39">
                  <c:v>86411.691407563427</c:v>
                </c:pt>
                <c:pt idx="40">
                  <c:v>85764.054163765293</c:v>
                </c:pt>
                <c:pt idx="41">
                  <c:v>91784.193037249715</c:v>
                </c:pt>
              </c:numCache>
            </c:numRef>
          </c:xVal>
          <c:yVal>
            <c:numRef>
              <c:f>'Linear Regression Output 1'!$F$100:$F$141</c:f>
              <c:numCache>
                <c:formatCode>0.000</c:formatCode>
                <c:ptCount val="42"/>
                <c:pt idx="0">
                  <c:v>0.81269813782831424</c:v>
                </c:pt>
                <c:pt idx="1">
                  <c:v>0.38183444196745164</c:v>
                </c:pt>
                <c:pt idx="2">
                  <c:v>-0.27894254965241622</c:v>
                </c:pt>
                <c:pt idx="3">
                  <c:v>2.9598806222580869E-2</c:v>
                </c:pt>
                <c:pt idx="4">
                  <c:v>-0.85122322600899225</c:v>
                </c:pt>
                <c:pt idx="5">
                  <c:v>-0.74090324703154786</c:v>
                </c:pt>
                <c:pt idx="6">
                  <c:v>-0.40750896867721081</c:v>
                </c:pt>
                <c:pt idx="7">
                  <c:v>4.2939854058259854</c:v>
                </c:pt>
                <c:pt idx="8">
                  <c:v>-1.0668061128658664</c:v>
                </c:pt>
                <c:pt idx="9">
                  <c:v>-0.55010540580494904</c:v>
                </c:pt>
                <c:pt idx="10">
                  <c:v>-1.2706942148197926</c:v>
                </c:pt>
                <c:pt idx="11">
                  <c:v>-0.58680063707968699</c:v>
                </c:pt>
                <c:pt idx="12">
                  <c:v>-0.41382047441318887</c:v>
                </c:pt>
                <c:pt idx="13">
                  <c:v>-0.61898889936373858</c:v>
                </c:pt>
                <c:pt idx="14">
                  <c:v>-0.36713892426853834</c:v>
                </c:pt>
                <c:pt idx="15">
                  <c:v>0.16477170767936519</c:v>
                </c:pt>
                <c:pt idx="16">
                  <c:v>1.1535987205561522</c:v>
                </c:pt>
                <c:pt idx="17">
                  <c:v>-0.81979169142373376</c:v>
                </c:pt>
                <c:pt idx="18">
                  <c:v>1.8668095117361447</c:v>
                </c:pt>
                <c:pt idx="19">
                  <c:v>0.23410206038745604</c:v>
                </c:pt>
                <c:pt idx="20">
                  <c:v>-0.4481399316635053</c:v>
                </c:pt>
                <c:pt idx="21">
                  <c:v>-0.32431254542750182</c:v>
                </c:pt>
                <c:pt idx="22">
                  <c:v>0.75310676927542564</c:v>
                </c:pt>
                <c:pt idx="23">
                  <c:v>0.52908545612773628</c:v>
                </c:pt>
                <c:pt idx="24">
                  <c:v>-6.1254200949632846E-2</c:v>
                </c:pt>
                <c:pt idx="25">
                  <c:v>-0.10522978950319661</c:v>
                </c:pt>
                <c:pt idx="26">
                  <c:v>-1.1361364655739572</c:v>
                </c:pt>
                <c:pt idx="27">
                  <c:v>1.956484537136691E-2</c:v>
                </c:pt>
                <c:pt idx="28">
                  <c:v>-0.41760325506859791</c:v>
                </c:pt>
                <c:pt idx="29">
                  <c:v>1.316978113508416</c:v>
                </c:pt>
                <c:pt idx="30">
                  <c:v>-0.66103397013789444</c:v>
                </c:pt>
                <c:pt idx="31">
                  <c:v>0.56940724010427357</c:v>
                </c:pt>
                <c:pt idx="32">
                  <c:v>-0.3316335276801613</c:v>
                </c:pt>
                <c:pt idx="33">
                  <c:v>-0.69301872848964297</c:v>
                </c:pt>
                <c:pt idx="34">
                  <c:v>1.0396567026760526</c:v>
                </c:pt>
                <c:pt idx="35">
                  <c:v>0.716874807758345</c:v>
                </c:pt>
                <c:pt idx="36">
                  <c:v>-0.27511150856486988</c:v>
                </c:pt>
                <c:pt idx="37">
                  <c:v>0.1890149762003463</c:v>
                </c:pt>
                <c:pt idx="38">
                  <c:v>-0.3470337386391491</c:v>
                </c:pt>
                <c:pt idx="39">
                  <c:v>0.10930742551289252</c:v>
                </c:pt>
                <c:pt idx="40">
                  <c:v>-0.82697995748801112</c:v>
                </c:pt>
                <c:pt idx="41">
                  <c:v>-0.5801831581425213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7-4E30-9220-81F4C4D47227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93946.267853452795</c:v>
              </c:pt>
            </c:numLit>
          </c:xVal>
          <c:yVal>
            <c:numLit>
              <c:formatCode>General</c:formatCode>
              <c:ptCount val="1"/>
              <c:pt idx="0">
                <c:v>0.38183444196745164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857-4E30-9220-81F4C4D4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76704"/>
        <c:axId val="1049169864"/>
      </c:scatterChart>
      <c:valAx>
        <c:axId val="1049176704"/>
        <c:scaling>
          <c:orientation val="minMax"/>
          <c:max val="120000"/>
          <c:min val="8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Pred(Market Value)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49169864"/>
        <c:crosses val="autoZero"/>
        <c:crossBetween val="midCat"/>
      </c:valAx>
      <c:valAx>
        <c:axId val="1049169864"/>
        <c:scaling>
          <c:orientation val="minMax"/>
          <c:max val="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4917670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Pred(Market Value) - Market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1'!$D$100:$D$141</c:f>
              <c:numCache>
                <c:formatCode>0.000</c:formatCode>
                <c:ptCount val="42"/>
                <c:pt idx="0">
                  <c:v>96038.944155887206</c:v>
                </c:pt>
                <c:pt idx="1">
                  <c:v>93946.267853452795</c:v>
                </c:pt>
                <c:pt idx="2">
                  <c:v>86411.691407563427</c:v>
                </c:pt>
                <c:pt idx="3">
                  <c:v>95786.537893819725</c:v>
                </c:pt>
                <c:pt idx="4">
                  <c:v>84938.892943419676</c:v>
                </c:pt>
                <c:pt idx="5">
                  <c:v>91743.281968801268</c:v>
                </c:pt>
                <c:pt idx="6">
                  <c:v>84938.892943419676</c:v>
                </c:pt>
                <c:pt idx="7">
                  <c:v>89732.427803263738</c:v>
                </c:pt>
                <c:pt idx="8">
                  <c:v>89193.644062057181</c:v>
                </c:pt>
                <c:pt idx="9">
                  <c:v>117967.27684424972</c:v>
                </c:pt>
                <c:pt idx="10">
                  <c:v>85764.054163765293</c:v>
                </c:pt>
                <c:pt idx="11">
                  <c:v>94231.917292779093</c:v>
                </c:pt>
                <c:pt idx="12">
                  <c:v>96284.410566577833</c:v>
                </c:pt>
                <c:pt idx="13">
                  <c:v>85764.054163765293</c:v>
                </c:pt>
                <c:pt idx="14">
                  <c:v>90147.750299312218</c:v>
                </c:pt>
                <c:pt idx="15">
                  <c:v>86411.691407563427</c:v>
                </c:pt>
                <c:pt idx="16">
                  <c:v>107780.42080058878</c:v>
                </c:pt>
                <c:pt idx="17">
                  <c:v>97212.213477950936</c:v>
                </c:pt>
                <c:pt idx="18">
                  <c:v>87236.852627909044</c:v>
                </c:pt>
                <c:pt idx="19">
                  <c:v>86411.691407563427</c:v>
                </c:pt>
                <c:pt idx="20">
                  <c:v>94231.917292779093</c:v>
                </c:pt>
                <c:pt idx="21">
                  <c:v>84938.892943419676</c:v>
                </c:pt>
                <c:pt idx="22">
                  <c:v>103068.7080776416</c:v>
                </c:pt>
                <c:pt idx="23">
                  <c:v>84284.315848244689</c:v>
                </c:pt>
                <c:pt idx="24">
                  <c:v>94641.75601707623</c:v>
                </c:pt>
                <c:pt idx="25">
                  <c:v>88258.901299307225</c:v>
                </c:pt>
                <c:pt idx="26">
                  <c:v>89193.644062057181</c:v>
                </c:pt>
                <c:pt idx="27">
                  <c:v>88258.901299307225</c:v>
                </c:pt>
                <c:pt idx="28">
                  <c:v>86411.691407563427</c:v>
                </c:pt>
                <c:pt idx="29">
                  <c:v>87202.153371024717</c:v>
                </c:pt>
                <c:pt idx="30">
                  <c:v>117967.27684424972</c:v>
                </c:pt>
                <c:pt idx="31">
                  <c:v>96693.521251062208</c:v>
                </c:pt>
                <c:pt idx="32">
                  <c:v>93291.690758277793</c:v>
                </c:pt>
                <c:pt idx="33">
                  <c:v>94197.946075707529</c:v>
                </c:pt>
                <c:pt idx="34">
                  <c:v>87202.153371024717</c:v>
                </c:pt>
                <c:pt idx="35">
                  <c:v>99230.007494865335</c:v>
                </c:pt>
                <c:pt idx="36">
                  <c:v>89084.062519652842</c:v>
                </c:pt>
                <c:pt idx="37">
                  <c:v>87236.852627909044</c:v>
                </c:pt>
                <c:pt idx="38">
                  <c:v>89602.754746541556</c:v>
                </c:pt>
                <c:pt idx="39">
                  <c:v>86411.691407563427</c:v>
                </c:pt>
                <c:pt idx="40">
                  <c:v>85764.054163765293</c:v>
                </c:pt>
                <c:pt idx="41">
                  <c:v>91784.193037249715</c:v>
                </c:pt>
              </c:numCache>
            </c:numRef>
          </c:xVal>
          <c:yVal>
            <c:numRef>
              <c:f>'Linear Regression Output 1'!$C$100:$C$141</c:f>
              <c:numCache>
                <c:formatCode>0.000</c:formatCode>
                <c:ptCount val="42"/>
                <c:pt idx="0">
                  <c:v>101900</c:v>
                </c:pt>
                <c:pt idx="1">
                  <c:v>96700</c:v>
                </c:pt>
                <c:pt idx="2">
                  <c:v>84400</c:v>
                </c:pt>
                <c:pt idx="3">
                  <c:v>96000</c:v>
                </c:pt>
                <c:pt idx="4">
                  <c:v>78800</c:v>
                </c:pt>
                <c:pt idx="5">
                  <c:v>86400</c:v>
                </c:pt>
                <c:pt idx="6">
                  <c:v>82000</c:v>
                </c:pt>
                <c:pt idx="7">
                  <c:v>120700</c:v>
                </c:pt>
                <c:pt idx="8">
                  <c:v>81500</c:v>
                </c:pt>
                <c:pt idx="9">
                  <c:v>114000</c:v>
                </c:pt>
                <c:pt idx="10">
                  <c:v>76600</c:v>
                </c:pt>
                <c:pt idx="11">
                  <c:v>90000</c:v>
                </c:pt>
                <c:pt idx="12">
                  <c:v>93300</c:v>
                </c:pt>
                <c:pt idx="13">
                  <c:v>81300</c:v>
                </c:pt>
                <c:pt idx="14">
                  <c:v>87500</c:v>
                </c:pt>
                <c:pt idx="15">
                  <c:v>87600</c:v>
                </c:pt>
                <c:pt idx="16">
                  <c:v>116100</c:v>
                </c:pt>
                <c:pt idx="17">
                  <c:v>91300</c:v>
                </c:pt>
                <c:pt idx="18">
                  <c:v>100700</c:v>
                </c:pt>
                <c:pt idx="19">
                  <c:v>88100</c:v>
                </c:pt>
                <c:pt idx="20">
                  <c:v>91000</c:v>
                </c:pt>
                <c:pt idx="21">
                  <c:v>82600</c:v>
                </c:pt>
                <c:pt idx="22">
                  <c:v>108500</c:v>
                </c:pt>
                <c:pt idx="23">
                  <c:v>88100</c:v>
                </c:pt>
                <c:pt idx="24">
                  <c:v>94200</c:v>
                </c:pt>
                <c:pt idx="25">
                  <c:v>87500</c:v>
                </c:pt>
                <c:pt idx="26">
                  <c:v>81000</c:v>
                </c:pt>
                <c:pt idx="27">
                  <c:v>88400</c:v>
                </c:pt>
                <c:pt idx="28">
                  <c:v>83400</c:v>
                </c:pt>
                <c:pt idx="29">
                  <c:v>96700</c:v>
                </c:pt>
                <c:pt idx="30">
                  <c:v>113200</c:v>
                </c:pt>
                <c:pt idx="31">
                  <c:v>100800</c:v>
                </c:pt>
                <c:pt idx="32">
                  <c:v>90900</c:v>
                </c:pt>
                <c:pt idx="33">
                  <c:v>89200</c:v>
                </c:pt>
                <c:pt idx="34">
                  <c:v>94700</c:v>
                </c:pt>
                <c:pt idx="35">
                  <c:v>104400</c:v>
                </c:pt>
                <c:pt idx="36">
                  <c:v>87100</c:v>
                </c:pt>
                <c:pt idx="37">
                  <c:v>88600</c:v>
                </c:pt>
                <c:pt idx="38">
                  <c:v>87100</c:v>
                </c:pt>
                <c:pt idx="39">
                  <c:v>87200</c:v>
                </c:pt>
                <c:pt idx="40">
                  <c:v>79800</c:v>
                </c:pt>
                <c:pt idx="41">
                  <c:v>87600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C-4BD9-87E8-6EF553A4E418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93946.267853452795</c:v>
              </c:pt>
            </c:numLit>
          </c:xVal>
          <c:yVal>
            <c:numLit>
              <c:formatCode>General</c:formatCode>
              <c:ptCount val="1"/>
              <c:pt idx="0">
                <c:v>96700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21C-4BD9-87E8-6EF553A4E418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Sheet8_HID!xdata1</c:f>
              <c:numCache>
                <c:formatCode>General</c:formatCode>
                <c:ptCount val="70"/>
                <c:pt idx="0">
                  <c:v>82936.997408404495</c:v>
                </c:pt>
                <c:pt idx="1">
                  <c:v>83786.616753400071</c:v>
                </c:pt>
                <c:pt idx="2">
                  <c:v>84636.236098395661</c:v>
                </c:pt>
                <c:pt idx="3">
                  <c:v>85485.855443391236</c:v>
                </c:pt>
                <c:pt idx="4">
                  <c:v>86335.474788386826</c:v>
                </c:pt>
                <c:pt idx="5">
                  <c:v>87185.094133382401</c:v>
                </c:pt>
                <c:pt idx="6">
                  <c:v>88034.713478377991</c:v>
                </c:pt>
                <c:pt idx="7">
                  <c:v>88884.332823373566</c:v>
                </c:pt>
                <c:pt idx="8">
                  <c:v>89733.952168369156</c:v>
                </c:pt>
                <c:pt idx="9">
                  <c:v>90583.571513364732</c:v>
                </c:pt>
                <c:pt idx="10">
                  <c:v>91433.190858360322</c:v>
                </c:pt>
                <c:pt idx="11">
                  <c:v>92282.810203355897</c:v>
                </c:pt>
                <c:pt idx="12">
                  <c:v>93132.429548351472</c:v>
                </c:pt>
                <c:pt idx="13">
                  <c:v>93982.048893347062</c:v>
                </c:pt>
                <c:pt idx="14">
                  <c:v>94831.668238342638</c:v>
                </c:pt>
                <c:pt idx="15">
                  <c:v>95681.287583338228</c:v>
                </c:pt>
                <c:pt idx="16">
                  <c:v>96530.906928333803</c:v>
                </c:pt>
                <c:pt idx="17">
                  <c:v>97380.526273329393</c:v>
                </c:pt>
                <c:pt idx="18">
                  <c:v>98230.145618324968</c:v>
                </c:pt>
                <c:pt idx="19">
                  <c:v>99079.764963320558</c:v>
                </c:pt>
                <c:pt idx="20">
                  <c:v>99929.384308316134</c:v>
                </c:pt>
                <c:pt idx="21">
                  <c:v>100779.00365331172</c:v>
                </c:pt>
                <c:pt idx="22">
                  <c:v>101628.6229983073</c:v>
                </c:pt>
                <c:pt idx="23">
                  <c:v>102478.24234330287</c:v>
                </c:pt>
                <c:pt idx="24">
                  <c:v>103327.86168829846</c:v>
                </c:pt>
                <c:pt idx="25">
                  <c:v>104177.48103329404</c:v>
                </c:pt>
                <c:pt idx="26">
                  <c:v>105027.10037828963</c:v>
                </c:pt>
                <c:pt idx="27">
                  <c:v>105876.7197232852</c:v>
                </c:pt>
                <c:pt idx="28">
                  <c:v>106726.33906828079</c:v>
                </c:pt>
                <c:pt idx="29">
                  <c:v>107575.95841327637</c:v>
                </c:pt>
                <c:pt idx="30">
                  <c:v>108425.57775827195</c:v>
                </c:pt>
                <c:pt idx="31">
                  <c:v>109275.19710326754</c:v>
                </c:pt>
                <c:pt idx="32">
                  <c:v>110124.81644826313</c:v>
                </c:pt>
                <c:pt idx="33">
                  <c:v>110974.4357932587</c:v>
                </c:pt>
                <c:pt idx="34">
                  <c:v>111824.05513825428</c:v>
                </c:pt>
                <c:pt idx="35">
                  <c:v>112673.67448324987</c:v>
                </c:pt>
                <c:pt idx="36">
                  <c:v>113523.29382824544</c:v>
                </c:pt>
                <c:pt idx="37">
                  <c:v>114372.91317324103</c:v>
                </c:pt>
                <c:pt idx="38">
                  <c:v>115222.53251823661</c:v>
                </c:pt>
                <c:pt idx="39">
                  <c:v>116072.1518632322</c:v>
                </c:pt>
                <c:pt idx="40">
                  <c:v>116921.77120822777</c:v>
                </c:pt>
                <c:pt idx="41">
                  <c:v>117771.39055322335</c:v>
                </c:pt>
                <c:pt idx="42">
                  <c:v>118621.00989821894</c:v>
                </c:pt>
                <c:pt idx="43">
                  <c:v>119470.62924321453</c:v>
                </c:pt>
                <c:pt idx="44">
                  <c:v>120320.2485882101</c:v>
                </c:pt>
                <c:pt idx="45">
                  <c:v>121169.86793320568</c:v>
                </c:pt>
                <c:pt idx="46">
                  <c:v>122019.48727820127</c:v>
                </c:pt>
                <c:pt idx="47">
                  <c:v>122869.10662319686</c:v>
                </c:pt>
                <c:pt idx="48">
                  <c:v>123718.72596819243</c:v>
                </c:pt>
                <c:pt idx="49">
                  <c:v>124568.34531318801</c:v>
                </c:pt>
                <c:pt idx="50">
                  <c:v>125417.9646581836</c:v>
                </c:pt>
                <c:pt idx="51">
                  <c:v>126267.58400317917</c:v>
                </c:pt>
                <c:pt idx="52">
                  <c:v>127117.20334817475</c:v>
                </c:pt>
                <c:pt idx="53">
                  <c:v>127966.82269317034</c:v>
                </c:pt>
                <c:pt idx="54">
                  <c:v>128816.44203816593</c:v>
                </c:pt>
                <c:pt idx="55">
                  <c:v>129666.0613831615</c:v>
                </c:pt>
                <c:pt idx="56">
                  <c:v>130515.68072815708</c:v>
                </c:pt>
                <c:pt idx="57">
                  <c:v>131365.30007315267</c:v>
                </c:pt>
                <c:pt idx="58">
                  <c:v>132214.91941814826</c:v>
                </c:pt>
                <c:pt idx="59">
                  <c:v>133064.53876314382</c:v>
                </c:pt>
                <c:pt idx="60">
                  <c:v>133914.15810813941</c:v>
                </c:pt>
                <c:pt idx="61">
                  <c:v>134763.777453135</c:v>
                </c:pt>
                <c:pt idx="62">
                  <c:v>135613.39679813059</c:v>
                </c:pt>
                <c:pt idx="63">
                  <c:v>136463.01614312615</c:v>
                </c:pt>
                <c:pt idx="64">
                  <c:v>137312.63548812174</c:v>
                </c:pt>
                <c:pt idx="65">
                  <c:v>138162.25483311733</c:v>
                </c:pt>
                <c:pt idx="66">
                  <c:v>139011.87417811289</c:v>
                </c:pt>
                <c:pt idx="67">
                  <c:v>139861.49352310848</c:v>
                </c:pt>
                <c:pt idx="68">
                  <c:v>140711.11286810407</c:v>
                </c:pt>
                <c:pt idx="69">
                  <c:v>141560.73221309966</c:v>
                </c:pt>
              </c:numCache>
            </c:numRef>
          </c:xVal>
          <c:yVal>
            <c:numRef>
              <c:f>Sheet8_HID!ydata1</c:f>
              <c:numCache>
                <c:formatCode>General</c:formatCode>
                <c:ptCount val="70"/>
                <c:pt idx="0">
                  <c:v>67942.00362488642</c:v>
                </c:pt>
                <c:pt idx="1">
                  <c:v>68833.049585835513</c:v>
                </c:pt>
                <c:pt idx="2">
                  <c:v>69720.152057630461</c:v>
                </c:pt>
                <c:pt idx="3">
                  <c:v>70603.281244125072</c:v>
                </c:pt>
                <c:pt idx="4">
                  <c:v>71482.410253034468</c:v>
                </c:pt>
                <c:pt idx="5">
                  <c:v>72357.515201027723</c:v>
                </c:pt>
                <c:pt idx="6">
                  <c:v>73228.575308407351</c:v>
                </c:pt>
                <c:pt idx="7">
                  <c:v>74095.572982518031</c:v>
                </c:pt>
                <c:pt idx="8">
                  <c:v>74958.493889116755</c:v>
                </c:pt>
                <c:pt idx="9">
                  <c:v>75817.327011036396</c:v>
                </c:pt>
                <c:pt idx="10">
                  <c:v>76672.064693587454</c:v>
                </c:pt>
                <c:pt idx="11">
                  <c:v>77522.702676263492</c:v>
                </c:pt>
                <c:pt idx="12">
                  <c:v>78369.240110445317</c:v>
                </c:pt>
                <c:pt idx="13">
                  <c:v>79211.679562932026</c:v>
                </c:pt>
                <c:pt idx="14">
                  <c:v>80050.027005265278</c:v>
                </c:pt>
                <c:pt idx="15">
                  <c:v>80884.291788949835</c:v>
                </c:pt>
                <c:pt idx="16">
                  <c:v>81714.486606809805</c:v>
                </c:pt>
                <c:pt idx="17">
                  <c:v>82540.627440851531</c:v>
                </c:pt>
                <c:pt idx="18">
                  <c:v>83362.733497129404</c:v>
                </c:pt>
                <c:pt idx="19">
                  <c:v>84180.827128227917</c:v>
                </c:pt>
                <c:pt idx="20">
                  <c:v>84994.933744079623</c:v>
                </c:pt>
                <c:pt idx="21">
                  <c:v>85805.081711933773</c:v>
                </c:pt>
                <c:pt idx="22">
                  <c:v>86611.302246371459</c:v>
                </c:pt>
                <c:pt idx="23">
                  <c:v>87413.629290331606</c:v>
                </c:pt>
                <c:pt idx="24">
                  <c:v>88212.099388163915</c:v>
                </c:pt>
                <c:pt idx="25">
                  <c:v>89006.751551763766</c:v>
                </c:pt>
                <c:pt idx="26">
                  <c:v>89797.627120866644</c:v>
                </c:pt>
                <c:pt idx="27">
                  <c:v>90584.769618588325</c:v>
                </c:pt>
                <c:pt idx="28">
                  <c:v>91368.224603291848</c:v>
                </c:pt>
                <c:pt idx="29">
                  <c:v>92148.039517843543</c:v>
                </c:pt>
                <c:pt idx="30">
                  <c:v>92924.263537290841</c:v>
                </c:pt>
                <c:pt idx="31">
                  <c:v>93696.947415953007</c:v>
                </c:pt>
                <c:pt idx="32">
                  <c:v>94466.143334865978</c:v>
                </c:pt>
                <c:pt idx="33">
                  <c:v>95231.90475046495</c:v>
                </c:pt>
                <c:pt idx="34">
                  <c:v>95994.286245323165</c:v>
                </c:pt>
                <c:pt idx="35">
                  <c:v>96753.343381696686</c:v>
                </c:pt>
                <c:pt idx="36">
                  <c:v>97509.132558552301</c:v>
                </c:pt>
                <c:pt idx="37">
                  <c:v>98261.710872680545</c:v>
                </c:pt>
                <c:pt idx="38">
                  <c:v>99011.135984420718</c:v>
                </c:pt>
                <c:pt idx="39">
                  <c:v>99757.465988449418</c:v>
                </c:pt>
                <c:pt idx="40">
                  <c:v>100500.75929001022</c:v>
                </c:pt>
                <c:pt idx="41">
                  <c:v>101241.07448689129</c:v>
                </c:pt>
                <c:pt idx="42">
                  <c:v>101978.47025738841</c:v>
                </c:pt>
                <c:pt idx="43">
                  <c:v>102713.00525442715</c:v>
                </c:pt>
                <c:pt idx="44">
                  <c:v>103444.73800595703</c:v>
                </c:pt>
                <c:pt idx="45">
                  <c:v>104173.72682167463</c:v>
                </c:pt>
                <c:pt idx="46">
                  <c:v>104900.02970608167</c:v>
                </c:pt>
                <c:pt idx="47">
                  <c:v>105623.70427783777</c:v>
                </c:pt>
                <c:pt idx="48">
                  <c:v>106344.8076953267</c:v>
                </c:pt>
                <c:pt idx="49">
                  <c:v>107063.39658831865</c:v>
                </c:pt>
                <c:pt idx="50">
                  <c:v>107779.52699557923</c:v>
                </c:pt>
                <c:pt idx="51">
                  <c:v>108493.25430824999</c:v>
                </c:pt>
                <c:pt idx="52">
                  <c:v>109204.63321880221</c:v>
                </c:pt>
                <c:pt idx="53">
                  <c:v>109913.71767534793</c:v>
                </c:pt>
                <c:pt idx="54">
                  <c:v>110620.56084107776</c:v>
                </c:pt>
                <c:pt idx="55">
                  <c:v>111325.21505858435</c:v>
                </c:pt>
                <c:pt idx="56">
                  <c:v>112027.7318188229</c:v>
                </c:pt>
                <c:pt idx="57">
                  <c:v>112728.16173445556</c:v>
                </c:pt>
                <c:pt idx="58">
                  <c:v>113426.55451732458</c:v>
                </c:pt>
                <c:pt idx="59">
                  <c:v>114122.95895979957</c:v>
                </c:pt>
                <c:pt idx="60">
                  <c:v>114817.42291974655</c:v>
                </c:pt>
                <c:pt idx="61">
                  <c:v>115509.99330887047</c:v>
                </c:pt>
                <c:pt idx="62">
                  <c:v>116200.71608418877</c:v>
                </c:pt>
                <c:pt idx="63">
                  <c:v>116889.63624239995</c:v>
                </c:pt>
                <c:pt idx="64">
                  <c:v>117576.79781691957</c:v>
                </c:pt>
                <c:pt idx="65">
                  <c:v>118262.24387736357</c:v>
                </c:pt>
                <c:pt idx="66">
                  <c:v>118946.01653126947</c:v>
                </c:pt>
                <c:pt idx="67">
                  <c:v>119628.15692785471</c:v>
                </c:pt>
                <c:pt idx="68">
                  <c:v>120308.70526362088</c:v>
                </c:pt>
                <c:pt idx="69">
                  <c:v>120987.70078962446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1C-4BD9-87E8-6EF553A4E418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Sheet8_HID!xdata2</c:f>
              <c:numCache>
                <c:formatCode>General</c:formatCode>
                <c:ptCount val="70"/>
                <c:pt idx="0">
                  <c:v>67427.452678595801</c:v>
                </c:pt>
                <c:pt idx="1">
                  <c:v>68501.848034168317</c:v>
                </c:pt>
                <c:pt idx="2">
                  <c:v>69576.243389740834</c:v>
                </c:pt>
                <c:pt idx="3">
                  <c:v>70650.638745313365</c:v>
                </c:pt>
                <c:pt idx="4">
                  <c:v>71725.034100885881</c:v>
                </c:pt>
                <c:pt idx="5">
                  <c:v>72799.429456458398</c:v>
                </c:pt>
                <c:pt idx="6">
                  <c:v>73873.824812030914</c:v>
                </c:pt>
                <c:pt idx="7">
                  <c:v>74948.220167603446</c:v>
                </c:pt>
                <c:pt idx="8">
                  <c:v>76022.615523175962</c:v>
                </c:pt>
                <c:pt idx="9">
                  <c:v>77097.010878748479</c:v>
                </c:pt>
                <c:pt idx="10">
                  <c:v>78171.406234320995</c:v>
                </c:pt>
                <c:pt idx="11">
                  <c:v>79245.801589893526</c:v>
                </c:pt>
                <c:pt idx="12">
                  <c:v>80320.196945466043</c:v>
                </c:pt>
                <c:pt idx="13">
                  <c:v>81394.59230103856</c:v>
                </c:pt>
                <c:pt idx="14">
                  <c:v>82468.987656611076</c:v>
                </c:pt>
                <c:pt idx="15">
                  <c:v>83543.383012183593</c:v>
                </c:pt>
                <c:pt idx="16">
                  <c:v>84617.778367756124</c:v>
                </c:pt>
                <c:pt idx="17">
                  <c:v>85692.17372332864</c:v>
                </c:pt>
                <c:pt idx="18">
                  <c:v>86766.569078901157</c:v>
                </c:pt>
                <c:pt idx="19">
                  <c:v>87840.964434473688</c:v>
                </c:pt>
                <c:pt idx="20">
                  <c:v>88915.359790046205</c:v>
                </c:pt>
                <c:pt idx="21">
                  <c:v>89989.755145618721</c:v>
                </c:pt>
                <c:pt idx="22">
                  <c:v>91064.150501191238</c:v>
                </c:pt>
                <c:pt idx="23">
                  <c:v>92138.545856763754</c:v>
                </c:pt>
                <c:pt idx="24">
                  <c:v>93212.941212336271</c:v>
                </c:pt>
                <c:pt idx="25">
                  <c:v>94287.336567908802</c:v>
                </c:pt>
                <c:pt idx="26">
                  <c:v>95361.731923481319</c:v>
                </c:pt>
                <c:pt idx="27">
                  <c:v>96436.127279053835</c:v>
                </c:pt>
                <c:pt idx="28">
                  <c:v>97510.522634626366</c:v>
                </c:pt>
                <c:pt idx="29">
                  <c:v>98584.917990198883</c:v>
                </c:pt>
                <c:pt idx="30">
                  <c:v>99659.313345771399</c:v>
                </c:pt>
                <c:pt idx="31">
                  <c:v>100733.70870134392</c:v>
                </c:pt>
                <c:pt idx="32">
                  <c:v>101808.10405691643</c:v>
                </c:pt>
                <c:pt idx="33">
                  <c:v>102882.49941248895</c:v>
                </c:pt>
                <c:pt idx="34">
                  <c:v>103956.89476806148</c:v>
                </c:pt>
                <c:pt idx="35">
                  <c:v>105031.290123634</c:v>
                </c:pt>
                <c:pt idx="36">
                  <c:v>106105.68547920653</c:v>
                </c:pt>
                <c:pt idx="37">
                  <c:v>107180.08083477904</c:v>
                </c:pt>
                <c:pt idx="38">
                  <c:v>108254.47619035156</c:v>
                </c:pt>
                <c:pt idx="39">
                  <c:v>109328.87154592408</c:v>
                </c:pt>
                <c:pt idx="40">
                  <c:v>110403.26690149659</c:v>
                </c:pt>
                <c:pt idx="41">
                  <c:v>111477.66225706911</c:v>
                </c:pt>
                <c:pt idx="42">
                  <c:v>112552.05761264164</c:v>
                </c:pt>
                <c:pt idx="43">
                  <c:v>113626.45296821416</c:v>
                </c:pt>
                <c:pt idx="44">
                  <c:v>114700.84832378669</c:v>
                </c:pt>
                <c:pt idx="45">
                  <c:v>115775.24367935921</c:v>
                </c:pt>
                <c:pt idx="46">
                  <c:v>116849.63903493172</c:v>
                </c:pt>
                <c:pt idx="47">
                  <c:v>117924.03439050424</c:v>
                </c:pt>
                <c:pt idx="48">
                  <c:v>118998.42974607676</c:v>
                </c:pt>
                <c:pt idx="49">
                  <c:v>120072.82510164927</c:v>
                </c:pt>
                <c:pt idx="50">
                  <c:v>121147.22045722179</c:v>
                </c:pt>
                <c:pt idx="51">
                  <c:v>122221.61581279432</c:v>
                </c:pt>
                <c:pt idx="52">
                  <c:v>123296.01116836684</c:v>
                </c:pt>
                <c:pt idx="53">
                  <c:v>124370.40652393937</c:v>
                </c:pt>
                <c:pt idx="54">
                  <c:v>125444.80187951188</c:v>
                </c:pt>
                <c:pt idx="55">
                  <c:v>126519.1972350844</c:v>
                </c:pt>
                <c:pt idx="56">
                  <c:v>127593.59259065692</c:v>
                </c:pt>
                <c:pt idx="57">
                  <c:v>128667.98794622943</c:v>
                </c:pt>
                <c:pt idx="58">
                  <c:v>129742.38330180195</c:v>
                </c:pt>
                <c:pt idx="59">
                  <c:v>130816.77865737448</c:v>
                </c:pt>
                <c:pt idx="60">
                  <c:v>131891.17401294701</c:v>
                </c:pt>
                <c:pt idx="61">
                  <c:v>132965.56936851953</c:v>
                </c:pt>
                <c:pt idx="62">
                  <c:v>134039.96472409205</c:v>
                </c:pt>
                <c:pt idx="63">
                  <c:v>135114.36007966456</c:v>
                </c:pt>
                <c:pt idx="64">
                  <c:v>136188.75543523708</c:v>
                </c:pt>
                <c:pt idx="65">
                  <c:v>137263.1507908096</c:v>
                </c:pt>
                <c:pt idx="66">
                  <c:v>138337.54614638211</c:v>
                </c:pt>
                <c:pt idx="67">
                  <c:v>139411.94150195463</c:v>
                </c:pt>
                <c:pt idx="68">
                  <c:v>140486.33685752715</c:v>
                </c:pt>
                <c:pt idx="69">
                  <c:v>141560.73221309966</c:v>
                </c:pt>
              </c:numCache>
            </c:numRef>
          </c:xVal>
          <c:yVal>
            <c:numRef>
              <c:f>Sheet8_HID!ydata2</c:f>
              <c:numCache>
                <c:formatCode>General</c:formatCode>
                <c:ptCount val="70"/>
                <c:pt idx="0">
                  <c:v>83821.76244021843</c:v>
                </c:pt>
                <c:pt idx="1">
                  <c:v>84763.157391985427</c:v>
                </c:pt>
                <c:pt idx="2">
                  <c:v>85709.456325559891</c:v>
                </c:pt>
                <c:pt idx="3">
                  <c:v>86660.776951012318</c:v>
                </c:pt>
                <c:pt idx="4">
                  <c:v>87617.235937948499</c:v>
                </c:pt>
                <c:pt idx="5">
                  <c:v>88578.948499367951</c:v>
                </c:pt>
                <c:pt idx="6">
                  <c:v>89546.027954933539</c:v>
                </c:pt>
                <c:pt idx="7">
                  <c:v>90518.585276056168</c:v>
                </c:pt>
                <c:pt idx="8">
                  <c:v>91496.728615689222</c:v>
                </c:pt>
                <c:pt idx="9">
                  <c:v>92480.562826218607</c:v>
                </c:pt>
                <c:pt idx="10">
                  <c:v>93470.188969309645</c:v>
                </c:pt>
                <c:pt idx="11">
                  <c:v>94465.703822020878</c:v>
                </c:pt>
                <c:pt idx="12">
                  <c:v>95467.199383899075</c:v>
                </c:pt>
                <c:pt idx="13">
                  <c:v>96474.762390116841</c:v>
                </c:pt>
                <c:pt idx="14">
                  <c:v>97488.473835985496</c:v>
                </c:pt>
                <c:pt idx="15">
                  <c:v>98508.40851836167</c:v>
                </c:pt>
                <c:pt idx="16">
                  <c:v>99534.634599548226</c:v>
                </c:pt>
                <c:pt idx="17">
                  <c:v>100567.2131992629</c:v>
                </c:pt>
                <c:pt idx="18">
                  <c:v>101606.19802010126</c:v>
                </c:pt>
                <c:pt idx="19">
                  <c:v>102651.63501165074</c:v>
                </c:pt>
                <c:pt idx="20">
                  <c:v>103703.56207802109</c:v>
                </c:pt>
                <c:pt idx="21">
                  <c:v>104762.0088330466</c:v>
                </c:pt>
                <c:pt idx="22">
                  <c:v>105826.99640679632</c:v>
                </c:pt>
                <c:pt idx="23">
                  <c:v>106898.53730631439</c:v>
                </c:pt>
                <c:pt idx="24">
                  <c:v>107976.63533271918</c:v>
                </c:pt>
                <c:pt idx="25">
                  <c:v>109061.28555593846</c:v>
                </c:pt>
                <c:pt idx="26">
                  <c:v>110152.47434747174</c:v>
                </c:pt>
                <c:pt idx="27">
                  <c:v>111250.1794706728</c:v>
                </c:pt>
                <c:pt idx="28">
                  <c:v>112354.37022716262</c:v>
                </c:pt>
                <c:pt idx="29">
                  <c:v>113465.00765713744</c:v>
                </c:pt>
                <c:pt idx="30">
                  <c:v>114582.04479055294</c:v>
                </c:pt>
                <c:pt idx="31">
                  <c:v>115705.42694546224</c:v>
                </c:pt>
                <c:pt idx="32">
                  <c:v>116835.09206917998</c:v>
                </c:pt>
                <c:pt idx="33">
                  <c:v>117970.97111745007</c:v>
                </c:pt>
                <c:pt idx="34">
                  <c:v>119112.98846641813</c:v>
                </c:pt>
                <c:pt idx="35">
                  <c:v>120261.06235195615</c:v>
                </c:pt>
                <c:pt idx="36">
                  <c:v>121415.10533075652</c:v>
                </c:pt>
                <c:pt idx="37">
                  <c:v>122575.02475759818</c:v>
                </c:pt>
                <c:pt idx="38">
                  <c:v>123740.72327328655</c:v>
                </c:pt>
                <c:pt idx="39">
                  <c:v>124912.09929796352</c:v>
                </c:pt>
                <c:pt idx="40">
                  <c:v>126089.04752476828</c:v>
                </c:pt>
                <c:pt idx="41">
                  <c:v>127271.45940918334</c:v>
                </c:pt>
                <c:pt idx="42">
                  <c:v>128459.22364981216</c:v>
                </c:pt>
                <c:pt idx="43">
                  <c:v>129652.2266567867</c:v>
                </c:pt>
                <c:pt idx="44">
                  <c:v>130850.35300448295</c:v>
                </c:pt>
                <c:pt idx="45">
                  <c:v>132053.48586571243</c:v>
                </c:pt>
                <c:pt idx="46">
                  <c:v>133261.50742504996</c:v>
                </c:pt>
                <c:pt idx="47">
                  <c:v>134474.29926943619</c:v>
                </c:pt>
                <c:pt idx="48">
                  <c:v>135691.74275465321</c:v>
                </c:pt>
                <c:pt idx="49">
                  <c:v>136913.7193467023</c:v>
                </c:pt>
                <c:pt idx="50">
                  <c:v>138140.11093750989</c:v>
                </c:pt>
                <c:pt idx="51">
                  <c:v>139370.80013474752</c:v>
                </c:pt>
                <c:pt idx="52">
                  <c:v>140605.67052587119</c:v>
                </c:pt>
                <c:pt idx="53">
                  <c:v>141844.60691676431</c:v>
                </c:pt>
                <c:pt idx="54">
                  <c:v>143087.49554560558</c:v>
                </c:pt>
                <c:pt idx="55">
                  <c:v>144334.22427278192</c:v>
                </c:pt>
                <c:pt idx="56">
                  <c:v>145584.68274782691</c:v>
                </c:pt>
                <c:pt idx="57">
                  <c:v>146838.76255448977</c:v>
                </c:pt>
                <c:pt idx="58">
                  <c:v>148096.35733513409</c:v>
                </c:pt>
                <c:pt idx="59">
                  <c:v>149357.36289572887</c:v>
                </c:pt>
                <c:pt idx="60">
                  <c:v>150621.67729273246</c:v>
                </c:pt>
                <c:pt idx="61">
                  <c:v>151889.2009031866</c:v>
                </c:pt>
                <c:pt idx="62">
                  <c:v>153159.83647933378</c:v>
                </c:pt>
                <c:pt idx="63">
                  <c:v>154433.48918905223</c:v>
                </c:pt>
                <c:pt idx="64">
                  <c:v>155710.06664336909</c:v>
                </c:pt>
                <c:pt idx="65">
                  <c:v>156989.47891227066</c:v>
                </c:pt>
                <c:pt idx="66">
                  <c:v>158271.63852997471</c:v>
                </c:pt>
                <c:pt idx="67">
                  <c:v>159556.46049077428</c:v>
                </c:pt>
                <c:pt idx="68">
                  <c:v>160843.86223649891</c:v>
                </c:pt>
                <c:pt idx="69">
                  <c:v>162133.76363657485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1C-4BD9-87E8-6EF553A4E418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60000</c:v>
              </c:pt>
              <c:pt idx="1">
                <c:v>180000</c:v>
              </c:pt>
            </c:numLit>
          </c:xVal>
          <c:yVal>
            <c:numLit>
              <c:formatCode>General</c:formatCode>
              <c:ptCount val="2"/>
              <c:pt idx="0">
                <c:v>60000</c:v>
              </c:pt>
              <c:pt idx="1">
                <c:v>180000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21C-4BD9-87E8-6EF553A4E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75984"/>
        <c:axId val="1049177784"/>
      </c:scatterChart>
      <c:valAx>
        <c:axId val="1049175984"/>
        <c:scaling>
          <c:orientation val="minMax"/>
          <c:max val="180000"/>
          <c:min val="6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Pred(Market Value)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49177784"/>
        <c:crosses val="autoZero"/>
        <c:crossBetween val="midCat"/>
      </c:valAx>
      <c:valAx>
        <c:axId val="1049177784"/>
        <c:scaling>
          <c:orientation val="minMax"/>
          <c:max val="180000"/>
          <c:min val="6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Market 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4917598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Market Value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1'!$A$100:$A$141</c:f>
              <c:strCache>
                <c:ptCount val="42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</c:strCache>
            </c:strRef>
          </c:cat>
          <c:val>
            <c:numRef>
              <c:f>'Linear Regression Output 1'!$F$100:$F$141</c:f>
              <c:numCache>
                <c:formatCode>0.000</c:formatCode>
                <c:ptCount val="42"/>
                <c:pt idx="0">
                  <c:v>0.81269813782831424</c:v>
                </c:pt>
                <c:pt idx="1">
                  <c:v>0.38183444196745164</c:v>
                </c:pt>
                <c:pt idx="2">
                  <c:v>-0.27894254965241622</c:v>
                </c:pt>
                <c:pt idx="3">
                  <c:v>2.9598806222580869E-2</c:v>
                </c:pt>
                <c:pt idx="4">
                  <c:v>-0.85122322600899225</c:v>
                </c:pt>
                <c:pt idx="5">
                  <c:v>-0.74090324703154786</c:v>
                </c:pt>
                <c:pt idx="6">
                  <c:v>-0.40750896867721081</c:v>
                </c:pt>
                <c:pt idx="7">
                  <c:v>4.2939854058259854</c:v>
                </c:pt>
                <c:pt idx="8">
                  <c:v>-1.0668061128658664</c:v>
                </c:pt>
                <c:pt idx="9">
                  <c:v>-0.55010540580494904</c:v>
                </c:pt>
                <c:pt idx="10">
                  <c:v>-1.2706942148197926</c:v>
                </c:pt>
                <c:pt idx="11">
                  <c:v>-0.58680063707968699</c:v>
                </c:pt>
                <c:pt idx="12">
                  <c:v>-0.41382047441318887</c:v>
                </c:pt>
                <c:pt idx="13">
                  <c:v>-0.61898889936373858</c:v>
                </c:pt>
                <c:pt idx="14">
                  <c:v>-0.36713892426853834</c:v>
                </c:pt>
                <c:pt idx="15">
                  <c:v>0.16477170767936519</c:v>
                </c:pt>
                <c:pt idx="16">
                  <c:v>1.1535987205561522</c:v>
                </c:pt>
                <c:pt idx="17">
                  <c:v>-0.81979169142373376</c:v>
                </c:pt>
                <c:pt idx="18">
                  <c:v>1.8668095117361447</c:v>
                </c:pt>
                <c:pt idx="19">
                  <c:v>0.23410206038745604</c:v>
                </c:pt>
                <c:pt idx="20">
                  <c:v>-0.4481399316635053</c:v>
                </c:pt>
                <c:pt idx="21">
                  <c:v>-0.32431254542750182</c:v>
                </c:pt>
                <c:pt idx="22">
                  <c:v>0.75310676927542564</c:v>
                </c:pt>
                <c:pt idx="23">
                  <c:v>0.52908545612773628</c:v>
                </c:pt>
                <c:pt idx="24">
                  <c:v>-6.1254200949632846E-2</c:v>
                </c:pt>
                <c:pt idx="25">
                  <c:v>-0.10522978950319661</c:v>
                </c:pt>
                <c:pt idx="26">
                  <c:v>-1.1361364655739572</c:v>
                </c:pt>
                <c:pt idx="27">
                  <c:v>1.956484537136691E-2</c:v>
                </c:pt>
                <c:pt idx="28">
                  <c:v>-0.41760325506859791</c:v>
                </c:pt>
                <c:pt idx="29">
                  <c:v>1.316978113508416</c:v>
                </c:pt>
                <c:pt idx="30">
                  <c:v>-0.66103397013789444</c:v>
                </c:pt>
                <c:pt idx="31">
                  <c:v>0.56940724010427357</c:v>
                </c:pt>
                <c:pt idx="32">
                  <c:v>-0.3316335276801613</c:v>
                </c:pt>
                <c:pt idx="33">
                  <c:v>-0.69301872848964297</c:v>
                </c:pt>
                <c:pt idx="34">
                  <c:v>1.0396567026760526</c:v>
                </c:pt>
                <c:pt idx="35">
                  <c:v>0.716874807758345</c:v>
                </c:pt>
                <c:pt idx="36">
                  <c:v>-0.27511150856486988</c:v>
                </c:pt>
                <c:pt idx="37">
                  <c:v>0.1890149762003463</c:v>
                </c:pt>
                <c:pt idx="38">
                  <c:v>-0.3470337386391491</c:v>
                </c:pt>
                <c:pt idx="39">
                  <c:v>0.10930742551289252</c:v>
                </c:pt>
                <c:pt idx="40">
                  <c:v>-0.82697995748801112</c:v>
                </c:pt>
                <c:pt idx="41">
                  <c:v>-0.5801831581425213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3-4EFB-9F8F-50EBD5D08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49174904"/>
        <c:axId val="1049175984"/>
      </c:barChart>
      <c:catAx>
        <c:axId val="1049174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49175984"/>
        <c:crosses val="autoZero"/>
        <c:auto val="1"/>
        <c:lblAlgn val="ctr"/>
        <c:lblOffset val="100"/>
        <c:noMultiLvlLbl val="0"/>
      </c:catAx>
      <c:valAx>
        <c:axId val="1049175984"/>
        <c:scaling>
          <c:orientation val="minMax"/>
          <c:max val="5"/>
          <c:min val="-5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4917490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Market Value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7B-435A-AABF-EC5775EED8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0.21797319127296921</c:v>
                </c:pt>
              </c:numLit>
            </c:plus>
            <c:minus>
              <c:numLit>
                <c:formatCode>General</c:formatCode>
                <c:ptCount val="1"/>
                <c:pt idx="0">
                  <c:v>0.21797319127296921</c:v>
                </c:pt>
              </c:numLit>
            </c:minus>
          </c:errBars>
          <c:cat>
            <c:strRef>
              <c:f>'Linear Regression Output 2'!$A$68</c:f>
              <c:strCache>
                <c:ptCount val="1"/>
                <c:pt idx="0">
                  <c:v>Square Feet</c:v>
                </c:pt>
              </c:strCache>
            </c:strRef>
          </c:cat>
          <c:val>
            <c:numRef>
              <c:f>'Linear Regression Output 2'!$B$68</c:f>
              <c:numCache>
                <c:formatCode>0.000</c:formatCode>
                <c:ptCount val="1"/>
                <c:pt idx="0">
                  <c:v>0.73125522334851889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B-435A-AABF-EC5775EED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155855800"/>
        <c:axId val="1155856160"/>
      </c:barChart>
      <c:catAx>
        <c:axId val="115585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856160"/>
        <c:crosses val="autoZero"/>
        <c:auto val="1"/>
        <c:lblAlgn val="ctr"/>
        <c:lblOffset val="100"/>
        <c:noMultiLvlLbl val="0"/>
      </c:catAx>
      <c:valAx>
        <c:axId val="1155856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85580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Regression of Market Value by Square Feet (R²=0.535)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2'!$C$94:$C$135</c:f>
              <c:numCache>
                <c:formatCode>0.000</c:formatCode>
                <c:ptCount val="42"/>
                <c:pt idx="0">
                  <c:v>1836</c:v>
                </c:pt>
                <c:pt idx="1">
                  <c:v>1684</c:v>
                </c:pt>
                <c:pt idx="2">
                  <c:v>1520</c:v>
                </c:pt>
                <c:pt idx="3">
                  <c:v>1850</c:v>
                </c:pt>
                <c:pt idx="4">
                  <c:v>1484</c:v>
                </c:pt>
                <c:pt idx="5">
                  <c:v>1731</c:v>
                </c:pt>
                <c:pt idx="6">
                  <c:v>1484</c:v>
                </c:pt>
                <c:pt idx="7">
                  <c:v>1581</c:v>
                </c:pt>
                <c:pt idx="8">
                  <c:v>1588</c:v>
                </c:pt>
                <c:pt idx="9">
                  <c:v>2372</c:v>
                </c:pt>
                <c:pt idx="10">
                  <c:v>1484</c:v>
                </c:pt>
                <c:pt idx="11">
                  <c:v>1812</c:v>
                </c:pt>
                <c:pt idx="12">
                  <c:v>1842</c:v>
                </c:pt>
                <c:pt idx="13">
                  <c:v>1484</c:v>
                </c:pt>
                <c:pt idx="14">
                  <c:v>1692</c:v>
                </c:pt>
                <c:pt idx="15">
                  <c:v>1520</c:v>
                </c:pt>
                <c:pt idx="16">
                  <c:v>2123</c:v>
                </c:pt>
                <c:pt idx="17">
                  <c:v>1784</c:v>
                </c:pt>
                <c:pt idx="18">
                  <c:v>1520</c:v>
                </c:pt>
                <c:pt idx="19">
                  <c:v>1520</c:v>
                </c:pt>
                <c:pt idx="20">
                  <c:v>1812</c:v>
                </c:pt>
                <c:pt idx="21">
                  <c:v>1484</c:v>
                </c:pt>
                <c:pt idx="22">
                  <c:v>2028</c:v>
                </c:pt>
                <c:pt idx="23">
                  <c:v>1468</c:v>
                </c:pt>
                <c:pt idx="24">
                  <c:v>1701</c:v>
                </c:pt>
                <c:pt idx="25">
                  <c:v>1666</c:v>
                </c:pt>
                <c:pt idx="26">
                  <c:v>1588</c:v>
                </c:pt>
                <c:pt idx="27">
                  <c:v>1666</c:v>
                </c:pt>
                <c:pt idx="28">
                  <c:v>1520</c:v>
                </c:pt>
                <c:pt idx="29">
                  <c:v>1620</c:v>
                </c:pt>
                <c:pt idx="30">
                  <c:v>2372</c:v>
                </c:pt>
                <c:pt idx="31">
                  <c:v>1852</c:v>
                </c:pt>
                <c:pt idx="32">
                  <c:v>1668</c:v>
                </c:pt>
                <c:pt idx="33">
                  <c:v>1791</c:v>
                </c:pt>
                <c:pt idx="34">
                  <c:v>1620</c:v>
                </c:pt>
                <c:pt idx="35">
                  <c:v>1914</c:v>
                </c:pt>
                <c:pt idx="36">
                  <c:v>1666</c:v>
                </c:pt>
                <c:pt idx="37">
                  <c:v>1520</c:v>
                </c:pt>
                <c:pt idx="38">
                  <c:v>1598</c:v>
                </c:pt>
                <c:pt idx="39">
                  <c:v>1520</c:v>
                </c:pt>
                <c:pt idx="40">
                  <c:v>1484</c:v>
                </c:pt>
                <c:pt idx="41">
                  <c:v>1732</c:v>
                </c:pt>
              </c:numCache>
            </c:numRef>
          </c:xVal>
          <c:yVal>
            <c:numRef>
              <c:f>'Linear Regression Output 2'!$D$94:$D$135</c:f>
              <c:numCache>
                <c:formatCode>0.000</c:formatCode>
                <c:ptCount val="42"/>
                <c:pt idx="0">
                  <c:v>101900</c:v>
                </c:pt>
                <c:pt idx="1">
                  <c:v>96700</c:v>
                </c:pt>
                <c:pt idx="2">
                  <c:v>84400</c:v>
                </c:pt>
                <c:pt idx="3">
                  <c:v>96000</c:v>
                </c:pt>
                <c:pt idx="4">
                  <c:v>78800</c:v>
                </c:pt>
                <c:pt idx="5">
                  <c:v>86400</c:v>
                </c:pt>
                <c:pt idx="6">
                  <c:v>82000</c:v>
                </c:pt>
                <c:pt idx="7">
                  <c:v>120700</c:v>
                </c:pt>
                <c:pt idx="8">
                  <c:v>81500</c:v>
                </c:pt>
                <c:pt idx="9">
                  <c:v>114000</c:v>
                </c:pt>
                <c:pt idx="10">
                  <c:v>76600</c:v>
                </c:pt>
                <c:pt idx="11">
                  <c:v>90000</c:v>
                </c:pt>
                <c:pt idx="12">
                  <c:v>93300</c:v>
                </c:pt>
                <c:pt idx="13">
                  <c:v>81300</c:v>
                </c:pt>
                <c:pt idx="14">
                  <c:v>87500</c:v>
                </c:pt>
                <c:pt idx="15">
                  <c:v>87600</c:v>
                </c:pt>
                <c:pt idx="16">
                  <c:v>116100</c:v>
                </c:pt>
                <c:pt idx="17">
                  <c:v>91300</c:v>
                </c:pt>
                <c:pt idx="18">
                  <c:v>100700</c:v>
                </c:pt>
                <c:pt idx="19">
                  <c:v>88100</c:v>
                </c:pt>
                <c:pt idx="20">
                  <c:v>91000</c:v>
                </c:pt>
                <c:pt idx="21">
                  <c:v>82600</c:v>
                </c:pt>
                <c:pt idx="22">
                  <c:v>108500</c:v>
                </c:pt>
                <c:pt idx="23">
                  <c:v>88100</c:v>
                </c:pt>
                <c:pt idx="24">
                  <c:v>94200</c:v>
                </c:pt>
                <c:pt idx="25">
                  <c:v>87500</c:v>
                </c:pt>
                <c:pt idx="26">
                  <c:v>81000</c:v>
                </c:pt>
                <c:pt idx="27">
                  <c:v>88400</c:v>
                </c:pt>
                <c:pt idx="28">
                  <c:v>83400</c:v>
                </c:pt>
                <c:pt idx="29">
                  <c:v>96700</c:v>
                </c:pt>
                <c:pt idx="30">
                  <c:v>113200</c:v>
                </c:pt>
                <c:pt idx="31">
                  <c:v>100800</c:v>
                </c:pt>
                <c:pt idx="32">
                  <c:v>90900</c:v>
                </c:pt>
                <c:pt idx="33">
                  <c:v>89200</c:v>
                </c:pt>
                <c:pt idx="34">
                  <c:v>94700</c:v>
                </c:pt>
                <c:pt idx="35">
                  <c:v>104400</c:v>
                </c:pt>
                <c:pt idx="36">
                  <c:v>87100</c:v>
                </c:pt>
                <c:pt idx="37">
                  <c:v>88600</c:v>
                </c:pt>
                <c:pt idx="38">
                  <c:v>87100</c:v>
                </c:pt>
                <c:pt idx="39">
                  <c:v>87200</c:v>
                </c:pt>
                <c:pt idx="40">
                  <c:v>79800</c:v>
                </c:pt>
                <c:pt idx="41">
                  <c:v>87600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4-43AE-B521-25D14BAF74DE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1684</c:v>
              </c:pt>
            </c:numLit>
          </c:xVal>
          <c:yVal>
            <c:numLit>
              <c:formatCode>General</c:formatCode>
              <c:ptCount val="1"/>
              <c:pt idx="0">
                <c:v>96700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14-43AE-B521-25D14BAF74DE}"/>
            </c:ext>
          </c:extLst>
        </c:ser>
        <c:ser>
          <c:idx val="2"/>
          <c:order val="2"/>
          <c:tx>
            <c:v>Model</c:v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1377.6</c:v>
              </c:pt>
              <c:pt idx="1">
                <c:v>2462.4</c:v>
              </c:pt>
            </c:numLit>
          </c:xVal>
          <c:yVal>
            <c:numLit>
              <c:formatCode>General</c:formatCode>
              <c:ptCount val="2"/>
              <c:pt idx="0">
                <c:v>80939.326768234096</c:v>
              </c:pt>
              <c:pt idx="1">
                <c:v>118946.78374678458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214-43AE-B521-25D14BAF74DE}"/>
            </c:ext>
          </c:extLst>
        </c:ser>
        <c:ser>
          <c:idx val="3"/>
          <c:order val="3"/>
          <c:tx>
            <c:v>Conf. interval (Mean 95%)</c:v>
          </c:tx>
          <c:spPr>
            <a:ln w="635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Sheet9_HID!xdata1</c:f>
              <c:numCache>
                <c:formatCode>General</c:formatCode>
                <c:ptCount val="70"/>
                <c:pt idx="0">
                  <c:v>1377.6</c:v>
                </c:pt>
                <c:pt idx="1">
                  <c:v>1393.3217391304347</c:v>
                </c:pt>
                <c:pt idx="2">
                  <c:v>1409.0434782608695</c:v>
                </c:pt>
                <c:pt idx="3">
                  <c:v>1424.7652173913043</c:v>
                </c:pt>
                <c:pt idx="4">
                  <c:v>1440.4869565217391</c:v>
                </c:pt>
                <c:pt idx="5">
                  <c:v>1456.2086956521739</c:v>
                </c:pt>
                <c:pt idx="6">
                  <c:v>1471.9304347826087</c:v>
                </c:pt>
                <c:pt idx="7">
                  <c:v>1487.6521739130435</c:v>
                </c:pt>
                <c:pt idx="8">
                  <c:v>1503.3739130434783</c:v>
                </c:pt>
                <c:pt idx="9">
                  <c:v>1519.0956521739131</c:v>
                </c:pt>
                <c:pt idx="10">
                  <c:v>1534.8173913043479</c:v>
                </c:pt>
                <c:pt idx="11">
                  <c:v>1550.5391304347827</c:v>
                </c:pt>
                <c:pt idx="12">
                  <c:v>1566.2608695652175</c:v>
                </c:pt>
                <c:pt idx="13">
                  <c:v>1581.9826086956523</c:v>
                </c:pt>
                <c:pt idx="14">
                  <c:v>1597.7043478260871</c:v>
                </c:pt>
                <c:pt idx="15">
                  <c:v>1613.4260869565219</c:v>
                </c:pt>
                <c:pt idx="16">
                  <c:v>1629.1478260869567</c:v>
                </c:pt>
                <c:pt idx="17">
                  <c:v>1644.8695652173915</c:v>
                </c:pt>
                <c:pt idx="18">
                  <c:v>1660.5913043478263</c:v>
                </c:pt>
                <c:pt idx="19">
                  <c:v>1676.3130434782611</c:v>
                </c:pt>
                <c:pt idx="20">
                  <c:v>1692.0347826086959</c:v>
                </c:pt>
                <c:pt idx="21">
                  <c:v>1707.7565217391307</c:v>
                </c:pt>
                <c:pt idx="22">
                  <c:v>1723.4782608695655</c:v>
                </c:pt>
                <c:pt idx="23">
                  <c:v>1739.2000000000003</c:v>
                </c:pt>
                <c:pt idx="24">
                  <c:v>1754.9217391304351</c:v>
                </c:pt>
                <c:pt idx="25">
                  <c:v>1770.6434782608699</c:v>
                </c:pt>
                <c:pt idx="26">
                  <c:v>1786.3652173913047</c:v>
                </c:pt>
                <c:pt idx="27">
                  <c:v>1802.0869565217395</c:v>
                </c:pt>
                <c:pt idx="28">
                  <c:v>1817.8086956521743</c:v>
                </c:pt>
                <c:pt idx="29">
                  <c:v>1833.5304347826091</c:v>
                </c:pt>
                <c:pt idx="30">
                  <c:v>1849.2521739130439</c:v>
                </c:pt>
                <c:pt idx="31">
                  <c:v>1864.9739130434787</c:v>
                </c:pt>
                <c:pt idx="32">
                  <c:v>1880.6956521739135</c:v>
                </c:pt>
                <c:pt idx="33">
                  <c:v>1896.4173913043483</c:v>
                </c:pt>
                <c:pt idx="34">
                  <c:v>1912.1391304347831</c:v>
                </c:pt>
                <c:pt idx="35">
                  <c:v>1927.8608695652179</c:v>
                </c:pt>
                <c:pt idx="36">
                  <c:v>1943.5826086956527</c:v>
                </c:pt>
                <c:pt idx="37">
                  <c:v>1959.3043478260875</c:v>
                </c:pt>
                <c:pt idx="38">
                  <c:v>1975.0260869565222</c:v>
                </c:pt>
                <c:pt idx="39">
                  <c:v>1990.747826086957</c:v>
                </c:pt>
                <c:pt idx="40">
                  <c:v>2006.4695652173918</c:v>
                </c:pt>
                <c:pt idx="41">
                  <c:v>2022.1913043478266</c:v>
                </c:pt>
                <c:pt idx="42">
                  <c:v>2037.9130434782614</c:v>
                </c:pt>
                <c:pt idx="43">
                  <c:v>2053.6347826086962</c:v>
                </c:pt>
                <c:pt idx="44">
                  <c:v>2069.356521739131</c:v>
                </c:pt>
                <c:pt idx="45">
                  <c:v>2085.0782608695658</c:v>
                </c:pt>
                <c:pt idx="46">
                  <c:v>2100.8000000000006</c:v>
                </c:pt>
                <c:pt idx="47">
                  <c:v>2116.5217391304354</c:v>
                </c:pt>
                <c:pt idx="48">
                  <c:v>2132.2434782608702</c:v>
                </c:pt>
                <c:pt idx="49">
                  <c:v>2147.965217391305</c:v>
                </c:pt>
                <c:pt idx="50">
                  <c:v>2163.6869565217398</c:v>
                </c:pt>
                <c:pt idx="51">
                  <c:v>2179.4086956521746</c:v>
                </c:pt>
                <c:pt idx="52">
                  <c:v>2195.1304347826094</c:v>
                </c:pt>
                <c:pt idx="53">
                  <c:v>2210.8521739130442</c:v>
                </c:pt>
                <c:pt idx="54">
                  <c:v>2226.573913043479</c:v>
                </c:pt>
                <c:pt idx="55">
                  <c:v>2242.2956521739138</c:v>
                </c:pt>
                <c:pt idx="56">
                  <c:v>2258.0173913043486</c:v>
                </c:pt>
                <c:pt idx="57">
                  <c:v>2273.7391304347834</c:v>
                </c:pt>
                <c:pt idx="58">
                  <c:v>2289.4608695652182</c:v>
                </c:pt>
                <c:pt idx="59">
                  <c:v>2305.182608695653</c:v>
                </c:pt>
                <c:pt idx="60">
                  <c:v>2320.9043478260878</c:v>
                </c:pt>
                <c:pt idx="61">
                  <c:v>2336.6260869565226</c:v>
                </c:pt>
                <c:pt idx="62">
                  <c:v>2352.3478260869574</c:v>
                </c:pt>
                <c:pt idx="63">
                  <c:v>2368.0695652173922</c:v>
                </c:pt>
                <c:pt idx="64">
                  <c:v>2383.791304347827</c:v>
                </c:pt>
                <c:pt idx="65">
                  <c:v>2399.5130434782618</c:v>
                </c:pt>
                <c:pt idx="66">
                  <c:v>2415.2347826086971</c:v>
                </c:pt>
                <c:pt idx="67">
                  <c:v>2430.9565217391319</c:v>
                </c:pt>
                <c:pt idx="68">
                  <c:v>2446.6782608695667</c:v>
                </c:pt>
                <c:pt idx="69">
                  <c:v>2462.4000000000015</c:v>
                </c:pt>
              </c:numCache>
            </c:numRef>
          </c:xVal>
          <c:yVal>
            <c:numRef>
              <c:f>Sheet9_HID!ydata1</c:f>
              <c:numCache>
                <c:formatCode>General</c:formatCode>
                <c:ptCount val="70"/>
                <c:pt idx="0">
                  <c:v>76917.942751102295</c:v>
                </c:pt>
                <c:pt idx="1">
                  <c:v>77603.123142357217</c:v>
                </c:pt>
                <c:pt idx="2">
                  <c:v>78285.930002370922</c:v>
                </c:pt>
                <c:pt idx="3">
                  <c:v>78966.104136363036</c:v>
                </c:pt>
                <c:pt idx="4">
                  <c:v>79643.3535993603</c:v>
                </c:pt>
                <c:pt idx="5">
                  <c:v>80317.349839806848</c:v>
                </c:pt>
                <c:pt idx="6">
                  <c:v>80987.723729313322</c:v>
                </c:pt>
                <c:pt idx="7">
                  <c:v>81654.061671273739</c:v>
                </c:pt>
                <c:pt idx="8">
                  <c:v>82315.902086202972</c:v>
                </c:pt>
                <c:pt idx="9">
                  <c:v>82972.732707903342</c:v>
                </c:pt>
                <c:pt idx="10">
                  <c:v>83623.989290159632</c:v>
                </c:pt>
                <c:pt idx="11">
                  <c:v>84269.056507006928</c:v>
                </c:pt>
                <c:pt idx="12">
                  <c:v>84907.272002868718</c:v>
                </c:pt>
                <c:pt idx="13">
                  <c:v>85537.934661112886</c:v>
                </c:pt>
                <c:pt idx="14">
                  <c:v>86160.318133330118</c:v>
                </c:pt>
                <c:pt idx="15">
                  <c:v>86773.690409155563</c:v>
                </c:pt>
                <c:pt idx="16">
                  <c:v>87377.339614369557</c:v>
                </c:pt>
                <c:pt idx="17">
                  <c:v>87970.605262677738</c:v>
                </c:pt>
                <c:pt idx="18">
                  <c:v>88552.91293069729</c:v>
                </c:pt>
                <c:pt idx="19">
                  <c:v>89123.809021359441</c:v>
                </c:pt>
                <c:pt idx="20">
                  <c:v>89682.991329092998</c:v>
                </c:pt>
                <c:pt idx="21">
                  <c:v>90230.330960128224</c:v>
                </c:pt>
                <c:pt idx="22">
                  <c:v>90765.882065208934</c:v>
                </c:pt>
                <c:pt idx="23">
                  <c:v>91289.877722615274</c:v>
                </c:pt>
                <c:pt idx="24">
                  <c:v>91802.712681094577</c:v>
                </c:pt>
                <c:pt idx="25">
                  <c:v>92304.915831947204</c:v>
                </c:pt>
                <c:pt idx="26">
                  <c:v>92797.116619162523</c:v>
                </c:pt>
                <c:pt idx="27">
                  <c:v>93280.009857495112</c:v>
                </c:pt>
                <c:pt idx="28">
                  <c:v>93754.322752779131</c:v>
                </c:pt>
                <c:pt idx="29">
                  <c:v>94220.786704578655</c:v>
                </c:pt>
                <c:pt idx="30">
                  <c:v>94680.115155678242</c:v>
                </c:pt>
                <c:pt idx="31">
                  <c:v>95132.987651935822</c:v>
                </c:pt>
                <c:pt idx="32">
                  <c:v>95580.039531690811</c:v>
                </c:pt>
                <c:pt idx="33">
                  <c:v>96021.85627577205</c:v>
                </c:pt>
                <c:pt idx="34">
                  <c:v>96458.971438308479</c:v>
                </c:pt>
                <c:pt idx="35">
                  <c:v>96891.867144770164</c:v>
                </c:pt>
                <c:pt idx="36">
                  <c:v>97320.976299539441</c:v>
                </c:pt>
                <c:pt idx="37">
                  <c:v>97746.685829054011</c:v>
                </c:pt>
                <c:pt idx="38">
                  <c:v>98169.340461609419</c:v>
                </c:pt>
                <c:pt idx="39">
                  <c:v>98589.246693851659</c:v>
                </c:pt>
                <c:pt idx="40">
                  <c:v>99006.676711706808</c:v>
                </c:pt>
                <c:pt idx="41">
                  <c:v>99421.872121581022</c:v>
                </c:pt>
                <c:pt idx="42">
                  <c:v>99835.047410682324</c:v>
                </c:pt>
                <c:pt idx="43">
                  <c:v>100246.39309858026</c:v>
                </c:pt>
                <c:pt idx="44">
                  <c:v>100656.07857058267</c:v>
                </c:pt>
                <c:pt idx="45">
                  <c:v>101064.25460130545</c:v>
                </c:pt>
                <c:pt idx="46">
                  <c:v>101471.05558717383</c:v>
                </c:pt>
                <c:pt idx="47">
                  <c:v>101876.60151193744</c:v>
                </c:pt>
                <c:pt idx="48">
                  <c:v>102280.9996713471</c:v>
                </c:pt>
                <c:pt idx="49">
                  <c:v>102684.34618315232</c:v>
                </c:pt>
                <c:pt idx="50">
                  <c:v>103086.72730737035</c:v>
                </c:pt>
                <c:pt idx="51">
                  <c:v>103488.22059990972</c:v>
                </c:pt>
                <c:pt idx="52">
                  <c:v>103888.89592046407</c:v>
                </c:pt>
                <c:pt idx="53">
                  <c:v>104288.81631335591</c:v>
                </c:pt>
                <c:pt idx="54">
                  <c:v>104688.03877783932</c:v>
                </c:pt>
                <c:pt idx="55">
                  <c:v>105086.61494234366</c:v>
                </c:pt>
                <c:pt idx="56">
                  <c:v>105484.59165529326</c:v>
                </c:pt>
                <c:pt idx="57">
                  <c:v>105882.01150348425</c:v>
                </c:pt>
                <c:pt idx="58">
                  <c:v>106278.91326753653</c:v>
                </c:pt>
                <c:pt idx="59">
                  <c:v>106675.33232265644</c:v>
                </c:pt>
                <c:pt idx="60">
                  <c:v>107071.30099182825</c:v>
                </c:pt>
                <c:pt idx="61">
                  <c:v>107466.84885758316</c:v>
                </c:pt>
                <c:pt idx="62">
                  <c:v>107862.0030376581</c:v>
                </c:pt>
                <c:pt idx="63">
                  <c:v>108256.7884291332</c:v>
                </c:pt>
                <c:pt idx="64">
                  <c:v>108651.22792501654</c:v>
                </c:pt>
                <c:pt idx="65">
                  <c:v>109045.3426067088</c:v>
                </c:pt>
                <c:pt idx="66">
                  <c:v>109439.1519153214</c:v>
                </c:pt>
                <c:pt idx="67">
                  <c:v>109832.6738044261</c:v>
                </c:pt>
                <c:pt idx="68">
                  <c:v>110225.9248764738</c:v>
                </c:pt>
                <c:pt idx="69">
                  <c:v>110618.9205048279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14-43AE-B521-25D14BAF74DE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Sheet9_HID!xdata2</c:f>
              <c:numCache>
                <c:formatCode>General</c:formatCode>
                <c:ptCount val="70"/>
                <c:pt idx="0">
                  <c:v>1377.6</c:v>
                </c:pt>
                <c:pt idx="1">
                  <c:v>1393.3217391304347</c:v>
                </c:pt>
                <c:pt idx="2">
                  <c:v>1409.0434782608695</c:v>
                </c:pt>
                <c:pt idx="3">
                  <c:v>1424.7652173913043</c:v>
                </c:pt>
                <c:pt idx="4">
                  <c:v>1440.4869565217391</c:v>
                </c:pt>
                <c:pt idx="5">
                  <c:v>1456.2086956521739</c:v>
                </c:pt>
                <c:pt idx="6">
                  <c:v>1471.9304347826087</c:v>
                </c:pt>
                <c:pt idx="7">
                  <c:v>1487.6521739130435</c:v>
                </c:pt>
                <c:pt idx="8">
                  <c:v>1503.3739130434783</c:v>
                </c:pt>
                <c:pt idx="9">
                  <c:v>1519.0956521739131</c:v>
                </c:pt>
                <c:pt idx="10">
                  <c:v>1534.8173913043479</c:v>
                </c:pt>
                <c:pt idx="11">
                  <c:v>1550.5391304347827</c:v>
                </c:pt>
                <c:pt idx="12">
                  <c:v>1566.2608695652175</c:v>
                </c:pt>
                <c:pt idx="13">
                  <c:v>1581.9826086956523</c:v>
                </c:pt>
                <c:pt idx="14">
                  <c:v>1597.7043478260871</c:v>
                </c:pt>
                <c:pt idx="15">
                  <c:v>1613.4260869565219</c:v>
                </c:pt>
                <c:pt idx="16">
                  <c:v>1629.1478260869567</c:v>
                </c:pt>
                <c:pt idx="17">
                  <c:v>1644.8695652173915</c:v>
                </c:pt>
                <c:pt idx="18">
                  <c:v>1660.5913043478263</c:v>
                </c:pt>
                <c:pt idx="19">
                  <c:v>1676.3130434782611</c:v>
                </c:pt>
                <c:pt idx="20">
                  <c:v>1692.0347826086959</c:v>
                </c:pt>
                <c:pt idx="21">
                  <c:v>1707.7565217391307</c:v>
                </c:pt>
                <c:pt idx="22">
                  <c:v>1723.4782608695655</c:v>
                </c:pt>
                <c:pt idx="23">
                  <c:v>1739.2000000000003</c:v>
                </c:pt>
                <c:pt idx="24">
                  <c:v>1754.9217391304351</c:v>
                </c:pt>
                <c:pt idx="25">
                  <c:v>1770.6434782608699</c:v>
                </c:pt>
                <c:pt idx="26">
                  <c:v>1786.3652173913047</c:v>
                </c:pt>
                <c:pt idx="27">
                  <c:v>1802.0869565217395</c:v>
                </c:pt>
                <c:pt idx="28">
                  <c:v>1817.8086956521743</c:v>
                </c:pt>
                <c:pt idx="29">
                  <c:v>1833.5304347826091</c:v>
                </c:pt>
                <c:pt idx="30">
                  <c:v>1849.2521739130439</c:v>
                </c:pt>
                <c:pt idx="31">
                  <c:v>1864.9739130434787</c:v>
                </c:pt>
                <c:pt idx="32">
                  <c:v>1880.6956521739135</c:v>
                </c:pt>
                <c:pt idx="33">
                  <c:v>1896.4173913043483</c:v>
                </c:pt>
                <c:pt idx="34">
                  <c:v>1912.1391304347831</c:v>
                </c:pt>
                <c:pt idx="35">
                  <c:v>1927.8608695652179</c:v>
                </c:pt>
                <c:pt idx="36">
                  <c:v>1943.5826086956527</c:v>
                </c:pt>
                <c:pt idx="37">
                  <c:v>1959.3043478260875</c:v>
                </c:pt>
                <c:pt idx="38">
                  <c:v>1975.0260869565222</c:v>
                </c:pt>
                <c:pt idx="39">
                  <c:v>1990.747826086957</c:v>
                </c:pt>
                <c:pt idx="40">
                  <c:v>2006.4695652173918</c:v>
                </c:pt>
                <c:pt idx="41">
                  <c:v>2022.1913043478266</c:v>
                </c:pt>
                <c:pt idx="42">
                  <c:v>2037.9130434782614</c:v>
                </c:pt>
                <c:pt idx="43">
                  <c:v>2053.6347826086962</c:v>
                </c:pt>
                <c:pt idx="44">
                  <c:v>2069.356521739131</c:v>
                </c:pt>
                <c:pt idx="45">
                  <c:v>2085.0782608695658</c:v>
                </c:pt>
                <c:pt idx="46">
                  <c:v>2100.8000000000006</c:v>
                </c:pt>
                <c:pt idx="47">
                  <c:v>2116.5217391304354</c:v>
                </c:pt>
                <c:pt idx="48">
                  <c:v>2132.2434782608702</c:v>
                </c:pt>
                <c:pt idx="49">
                  <c:v>2147.965217391305</c:v>
                </c:pt>
                <c:pt idx="50">
                  <c:v>2163.6869565217398</c:v>
                </c:pt>
                <c:pt idx="51">
                  <c:v>2179.4086956521746</c:v>
                </c:pt>
                <c:pt idx="52">
                  <c:v>2195.1304347826094</c:v>
                </c:pt>
                <c:pt idx="53">
                  <c:v>2210.8521739130442</c:v>
                </c:pt>
                <c:pt idx="54">
                  <c:v>2226.573913043479</c:v>
                </c:pt>
                <c:pt idx="55">
                  <c:v>2242.2956521739138</c:v>
                </c:pt>
                <c:pt idx="56">
                  <c:v>2258.0173913043486</c:v>
                </c:pt>
                <c:pt idx="57">
                  <c:v>2273.7391304347834</c:v>
                </c:pt>
                <c:pt idx="58">
                  <c:v>2289.4608695652182</c:v>
                </c:pt>
                <c:pt idx="59">
                  <c:v>2305.182608695653</c:v>
                </c:pt>
                <c:pt idx="60">
                  <c:v>2320.9043478260878</c:v>
                </c:pt>
                <c:pt idx="61">
                  <c:v>2336.6260869565226</c:v>
                </c:pt>
                <c:pt idx="62">
                  <c:v>2352.3478260869574</c:v>
                </c:pt>
                <c:pt idx="63">
                  <c:v>2368.0695652173922</c:v>
                </c:pt>
                <c:pt idx="64">
                  <c:v>2383.791304347827</c:v>
                </c:pt>
                <c:pt idx="65">
                  <c:v>2399.5130434782618</c:v>
                </c:pt>
                <c:pt idx="66">
                  <c:v>2415.2347826086971</c:v>
                </c:pt>
                <c:pt idx="67">
                  <c:v>2430.9565217391319</c:v>
                </c:pt>
                <c:pt idx="68">
                  <c:v>2446.6782608695667</c:v>
                </c:pt>
                <c:pt idx="69">
                  <c:v>2462.4000000000015</c:v>
                </c:pt>
              </c:numCache>
            </c:numRef>
          </c:xVal>
          <c:yVal>
            <c:numRef>
              <c:f>Sheet9_HID!ydata2</c:f>
              <c:numCache>
                <c:formatCode>General</c:formatCode>
                <c:ptCount val="70"/>
                <c:pt idx="0">
                  <c:v>84960.710785366042</c:v>
                </c:pt>
                <c:pt idx="1">
                  <c:v>85377.195813779254</c:v>
                </c:pt>
                <c:pt idx="2">
                  <c:v>85796.054373433682</c:v>
                </c:pt>
                <c:pt idx="3">
                  <c:v>86217.545659109703</c:v>
                </c:pt>
                <c:pt idx="4">
                  <c:v>86641.961615780572</c:v>
                </c:pt>
                <c:pt idx="5">
                  <c:v>87069.630795002158</c:v>
                </c:pt>
                <c:pt idx="6">
                  <c:v>87500.922325163789</c:v>
                </c:pt>
                <c:pt idx="7">
                  <c:v>87936.249802871505</c:v>
                </c:pt>
                <c:pt idx="8">
                  <c:v>88376.074807610406</c:v>
                </c:pt>
                <c:pt idx="9">
                  <c:v>88820.90960557817</c:v>
                </c:pt>
                <c:pt idx="10">
                  <c:v>89271.318442990014</c:v>
                </c:pt>
                <c:pt idx="11">
                  <c:v>89727.916645810852</c:v>
                </c:pt>
                <c:pt idx="12">
                  <c:v>90191.366569617196</c:v>
                </c:pt>
                <c:pt idx="13">
                  <c:v>90662.369331041162</c:v>
                </c:pt>
                <c:pt idx="14">
                  <c:v>91141.651278492063</c:v>
                </c:pt>
                <c:pt idx="15">
                  <c:v>91629.944422334753</c:v>
                </c:pt>
                <c:pt idx="16">
                  <c:v>92127.960636788892</c:v>
                </c:pt>
                <c:pt idx="17">
                  <c:v>92636.360408148845</c:v>
                </c:pt>
                <c:pt idx="18">
                  <c:v>93155.718159797427</c:v>
                </c:pt>
                <c:pt idx="19">
                  <c:v>93686.48748880341</c:v>
                </c:pt>
                <c:pt idx="20">
                  <c:v>94228.970600737986</c:v>
                </c:pt>
                <c:pt idx="21">
                  <c:v>94783.296389370895</c:v>
                </c:pt>
                <c:pt idx="22">
                  <c:v>95349.410703958318</c:v>
                </c:pt>
                <c:pt idx="23">
                  <c:v>95927.080466220112</c:v>
                </c:pt>
                <c:pt idx="24">
                  <c:v>96515.910927408942</c:v>
                </c:pt>
                <c:pt idx="25">
                  <c:v>97115.373196224449</c:v>
                </c:pt>
                <c:pt idx="26">
                  <c:v>97724.837828677264</c:v>
                </c:pt>
                <c:pt idx="27">
                  <c:v>98343.61001001281</c:v>
                </c:pt>
                <c:pt idx="28">
                  <c:v>98970.962534396924</c:v>
                </c:pt>
                <c:pt idx="29">
                  <c:v>99606.164002265505</c:v>
                </c:pt>
                <c:pt idx="30">
                  <c:v>100248.50097083405</c:v>
                </c:pt>
                <c:pt idx="31">
                  <c:v>100897.29389424461</c:v>
                </c:pt>
                <c:pt idx="32">
                  <c:v>101551.90743415778</c:v>
                </c:pt>
                <c:pt idx="33">
                  <c:v>102211.75610974467</c:v>
                </c:pt>
                <c:pt idx="34">
                  <c:v>102876.30636687635</c:v>
                </c:pt>
                <c:pt idx="35">
                  <c:v>103545.0760800828</c:v>
                </c:pt>
                <c:pt idx="36">
                  <c:v>104217.63234498166</c:v>
                </c:pt>
                <c:pt idx="37">
                  <c:v>104893.58823513522</c:v>
                </c:pt>
                <c:pt idx="38">
                  <c:v>105572.59902224794</c:v>
                </c:pt>
                <c:pt idx="39">
                  <c:v>106254.35820967384</c:v>
                </c:pt>
                <c:pt idx="40">
                  <c:v>106938.59361148682</c:v>
                </c:pt>
                <c:pt idx="41">
                  <c:v>107625.06362128074</c:v>
                </c:pt>
                <c:pt idx="42">
                  <c:v>108313.55375184758</c:v>
                </c:pt>
                <c:pt idx="43">
                  <c:v>109003.87348361778</c:v>
                </c:pt>
                <c:pt idx="44">
                  <c:v>109695.8534312835</c:v>
                </c:pt>
                <c:pt idx="45">
                  <c:v>110389.34282022885</c:v>
                </c:pt>
                <c:pt idx="46">
                  <c:v>111084.2072540286</c:v>
                </c:pt>
                <c:pt idx="47">
                  <c:v>111780.32674893313</c:v>
                </c:pt>
                <c:pt idx="48">
                  <c:v>112477.5940091916</c:v>
                </c:pt>
                <c:pt idx="49">
                  <c:v>113175.91291705452</c:v>
                </c:pt>
                <c:pt idx="50">
                  <c:v>113875.19721250462</c:v>
                </c:pt>
                <c:pt idx="51">
                  <c:v>114575.36933963338</c:v>
                </c:pt>
                <c:pt idx="52">
                  <c:v>115276.35943874717</c:v>
                </c:pt>
                <c:pt idx="53">
                  <c:v>115978.10446552346</c:v>
                </c:pt>
                <c:pt idx="54">
                  <c:v>116680.54742070819</c:v>
                </c:pt>
                <c:pt idx="55">
                  <c:v>117383.63667587198</c:v>
                </c:pt>
                <c:pt idx="56">
                  <c:v>118087.32538259051</c:v>
                </c:pt>
                <c:pt idx="57">
                  <c:v>118791.57095406763</c:v>
                </c:pt>
                <c:pt idx="58">
                  <c:v>119496.33460968349</c:v>
                </c:pt>
                <c:pt idx="59">
                  <c:v>120201.58097423171</c:v>
                </c:pt>
                <c:pt idx="60">
                  <c:v>120907.27772472803</c:v>
                </c:pt>
                <c:pt idx="61">
                  <c:v>121613.39527864126</c:v>
                </c:pt>
                <c:pt idx="62">
                  <c:v>122319.90651823445</c:v>
                </c:pt>
                <c:pt idx="63">
                  <c:v>123026.78654642748</c:v>
                </c:pt>
                <c:pt idx="64">
                  <c:v>123734.01247021227</c:v>
                </c:pt>
                <c:pt idx="65">
                  <c:v>124441.56320818815</c:v>
                </c:pt>
                <c:pt idx="66">
                  <c:v>125149.41931924371</c:v>
                </c:pt>
                <c:pt idx="67">
                  <c:v>125857.56284980715</c:v>
                </c:pt>
                <c:pt idx="68">
                  <c:v>126565.97719742758</c:v>
                </c:pt>
                <c:pt idx="69">
                  <c:v>127274.64698874162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14-43AE-B521-25D14BAF74DE}"/>
            </c:ext>
          </c:extLst>
        </c:ser>
        <c:ser>
          <c:idx val="5"/>
          <c:order val="5"/>
          <c:tx>
            <c:v>Conf. interval (Obs 95%)</c:v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Sheet9_HID!xdata3</c:f>
              <c:numCache>
                <c:formatCode>General</c:formatCode>
                <c:ptCount val="100"/>
                <c:pt idx="0">
                  <c:v>1377.6</c:v>
                </c:pt>
                <c:pt idx="1">
                  <c:v>1388.5575757575757</c:v>
                </c:pt>
                <c:pt idx="2">
                  <c:v>1399.5151515151515</c:v>
                </c:pt>
                <c:pt idx="3">
                  <c:v>1410.4727272727273</c:v>
                </c:pt>
                <c:pt idx="4">
                  <c:v>1421.4303030303031</c:v>
                </c:pt>
                <c:pt idx="5">
                  <c:v>1432.3878787878789</c:v>
                </c:pt>
                <c:pt idx="6">
                  <c:v>1443.3454545454547</c:v>
                </c:pt>
                <c:pt idx="7">
                  <c:v>1454.3030303030305</c:v>
                </c:pt>
                <c:pt idx="8">
                  <c:v>1465.2606060606063</c:v>
                </c:pt>
                <c:pt idx="9">
                  <c:v>1476.2181818181821</c:v>
                </c:pt>
                <c:pt idx="10">
                  <c:v>1487.1757575757579</c:v>
                </c:pt>
                <c:pt idx="11">
                  <c:v>1498.1333333333337</c:v>
                </c:pt>
                <c:pt idx="12">
                  <c:v>1509.0909090909095</c:v>
                </c:pt>
                <c:pt idx="13">
                  <c:v>1520.0484848484853</c:v>
                </c:pt>
                <c:pt idx="14">
                  <c:v>1531.0060606060611</c:v>
                </c:pt>
                <c:pt idx="15">
                  <c:v>1541.9636363636369</c:v>
                </c:pt>
                <c:pt idx="16">
                  <c:v>1552.9212121212126</c:v>
                </c:pt>
                <c:pt idx="17">
                  <c:v>1563.8787878787884</c:v>
                </c:pt>
                <c:pt idx="18">
                  <c:v>1574.8363636363642</c:v>
                </c:pt>
                <c:pt idx="19">
                  <c:v>1585.79393939394</c:v>
                </c:pt>
                <c:pt idx="20">
                  <c:v>1596.7515151515158</c:v>
                </c:pt>
                <c:pt idx="21">
                  <c:v>1607.7090909090916</c:v>
                </c:pt>
                <c:pt idx="22">
                  <c:v>1618.6666666666674</c:v>
                </c:pt>
                <c:pt idx="23">
                  <c:v>1629.6242424242432</c:v>
                </c:pt>
                <c:pt idx="24">
                  <c:v>1640.581818181819</c:v>
                </c:pt>
                <c:pt idx="25">
                  <c:v>1651.5393939393948</c:v>
                </c:pt>
                <c:pt idx="26">
                  <c:v>1662.4969696969706</c:v>
                </c:pt>
                <c:pt idx="27">
                  <c:v>1673.4545454545464</c:v>
                </c:pt>
                <c:pt idx="28">
                  <c:v>1684.4121212121222</c:v>
                </c:pt>
                <c:pt idx="29">
                  <c:v>1695.369696969698</c:v>
                </c:pt>
                <c:pt idx="30">
                  <c:v>1706.3272727272738</c:v>
                </c:pt>
                <c:pt idx="31">
                  <c:v>1717.2848484848496</c:v>
                </c:pt>
                <c:pt idx="32">
                  <c:v>1728.2424242424254</c:v>
                </c:pt>
                <c:pt idx="33">
                  <c:v>1739.2000000000012</c:v>
                </c:pt>
                <c:pt idx="34">
                  <c:v>1750.157575757577</c:v>
                </c:pt>
                <c:pt idx="35">
                  <c:v>1761.1151515151528</c:v>
                </c:pt>
                <c:pt idx="36">
                  <c:v>1772.0727272727286</c:v>
                </c:pt>
                <c:pt idx="37">
                  <c:v>1783.0303030303044</c:v>
                </c:pt>
                <c:pt idx="38">
                  <c:v>1793.9878787878802</c:v>
                </c:pt>
                <c:pt idx="39">
                  <c:v>1804.945454545456</c:v>
                </c:pt>
                <c:pt idx="40">
                  <c:v>1815.9030303030318</c:v>
                </c:pt>
                <c:pt idx="41">
                  <c:v>1826.8606060606078</c:v>
                </c:pt>
                <c:pt idx="42">
                  <c:v>1837.8181818181836</c:v>
                </c:pt>
                <c:pt idx="43">
                  <c:v>1848.7757575757594</c:v>
                </c:pt>
                <c:pt idx="44">
                  <c:v>1859.7333333333352</c:v>
                </c:pt>
                <c:pt idx="45">
                  <c:v>1870.690909090911</c:v>
                </c:pt>
                <c:pt idx="46">
                  <c:v>1881.6484848484868</c:v>
                </c:pt>
                <c:pt idx="47">
                  <c:v>1892.6060606060623</c:v>
                </c:pt>
                <c:pt idx="48">
                  <c:v>1903.5636363636384</c:v>
                </c:pt>
                <c:pt idx="49">
                  <c:v>1914.5212121212141</c:v>
                </c:pt>
                <c:pt idx="50">
                  <c:v>1925.4787878787899</c:v>
                </c:pt>
                <c:pt idx="51">
                  <c:v>1936.4363636363657</c:v>
                </c:pt>
                <c:pt idx="52">
                  <c:v>1947.3939393939415</c:v>
                </c:pt>
                <c:pt idx="53">
                  <c:v>1958.3515151515173</c:v>
                </c:pt>
                <c:pt idx="54">
                  <c:v>1969.3090909090931</c:v>
                </c:pt>
                <c:pt idx="55">
                  <c:v>1980.2666666666689</c:v>
                </c:pt>
                <c:pt idx="56">
                  <c:v>1991.2242424242447</c:v>
                </c:pt>
                <c:pt idx="57">
                  <c:v>2002.1818181818205</c:v>
                </c:pt>
                <c:pt idx="58">
                  <c:v>2013.1393939393963</c:v>
                </c:pt>
                <c:pt idx="59">
                  <c:v>2024.0969696969721</c:v>
                </c:pt>
                <c:pt idx="60">
                  <c:v>2035.0545454545479</c:v>
                </c:pt>
                <c:pt idx="61">
                  <c:v>2046.0121212121237</c:v>
                </c:pt>
                <c:pt idx="62">
                  <c:v>2056.9696969696997</c:v>
                </c:pt>
                <c:pt idx="63">
                  <c:v>2067.9272727272755</c:v>
                </c:pt>
                <c:pt idx="64">
                  <c:v>2078.8848484848513</c:v>
                </c:pt>
                <c:pt idx="65">
                  <c:v>2089.8424242424271</c:v>
                </c:pt>
                <c:pt idx="66">
                  <c:v>2100.8000000000029</c:v>
                </c:pt>
                <c:pt idx="67">
                  <c:v>2111.7575757575787</c:v>
                </c:pt>
                <c:pt idx="68">
                  <c:v>2122.7151515151545</c:v>
                </c:pt>
                <c:pt idx="69">
                  <c:v>2133.6727272727303</c:v>
                </c:pt>
                <c:pt idx="70">
                  <c:v>2144.6303030303061</c:v>
                </c:pt>
                <c:pt idx="71">
                  <c:v>2155.5878787878819</c:v>
                </c:pt>
                <c:pt idx="72">
                  <c:v>2166.5454545454577</c:v>
                </c:pt>
                <c:pt idx="73">
                  <c:v>2177.5030303030335</c:v>
                </c:pt>
                <c:pt idx="74">
                  <c:v>2188.4606060606093</c:v>
                </c:pt>
                <c:pt idx="75">
                  <c:v>2199.4181818181851</c:v>
                </c:pt>
                <c:pt idx="76">
                  <c:v>2210.3757575757609</c:v>
                </c:pt>
                <c:pt idx="77">
                  <c:v>2221.3333333333367</c:v>
                </c:pt>
                <c:pt idx="78">
                  <c:v>2232.2909090909125</c:v>
                </c:pt>
                <c:pt idx="79">
                  <c:v>2243.2484848484883</c:v>
                </c:pt>
                <c:pt idx="80">
                  <c:v>2254.2060606060641</c:v>
                </c:pt>
                <c:pt idx="81">
                  <c:v>2265.1636363636399</c:v>
                </c:pt>
                <c:pt idx="82">
                  <c:v>2276.1212121212156</c:v>
                </c:pt>
                <c:pt idx="83">
                  <c:v>2287.0787878787914</c:v>
                </c:pt>
                <c:pt idx="84">
                  <c:v>2298.0363636363672</c:v>
                </c:pt>
                <c:pt idx="85">
                  <c:v>2308.993939393943</c:v>
                </c:pt>
                <c:pt idx="86">
                  <c:v>2319.9515151515188</c:v>
                </c:pt>
                <c:pt idx="87">
                  <c:v>2330.9090909090946</c:v>
                </c:pt>
                <c:pt idx="88">
                  <c:v>2341.8666666666704</c:v>
                </c:pt>
                <c:pt idx="89">
                  <c:v>2352.8242424242462</c:v>
                </c:pt>
                <c:pt idx="90">
                  <c:v>2363.781818181822</c:v>
                </c:pt>
                <c:pt idx="91">
                  <c:v>2374.7393939393978</c:v>
                </c:pt>
                <c:pt idx="92">
                  <c:v>2385.6969696969736</c:v>
                </c:pt>
                <c:pt idx="93">
                  <c:v>2396.6545454545494</c:v>
                </c:pt>
                <c:pt idx="94">
                  <c:v>2407.6121212121252</c:v>
                </c:pt>
                <c:pt idx="95">
                  <c:v>2418.569696969701</c:v>
                </c:pt>
                <c:pt idx="96">
                  <c:v>2429.5272727272768</c:v>
                </c:pt>
                <c:pt idx="97">
                  <c:v>2440.4848484848526</c:v>
                </c:pt>
                <c:pt idx="98">
                  <c:v>2451.4424242424284</c:v>
                </c:pt>
                <c:pt idx="99">
                  <c:v>2462.4000000000042</c:v>
                </c:pt>
              </c:numCache>
            </c:numRef>
          </c:xVal>
          <c:yVal>
            <c:numRef>
              <c:f>Sheet9_HID!ydata3</c:f>
              <c:numCache>
                <c:formatCode>General</c:formatCode>
                <c:ptCount val="100"/>
                <c:pt idx="0">
                  <c:v>65671.188012187573</c:v>
                </c:pt>
                <c:pt idx="1">
                  <c:v>66079.558102491763</c:v>
                </c:pt>
                <c:pt idx="2">
                  <c:v>66487.107030745217</c:v>
                </c:pt>
                <c:pt idx="3">
                  <c:v>66893.830965656191</c:v>
                </c:pt>
                <c:pt idx="4">
                  <c:v>67299.726187032604</c:v>
                </c:pt>
                <c:pt idx="5">
                  <c:v>67704.789088647711</c:v>
                </c:pt>
                <c:pt idx="6">
                  <c:v>68109.016181046842</c:v>
                </c:pt>
                <c:pt idx="7">
                  <c:v>68512.404094289785</c:v>
                </c:pt>
                <c:pt idx="8">
                  <c:v>68914.949580624379</c:v>
                </c:pt>
                <c:pt idx="9">
                  <c:v>69316.649517086567</c:v>
                </c:pt>
                <c:pt idx="10">
                  <c:v>69717.500908022092</c:v>
                </c:pt>
                <c:pt idx="11">
                  <c:v>70117.500887525646</c:v>
                </c:pt>
                <c:pt idx="12">
                  <c:v>70516.646721792524</c:v>
                </c:pt>
                <c:pt idx="13">
                  <c:v>70914.93581137876</c:v>
                </c:pt>
                <c:pt idx="14">
                  <c:v>71312.365693365427</c:v>
                </c:pt>
                <c:pt idx="15">
                  <c:v>71708.934043423011</c:v>
                </c:pt>
                <c:pt idx="16">
                  <c:v>72104.638677771814</c:v>
                </c:pt>
                <c:pt idx="17">
                  <c:v>72499.477555034726</c:v>
                </c:pt>
                <c:pt idx="18">
                  <c:v>72893.44877797876</c:v>
                </c:pt>
                <c:pt idx="19">
                  <c:v>73286.550595141787</c:v>
                </c:pt>
                <c:pt idx="20">
                  <c:v>73678.781402341498</c:v>
                </c:pt>
                <c:pt idx="21">
                  <c:v>74070.139744063388</c:v>
                </c:pt>
                <c:pt idx="22">
                  <c:v>74460.624314725064</c:v>
                </c:pt>
                <c:pt idx="23">
                  <c:v>74850.233959814272</c:v>
                </c:pt>
                <c:pt idx="24">
                  <c:v>75238.967676898552</c:v>
                </c:pt>
                <c:pt idx="25">
                  <c:v>75626.824616504178</c:v>
                </c:pt>
                <c:pt idx="26">
                  <c:v>76013.8040828628</c:v>
                </c:pt>
                <c:pt idx="27">
                  <c:v>76399.905534524136</c:v>
                </c:pt>
                <c:pt idx="28">
                  <c:v>76785.12858483351</c:v>
                </c:pt>
                <c:pt idx="29">
                  <c:v>77169.4730022734</c:v>
                </c:pt>
                <c:pt idx="30">
                  <c:v>77552.938710667979</c:v>
                </c:pt>
                <c:pt idx="31">
                  <c:v>77935.525789250431</c:v>
                </c:pt>
                <c:pt idx="32">
                  <c:v>78317.234472593002</c:v>
                </c:pt>
                <c:pt idx="33">
                  <c:v>78698.065150399518</c:v>
                </c:pt>
                <c:pt idx="34">
                  <c:v>79078.018367161494</c:v>
                </c:pt>
                <c:pt idx="35">
                  <c:v>79457.094821677703</c:v>
                </c:pt>
                <c:pt idx="36">
                  <c:v>79835.295366438906</c:v>
                </c:pt>
                <c:pt idx="37">
                  <c:v>80212.621006878544</c:v>
                </c:pt>
                <c:pt idx="38">
                  <c:v>80589.072900491214</c:v>
                </c:pt>
                <c:pt idx="39">
                  <c:v>80964.652355820581</c:v>
                </c:pt>
                <c:pt idx="40">
                  <c:v>81339.360831318714</c:v>
                </c:pt>
                <c:pt idx="41">
                  <c:v>81713.19993407937</c:v>
                </c:pt>
                <c:pt idx="42">
                  <c:v>82086.171418447528</c:v>
                </c:pt>
                <c:pt idx="43">
                  <c:v>82458.277184508246</c:v>
                </c:pt>
                <c:pt idx="44">
                  <c:v>82829.519276457475</c:v>
                </c:pt>
                <c:pt idx="45">
                  <c:v>83199.899880858386</c:v>
                </c:pt>
                <c:pt idx="46">
                  <c:v>83569.421324786454</c:v>
                </c:pt>
                <c:pt idx="47">
                  <c:v>83938.086073866842</c:v>
                </c:pt>
                <c:pt idx="48">
                  <c:v>84305.896730208231</c:v>
                </c:pt>
                <c:pt idx="49">
                  <c:v>84672.856030236406</c:v>
                </c:pt>
                <c:pt idx="50">
                  <c:v>85038.966842432419</c:v>
                </c:pt>
                <c:pt idx="51">
                  <c:v>85404.232164979068</c:v>
                </c:pt>
                <c:pt idx="52">
                  <c:v>85768.655123320103</c:v>
                </c:pt>
                <c:pt idx="53">
                  <c:v>86132.238967637022</c:v>
                </c:pt>
                <c:pt idx="54">
                  <c:v>86494.987070247444</c:v>
                </c:pt>
                <c:pt idx="55">
                  <c:v>86856.902922930123</c:v>
                </c:pt>
                <c:pt idx="56">
                  <c:v>87217.990134181266</c:v>
                </c:pt>
                <c:pt idx="57">
                  <c:v>87578.252426406616</c:v>
                </c:pt>
                <c:pt idx="58">
                  <c:v>87937.693633054601</c:v>
                </c:pt>
                <c:pt idx="59">
                  <c:v>88296.317695694946</c:v>
                </c:pt>
                <c:pt idx="60">
                  <c:v>88654.128661047798</c:v>
                </c:pt>
                <c:pt idx="61">
                  <c:v>89011.130677968104</c:v>
                </c:pt>
                <c:pt idx="62">
                  <c:v>89367.327994390347</c:v>
                </c:pt>
                <c:pt idx="63">
                  <c:v>89722.72495423787</c:v>
                </c:pt>
                <c:pt idx="64">
                  <c:v>90077.325994302257</c:v>
                </c:pt>
                <c:pt idx="65">
                  <c:v>90431.1356410968</c:v>
                </c:pt>
                <c:pt idx="66">
                  <c:v>90784.158507689324</c:v>
                </c:pt>
                <c:pt idx="67">
                  <c:v>91136.399290518413</c:v>
                </c:pt>
                <c:pt idx="68">
                  <c:v>91487.862766197766</c:v>
                </c:pt>
                <c:pt idx="69">
                  <c:v>91838.553788313351</c:v>
                </c:pt>
                <c:pt idx="70">
                  <c:v>92188.477284217006</c:v>
                </c:pt>
                <c:pt idx="71">
                  <c:v>92537.63825182138</c:v>
                </c:pt>
                <c:pt idx="72">
                  <c:v>92886.041756399733</c:v>
                </c:pt>
                <c:pt idx="73">
                  <c:v>93233.692927395023</c:v>
                </c:pt>
                <c:pt idx="74">
                  <c:v>93580.596955241766</c:v>
                </c:pt>
                <c:pt idx="75">
                  <c:v>93926.759088204417</c:v>
                </c:pt>
                <c:pt idx="76">
                  <c:v>94272.184629236071</c:v>
                </c:pt>
                <c:pt idx="77">
                  <c:v>94616.878932860505</c:v>
                </c:pt>
                <c:pt idx="78">
                  <c:v>94960.847402081272</c:v>
                </c:pt>
                <c:pt idx="79">
                  <c:v>95304.095485320591</c:v>
                </c:pt>
                <c:pt idx="80">
                  <c:v>95646.62867339114</c:v>
                </c:pt>
                <c:pt idx="81">
                  <c:v>95988.452496503713</c:v>
                </c:pt>
                <c:pt idx="82">
                  <c:v>96329.572521312992</c:v>
                </c:pt>
                <c:pt idx="83">
                  <c:v>96669.99434800462</c:v>
                </c:pt>
                <c:pt idx="84">
                  <c:v>97009.723607425054</c:v>
                </c:pt>
                <c:pt idx="85">
                  <c:v>97348.765958257194</c:v>
                </c:pt>
                <c:pt idx="86">
                  <c:v>97687.127084243257</c:v>
                </c:pt>
                <c:pt idx="87">
                  <c:v>98024.812691457148</c:v>
                </c:pt>
                <c:pt idx="88">
                  <c:v>98361.828505627884</c:v>
                </c:pt>
                <c:pt idx="89">
                  <c:v>98698.180269515637</c:v>
                </c:pt>
                <c:pt idx="90">
                  <c:v>99033.87374034198</c:v>
                </c:pt>
                <c:pt idx="91">
                  <c:v>99368.914687275479</c:v>
                </c:pt>
                <c:pt idx="92">
                  <c:v>99703.308888973901</c:v>
                </c:pt>
                <c:pt idx="93">
                  <c:v>100037.06213118399</c:v>
                </c:pt>
                <c:pt idx="94">
                  <c:v>100370.1802043997</c:v>
                </c:pt>
                <c:pt idx="95">
                  <c:v>100702.66890157966</c:v>
                </c:pt>
                <c:pt idx="96">
                  <c:v>101034.53401592452</c:v>
                </c:pt>
                <c:pt idx="97">
                  <c:v>101365.78133871465</c:v>
                </c:pt>
                <c:pt idx="98">
                  <c:v>101696.41665720848</c:v>
                </c:pt>
                <c:pt idx="99">
                  <c:v>102026.44575260209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14-43AE-B521-25D14BAF74DE}"/>
            </c:ext>
          </c:extLst>
        </c:ser>
        <c:ser>
          <c:idx val="6"/>
          <c:order val="6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Sheet9_HID!xdata4</c:f>
              <c:numCache>
                <c:formatCode>General</c:formatCode>
                <c:ptCount val="100"/>
                <c:pt idx="0">
                  <c:v>1377.6</c:v>
                </c:pt>
                <c:pt idx="1">
                  <c:v>1388.5575757575757</c:v>
                </c:pt>
                <c:pt idx="2">
                  <c:v>1399.5151515151515</c:v>
                </c:pt>
                <c:pt idx="3">
                  <c:v>1410.4727272727273</c:v>
                </c:pt>
                <c:pt idx="4">
                  <c:v>1421.4303030303031</c:v>
                </c:pt>
                <c:pt idx="5">
                  <c:v>1432.3878787878789</c:v>
                </c:pt>
                <c:pt idx="6">
                  <c:v>1443.3454545454547</c:v>
                </c:pt>
                <c:pt idx="7">
                  <c:v>1454.3030303030305</c:v>
                </c:pt>
                <c:pt idx="8">
                  <c:v>1465.2606060606063</c:v>
                </c:pt>
                <c:pt idx="9">
                  <c:v>1476.2181818181821</c:v>
                </c:pt>
                <c:pt idx="10">
                  <c:v>1487.1757575757579</c:v>
                </c:pt>
                <c:pt idx="11">
                  <c:v>1498.1333333333337</c:v>
                </c:pt>
                <c:pt idx="12">
                  <c:v>1509.0909090909095</c:v>
                </c:pt>
                <c:pt idx="13">
                  <c:v>1520.0484848484853</c:v>
                </c:pt>
                <c:pt idx="14">
                  <c:v>1531.0060606060611</c:v>
                </c:pt>
                <c:pt idx="15">
                  <c:v>1541.9636363636369</c:v>
                </c:pt>
                <c:pt idx="16">
                  <c:v>1552.9212121212126</c:v>
                </c:pt>
                <c:pt idx="17">
                  <c:v>1563.8787878787884</c:v>
                </c:pt>
                <c:pt idx="18">
                  <c:v>1574.8363636363642</c:v>
                </c:pt>
                <c:pt idx="19">
                  <c:v>1585.79393939394</c:v>
                </c:pt>
                <c:pt idx="20">
                  <c:v>1596.7515151515158</c:v>
                </c:pt>
                <c:pt idx="21">
                  <c:v>1607.7090909090916</c:v>
                </c:pt>
                <c:pt idx="22">
                  <c:v>1618.6666666666674</c:v>
                </c:pt>
                <c:pt idx="23">
                  <c:v>1629.6242424242432</c:v>
                </c:pt>
                <c:pt idx="24">
                  <c:v>1640.581818181819</c:v>
                </c:pt>
                <c:pt idx="25">
                  <c:v>1651.5393939393948</c:v>
                </c:pt>
                <c:pt idx="26">
                  <c:v>1662.4969696969706</c:v>
                </c:pt>
                <c:pt idx="27">
                  <c:v>1673.4545454545464</c:v>
                </c:pt>
                <c:pt idx="28">
                  <c:v>1684.4121212121222</c:v>
                </c:pt>
                <c:pt idx="29">
                  <c:v>1695.369696969698</c:v>
                </c:pt>
                <c:pt idx="30">
                  <c:v>1706.3272727272738</c:v>
                </c:pt>
                <c:pt idx="31">
                  <c:v>1717.2848484848496</c:v>
                </c:pt>
                <c:pt idx="32">
                  <c:v>1728.2424242424254</c:v>
                </c:pt>
                <c:pt idx="33">
                  <c:v>1739.2000000000012</c:v>
                </c:pt>
                <c:pt idx="34">
                  <c:v>1750.157575757577</c:v>
                </c:pt>
                <c:pt idx="35">
                  <c:v>1761.1151515151528</c:v>
                </c:pt>
                <c:pt idx="36">
                  <c:v>1772.0727272727286</c:v>
                </c:pt>
                <c:pt idx="37">
                  <c:v>1783.0303030303044</c:v>
                </c:pt>
                <c:pt idx="38">
                  <c:v>1793.9878787878802</c:v>
                </c:pt>
                <c:pt idx="39">
                  <c:v>1804.945454545456</c:v>
                </c:pt>
                <c:pt idx="40">
                  <c:v>1815.9030303030318</c:v>
                </c:pt>
                <c:pt idx="41">
                  <c:v>1826.8606060606078</c:v>
                </c:pt>
                <c:pt idx="42">
                  <c:v>1837.8181818181836</c:v>
                </c:pt>
                <c:pt idx="43">
                  <c:v>1848.7757575757594</c:v>
                </c:pt>
                <c:pt idx="44">
                  <c:v>1859.7333333333352</c:v>
                </c:pt>
                <c:pt idx="45">
                  <c:v>1870.690909090911</c:v>
                </c:pt>
                <c:pt idx="46">
                  <c:v>1881.6484848484868</c:v>
                </c:pt>
                <c:pt idx="47">
                  <c:v>1892.6060606060623</c:v>
                </c:pt>
                <c:pt idx="48">
                  <c:v>1903.5636363636384</c:v>
                </c:pt>
                <c:pt idx="49">
                  <c:v>1914.5212121212141</c:v>
                </c:pt>
                <c:pt idx="50">
                  <c:v>1925.4787878787899</c:v>
                </c:pt>
                <c:pt idx="51">
                  <c:v>1936.4363636363657</c:v>
                </c:pt>
                <c:pt idx="52">
                  <c:v>1947.3939393939415</c:v>
                </c:pt>
                <c:pt idx="53">
                  <c:v>1958.3515151515173</c:v>
                </c:pt>
                <c:pt idx="54">
                  <c:v>1969.3090909090931</c:v>
                </c:pt>
                <c:pt idx="55">
                  <c:v>1980.2666666666689</c:v>
                </c:pt>
                <c:pt idx="56">
                  <c:v>1991.2242424242447</c:v>
                </c:pt>
                <c:pt idx="57">
                  <c:v>2002.1818181818205</c:v>
                </c:pt>
                <c:pt idx="58">
                  <c:v>2013.1393939393963</c:v>
                </c:pt>
                <c:pt idx="59">
                  <c:v>2024.0969696969721</c:v>
                </c:pt>
                <c:pt idx="60">
                  <c:v>2035.0545454545479</c:v>
                </c:pt>
                <c:pt idx="61">
                  <c:v>2046.0121212121237</c:v>
                </c:pt>
                <c:pt idx="62">
                  <c:v>2056.9696969696997</c:v>
                </c:pt>
                <c:pt idx="63">
                  <c:v>2067.9272727272755</c:v>
                </c:pt>
                <c:pt idx="64">
                  <c:v>2078.8848484848513</c:v>
                </c:pt>
                <c:pt idx="65">
                  <c:v>2089.8424242424271</c:v>
                </c:pt>
                <c:pt idx="66">
                  <c:v>2100.8000000000029</c:v>
                </c:pt>
                <c:pt idx="67">
                  <c:v>2111.7575757575787</c:v>
                </c:pt>
                <c:pt idx="68">
                  <c:v>2122.7151515151545</c:v>
                </c:pt>
                <c:pt idx="69">
                  <c:v>2133.6727272727303</c:v>
                </c:pt>
                <c:pt idx="70">
                  <c:v>2144.6303030303061</c:v>
                </c:pt>
                <c:pt idx="71">
                  <c:v>2155.5878787878819</c:v>
                </c:pt>
                <c:pt idx="72">
                  <c:v>2166.5454545454577</c:v>
                </c:pt>
                <c:pt idx="73">
                  <c:v>2177.5030303030335</c:v>
                </c:pt>
                <c:pt idx="74">
                  <c:v>2188.4606060606093</c:v>
                </c:pt>
                <c:pt idx="75">
                  <c:v>2199.4181818181851</c:v>
                </c:pt>
                <c:pt idx="76">
                  <c:v>2210.3757575757609</c:v>
                </c:pt>
                <c:pt idx="77">
                  <c:v>2221.3333333333367</c:v>
                </c:pt>
                <c:pt idx="78">
                  <c:v>2232.2909090909125</c:v>
                </c:pt>
                <c:pt idx="79">
                  <c:v>2243.2484848484883</c:v>
                </c:pt>
                <c:pt idx="80">
                  <c:v>2254.2060606060641</c:v>
                </c:pt>
                <c:pt idx="81">
                  <c:v>2265.1636363636399</c:v>
                </c:pt>
                <c:pt idx="82">
                  <c:v>2276.1212121212156</c:v>
                </c:pt>
                <c:pt idx="83">
                  <c:v>2287.0787878787914</c:v>
                </c:pt>
                <c:pt idx="84">
                  <c:v>2298.0363636363672</c:v>
                </c:pt>
                <c:pt idx="85">
                  <c:v>2308.993939393943</c:v>
                </c:pt>
                <c:pt idx="86">
                  <c:v>2319.9515151515188</c:v>
                </c:pt>
                <c:pt idx="87">
                  <c:v>2330.9090909090946</c:v>
                </c:pt>
                <c:pt idx="88">
                  <c:v>2341.8666666666704</c:v>
                </c:pt>
                <c:pt idx="89">
                  <c:v>2352.8242424242462</c:v>
                </c:pt>
                <c:pt idx="90">
                  <c:v>2363.781818181822</c:v>
                </c:pt>
                <c:pt idx="91">
                  <c:v>2374.7393939393978</c:v>
                </c:pt>
                <c:pt idx="92">
                  <c:v>2385.6969696969736</c:v>
                </c:pt>
                <c:pt idx="93">
                  <c:v>2396.6545454545494</c:v>
                </c:pt>
                <c:pt idx="94">
                  <c:v>2407.6121212121252</c:v>
                </c:pt>
                <c:pt idx="95">
                  <c:v>2418.569696969701</c:v>
                </c:pt>
                <c:pt idx="96">
                  <c:v>2429.5272727272768</c:v>
                </c:pt>
                <c:pt idx="97">
                  <c:v>2440.4848484848526</c:v>
                </c:pt>
                <c:pt idx="98">
                  <c:v>2451.4424242424284</c:v>
                </c:pt>
                <c:pt idx="99">
                  <c:v>2462.4000000000042</c:v>
                </c:pt>
              </c:numCache>
            </c:numRef>
          </c:xVal>
          <c:yVal>
            <c:numRef>
              <c:f>Sheet9_HID!ydata4</c:f>
              <c:numCache>
                <c:formatCode>General</c:formatCode>
                <c:ptCount val="100"/>
                <c:pt idx="0">
                  <c:v>96207.465524280764</c:v>
                </c:pt>
                <c:pt idx="1">
                  <c:v>96566.922847684662</c:v>
                </c:pt>
                <c:pt idx="2">
                  <c:v>96927.201333139295</c:v>
                </c:pt>
                <c:pt idx="3">
                  <c:v>97288.30481193641</c:v>
                </c:pt>
                <c:pt idx="4">
                  <c:v>97650.237004268114</c:v>
                </c:pt>
                <c:pt idx="5">
                  <c:v>98013.001516361095</c:v>
                </c:pt>
                <c:pt idx="6">
                  <c:v>98376.601837670052</c:v>
                </c:pt>
                <c:pt idx="7">
                  <c:v>98741.041338135197</c:v>
                </c:pt>
                <c:pt idx="8">
                  <c:v>99106.32326550869</c:v>
                </c:pt>
                <c:pt idx="9">
                  <c:v>99472.45074275462</c:v>
                </c:pt>
                <c:pt idx="10">
                  <c:v>99839.426765527183</c:v>
                </c:pt>
                <c:pt idx="11">
                  <c:v>100207.25419973172</c:v>
                </c:pt>
                <c:pt idx="12">
                  <c:v>100575.93577917293</c:v>
                </c:pt>
                <c:pt idx="13">
                  <c:v>100945.47410329481</c:v>
                </c:pt>
                <c:pt idx="14">
                  <c:v>101315.87163501623</c:v>
                </c:pt>
                <c:pt idx="15">
                  <c:v>101687.13069866673</c:v>
                </c:pt>
                <c:pt idx="16">
                  <c:v>102059.25347802602</c:v>
                </c:pt>
                <c:pt idx="17">
                  <c:v>102432.24201447119</c:v>
                </c:pt>
                <c:pt idx="18">
                  <c:v>102806.09820523528</c:v>
                </c:pt>
                <c:pt idx="19">
                  <c:v>103180.82380178034</c:v>
                </c:pt>
                <c:pt idx="20">
                  <c:v>103556.42040828872</c:v>
                </c:pt>
                <c:pt idx="21">
                  <c:v>103932.88948027491</c:v>
                </c:pt>
                <c:pt idx="22">
                  <c:v>104310.23232332135</c:v>
                </c:pt>
                <c:pt idx="23">
                  <c:v>104688.45009194023</c:v>
                </c:pt>
                <c:pt idx="24">
                  <c:v>105067.54378856404</c:v>
                </c:pt>
                <c:pt idx="25">
                  <c:v>105447.5142626665</c:v>
                </c:pt>
                <c:pt idx="26">
                  <c:v>105828.36221001597</c:v>
                </c:pt>
                <c:pt idx="27">
                  <c:v>106210.08817206275</c:v>
                </c:pt>
                <c:pt idx="28">
                  <c:v>106592.69253546147</c:v>
                </c:pt>
                <c:pt idx="29">
                  <c:v>106976.17553172966</c:v>
                </c:pt>
                <c:pt idx="30">
                  <c:v>107360.53723704317</c:v>
                </c:pt>
                <c:pt idx="31">
                  <c:v>107745.77757216881</c:v>
                </c:pt>
                <c:pt idx="32">
                  <c:v>108131.89630253435</c:v>
                </c:pt>
                <c:pt idx="33">
                  <c:v>108518.89303843593</c:v>
                </c:pt>
                <c:pt idx="34">
                  <c:v>108906.76723538204</c:v>
                </c:pt>
                <c:pt idx="35">
                  <c:v>109295.51819457392</c:v>
                </c:pt>
                <c:pt idx="36">
                  <c:v>109685.14506352083</c:v>
                </c:pt>
                <c:pt idx="37">
                  <c:v>110075.64683678928</c:v>
                </c:pt>
                <c:pt idx="38">
                  <c:v>110467.0223568847</c:v>
                </c:pt>
                <c:pt idx="39">
                  <c:v>110859.27031526342</c:v>
                </c:pt>
                <c:pt idx="40">
                  <c:v>111252.38925347337</c:v>
                </c:pt>
                <c:pt idx="41">
                  <c:v>111646.37756442084</c:v>
                </c:pt>
                <c:pt idx="42">
                  <c:v>112041.23349376077</c:v>
                </c:pt>
                <c:pt idx="43">
                  <c:v>112436.95514140817</c:v>
                </c:pt>
                <c:pt idx="44">
                  <c:v>112833.54046316702</c:v>
                </c:pt>
                <c:pt idx="45">
                  <c:v>113230.9872724742</c:v>
                </c:pt>
                <c:pt idx="46">
                  <c:v>113629.29324225425</c:v>
                </c:pt>
                <c:pt idx="47">
                  <c:v>114028.45590688192</c:v>
                </c:pt>
                <c:pt idx="48">
                  <c:v>114428.47266424865</c:v>
                </c:pt>
                <c:pt idx="49">
                  <c:v>114829.34077792856</c:v>
                </c:pt>
                <c:pt idx="50">
                  <c:v>115231.05737944064</c:v>
                </c:pt>
                <c:pt idx="51">
                  <c:v>115633.61947060211</c:v>
                </c:pt>
                <c:pt idx="52">
                  <c:v>116037.02392596916</c:v>
                </c:pt>
                <c:pt idx="53">
                  <c:v>116441.26749536033</c:v>
                </c:pt>
                <c:pt idx="54">
                  <c:v>116846.34680645799</c:v>
                </c:pt>
                <c:pt idx="55">
                  <c:v>117252.2583674834</c:v>
                </c:pt>
                <c:pt idx="56">
                  <c:v>117658.99856994038</c:v>
                </c:pt>
                <c:pt idx="57">
                  <c:v>118066.56369142311</c:v>
                </c:pt>
                <c:pt idx="58">
                  <c:v>118474.94989848322</c:v>
                </c:pt>
                <c:pt idx="59">
                  <c:v>118884.15324955096</c:v>
                </c:pt>
                <c:pt idx="60">
                  <c:v>119294.16969790623</c:v>
                </c:pt>
                <c:pt idx="61">
                  <c:v>119704.99509469401</c:v>
                </c:pt>
                <c:pt idx="62">
                  <c:v>120116.62519197988</c:v>
                </c:pt>
                <c:pt idx="63">
                  <c:v>120529.05564584045</c:v>
                </c:pt>
                <c:pt idx="64">
                  <c:v>120942.28201948415</c:v>
                </c:pt>
                <c:pt idx="65">
                  <c:v>121356.29978639769</c:v>
                </c:pt>
                <c:pt idx="66">
                  <c:v>121771.10433351326</c:v>
                </c:pt>
                <c:pt idx="67">
                  <c:v>122186.69096439228</c:v>
                </c:pt>
                <c:pt idx="68">
                  <c:v>122603.05490242102</c:v>
                </c:pt>
                <c:pt idx="69">
                  <c:v>123020.19129401352</c:v>
                </c:pt>
                <c:pt idx="70">
                  <c:v>123438.09521181796</c:v>
                </c:pt>
                <c:pt idx="71">
                  <c:v>123856.7616579217</c:v>
                </c:pt>
                <c:pt idx="72">
                  <c:v>124276.18556705143</c:v>
                </c:pt>
                <c:pt idx="73">
                  <c:v>124696.36180976423</c:v>
                </c:pt>
                <c:pt idx="74">
                  <c:v>125117.28519562558</c:v>
                </c:pt>
                <c:pt idx="75">
                  <c:v>125538.95047637101</c:v>
                </c:pt>
                <c:pt idx="76">
                  <c:v>125961.35234904748</c:v>
                </c:pt>
                <c:pt idx="77">
                  <c:v>126384.48545913113</c:v>
                </c:pt>
                <c:pt idx="78">
                  <c:v>126808.34440361845</c:v>
                </c:pt>
                <c:pt idx="79">
                  <c:v>127232.92373408722</c:v>
                </c:pt>
                <c:pt idx="80">
                  <c:v>127658.21795972476</c:v>
                </c:pt>
                <c:pt idx="81">
                  <c:v>128084.2215503203</c:v>
                </c:pt>
                <c:pt idx="82">
                  <c:v>128510.92893921911</c:v>
                </c:pt>
                <c:pt idx="83">
                  <c:v>128938.33452623557</c:v>
                </c:pt>
                <c:pt idx="84">
                  <c:v>129366.43268052323</c:v>
                </c:pt>
                <c:pt idx="85">
                  <c:v>129795.2177433992</c:v>
                </c:pt>
                <c:pt idx="86">
                  <c:v>130224.68403112123</c:v>
                </c:pt>
                <c:pt idx="87">
                  <c:v>130654.82583761543</c:v>
                </c:pt>
                <c:pt idx="88">
                  <c:v>131085.63743715279</c:v>
                </c:pt>
                <c:pt idx="89">
                  <c:v>131517.11308697311</c:v>
                </c:pt>
                <c:pt idx="90">
                  <c:v>131949.24702985489</c:v>
                </c:pt>
                <c:pt idx="91">
                  <c:v>132382.03349662948</c:v>
                </c:pt>
                <c:pt idx="92">
                  <c:v>132815.46670863914</c:v>
                </c:pt>
                <c:pt idx="93">
                  <c:v>133249.54088013715</c:v>
                </c:pt>
                <c:pt idx="94">
                  <c:v>133684.25022062953</c:v>
                </c:pt>
                <c:pt idx="95">
                  <c:v>134119.58893715768</c:v>
                </c:pt>
                <c:pt idx="96">
                  <c:v>134555.5512365209</c:v>
                </c:pt>
                <c:pt idx="97">
                  <c:v>134992.13132743887</c:v>
                </c:pt>
                <c:pt idx="98">
                  <c:v>135429.32342265311</c:v>
                </c:pt>
                <c:pt idx="99">
                  <c:v>135867.12174096762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14-43AE-B521-25D14BAF7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869120"/>
        <c:axId val="1155865160"/>
      </c:scatterChart>
      <c:valAx>
        <c:axId val="1155869120"/>
        <c:scaling>
          <c:orientation val="minMax"/>
          <c:max val="2600"/>
          <c:min val="12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Square Feet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865160"/>
        <c:crosses val="autoZero"/>
        <c:crossBetween val="midCat"/>
      </c:valAx>
      <c:valAx>
        <c:axId val="1155865160"/>
        <c:scaling>
          <c:orientation val="minMax"/>
          <c:max val="140000"/>
          <c:min val="6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Market 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8691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6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Square Feet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2'!$C$94:$C$135</c:f>
              <c:numCache>
                <c:formatCode>0.000</c:formatCode>
                <c:ptCount val="42"/>
                <c:pt idx="0">
                  <c:v>1836</c:v>
                </c:pt>
                <c:pt idx="1">
                  <c:v>1684</c:v>
                </c:pt>
                <c:pt idx="2">
                  <c:v>1520</c:v>
                </c:pt>
                <c:pt idx="3">
                  <c:v>1850</c:v>
                </c:pt>
                <c:pt idx="4">
                  <c:v>1484</c:v>
                </c:pt>
                <c:pt idx="5">
                  <c:v>1731</c:v>
                </c:pt>
                <c:pt idx="6">
                  <c:v>1484</c:v>
                </c:pt>
                <c:pt idx="7">
                  <c:v>1581</c:v>
                </c:pt>
                <c:pt idx="8">
                  <c:v>1588</c:v>
                </c:pt>
                <c:pt idx="9">
                  <c:v>2372</c:v>
                </c:pt>
                <c:pt idx="10">
                  <c:v>1484</c:v>
                </c:pt>
                <c:pt idx="11">
                  <c:v>1812</c:v>
                </c:pt>
                <c:pt idx="12">
                  <c:v>1842</c:v>
                </c:pt>
                <c:pt idx="13">
                  <c:v>1484</c:v>
                </c:pt>
                <c:pt idx="14">
                  <c:v>1692</c:v>
                </c:pt>
                <c:pt idx="15">
                  <c:v>1520</c:v>
                </c:pt>
                <c:pt idx="16">
                  <c:v>2123</c:v>
                </c:pt>
                <c:pt idx="17">
                  <c:v>1784</c:v>
                </c:pt>
                <c:pt idx="18">
                  <c:v>1520</c:v>
                </c:pt>
                <c:pt idx="19">
                  <c:v>1520</c:v>
                </c:pt>
                <c:pt idx="20">
                  <c:v>1812</c:v>
                </c:pt>
                <c:pt idx="21">
                  <c:v>1484</c:v>
                </c:pt>
                <c:pt idx="22">
                  <c:v>2028</c:v>
                </c:pt>
                <c:pt idx="23">
                  <c:v>1468</c:v>
                </c:pt>
                <c:pt idx="24">
                  <c:v>1701</c:v>
                </c:pt>
                <c:pt idx="25">
                  <c:v>1666</c:v>
                </c:pt>
                <c:pt idx="26">
                  <c:v>1588</c:v>
                </c:pt>
                <c:pt idx="27">
                  <c:v>1666</c:v>
                </c:pt>
                <c:pt idx="28">
                  <c:v>1520</c:v>
                </c:pt>
                <c:pt idx="29">
                  <c:v>1620</c:v>
                </c:pt>
                <c:pt idx="30">
                  <c:v>2372</c:v>
                </c:pt>
                <c:pt idx="31">
                  <c:v>1852</c:v>
                </c:pt>
                <c:pt idx="32">
                  <c:v>1668</c:v>
                </c:pt>
                <c:pt idx="33">
                  <c:v>1791</c:v>
                </c:pt>
                <c:pt idx="34">
                  <c:v>1620</c:v>
                </c:pt>
                <c:pt idx="35">
                  <c:v>1914</c:v>
                </c:pt>
                <c:pt idx="36">
                  <c:v>1666</c:v>
                </c:pt>
                <c:pt idx="37">
                  <c:v>1520</c:v>
                </c:pt>
                <c:pt idx="38">
                  <c:v>1598</c:v>
                </c:pt>
                <c:pt idx="39">
                  <c:v>1520</c:v>
                </c:pt>
                <c:pt idx="40">
                  <c:v>1484</c:v>
                </c:pt>
                <c:pt idx="41">
                  <c:v>1732</c:v>
                </c:pt>
              </c:numCache>
            </c:numRef>
          </c:xVal>
          <c:yVal>
            <c:numRef>
              <c:f>'Linear Regression Output 2'!$G$94:$G$135</c:f>
              <c:numCache>
                <c:formatCode>0.000</c:formatCode>
                <c:ptCount val="42"/>
                <c:pt idx="0">
                  <c:v>0.6723636770024638</c:v>
                </c:pt>
                <c:pt idx="1">
                  <c:v>0.68958834891320175</c:v>
                </c:pt>
                <c:pt idx="2">
                  <c:v>-0.20973715446647553</c:v>
                </c:pt>
                <c:pt idx="3">
                  <c:v>-0.20452331072451477</c:v>
                </c:pt>
                <c:pt idx="4">
                  <c:v>-0.80507958975842142</c:v>
                </c:pt>
                <c:pt idx="5">
                  <c:v>-0.94970419607148504</c:v>
                </c:pt>
                <c:pt idx="6">
                  <c:v>-0.36598494709257812</c:v>
                </c:pt>
                <c:pt idx="7">
                  <c:v>4.4779797940583501</c:v>
                </c:pt>
                <c:pt idx="8">
                  <c:v>-0.9345826987541449</c:v>
                </c:pt>
                <c:pt idx="9">
                  <c:v>-0.24417719164168938</c:v>
                </c:pt>
                <c:pt idx="10">
                  <c:v>-1.1069571565911887</c:v>
                </c:pt>
                <c:pt idx="11">
                  <c:v>-0.84513739916228758</c:v>
                </c:pt>
                <c:pt idx="12">
                  <c:v>-0.5365487067242023</c:v>
                </c:pt>
                <c:pt idx="13">
                  <c:v>-0.46203690017573135</c:v>
                </c:pt>
                <c:pt idx="14">
                  <c:v>-0.61126945750071549</c:v>
                </c:pt>
                <c:pt idx="15">
                  <c:v>0.22935748819936774</c:v>
                </c:pt>
                <c:pt idx="16">
                  <c:v>1.2410682274396152</c:v>
                </c:pt>
                <c:pt idx="17">
                  <c:v>-0.53214271995562867</c:v>
                </c:pt>
                <c:pt idx="18">
                  <c:v>2.0269011816126636</c:v>
                </c:pt>
                <c:pt idx="19">
                  <c:v>0.29796602611590572</c:v>
                </c:pt>
                <c:pt idx="20">
                  <c:v>-0.70792032332921162</c:v>
                </c:pt>
                <c:pt idx="21">
                  <c:v>-0.28365470159273248</c:v>
                </c:pt>
                <c:pt idx="22">
                  <c:v>0.65493936750994564</c:v>
                </c:pt>
                <c:pt idx="23">
                  <c:v>0.54796063298842113</c:v>
                </c:pt>
                <c:pt idx="24">
                  <c:v>0.26481665323757347</c:v>
                </c:pt>
                <c:pt idx="25">
                  <c:v>-0.48627215406445873</c:v>
                </c:pt>
                <c:pt idx="26">
                  <c:v>-1.0031912366706828</c:v>
                </c:pt>
                <c:pt idx="27">
                  <c:v>-0.36277678581469036</c:v>
                </c:pt>
                <c:pt idx="28">
                  <c:v>-0.34695423029955158</c:v>
                </c:pt>
                <c:pt idx="29">
                  <c:v>0.99727401891014167</c:v>
                </c:pt>
                <c:pt idx="30">
                  <c:v>-0.35395085230815021</c:v>
                </c:pt>
                <c:pt idx="31">
                  <c:v>0.44450347608684471</c:v>
                </c:pt>
                <c:pt idx="32">
                  <c:v>-2.9349273419403719E-2</c:v>
                </c:pt>
                <c:pt idx="33">
                  <c:v>-0.85395169936100335</c:v>
                </c:pt>
                <c:pt idx="34">
                  <c:v>0.72283986724398963</c:v>
                </c:pt>
                <c:pt idx="35">
                  <c:v>0.64041445627638383</c:v>
                </c:pt>
                <c:pt idx="36">
                  <c:v>-0.54115898439768917</c:v>
                </c:pt>
                <c:pt idx="37">
                  <c:v>0.36657456403244376</c:v>
                </c:pt>
                <c:pt idx="38">
                  <c:v>-0.21424296002594032</c:v>
                </c:pt>
                <c:pt idx="39">
                  <c:v>0.17447065786613733</c:v>
                </c:pt>
                <c:pt idx="40">
                  <c:v>-0.66786251392534535</c:v>
                </c:pt>
                <c:pt idx="41">
                  <c:v>-0.78985129366549656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BB-48EE-B09F-BDDE43765FAC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1684</c:v>
              </c:pt>
            </c:numLit>
          </c:xVal>
          <c:yVal>
            <c:numLit>
              <c:formatCode>General</c:formatCode>
              <c:ptCount val="1"/>
              <c:pt idx="0">
                <c:v>0.68958834891320175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CBB-48EE-B09F-BDDE43765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867320"/>
        <c:axId val="1155861200"/>
      </c:scatterChart>
      <c:valAx>
        <c:axId val="1155867320"/>
        <c:scaling>
          <c:orientation val="minMax"/>
          <c:max val="2400"/>
          <c:min val="14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Square Feet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861200"/>
        <c:crosses val="autoZero"/>
        <c:crossBetween val="midCat"/>
      </c:valAx>
      <c:valAx>
        <c:axId val="1155861200"/>
        <c:scaling>
          <c:orientation val="minMax"/>
          <c:max val="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8673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Market Value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2'!$D$94:$D$135</c:f>
              <c:numCache>
                <c:formatCode>0.000</c:formatCode>
                <c:ptCount val="42"/>
                <c:pt idx="0">
                  <c:v>101900</c:v>
                </c:pt>
                <c:pt idx="1">
                  <c:v>96700</c:v>
                </c:pt>
                <c:pt idx="2">
                  <c:v>84400</c:v>
                </c:pt>
                <c:pt idx="3">
                  <c:v>96000</c:v>
                </c:pt>
                <c:pt idx="4">
                  <c:v>78800</c:v>
                </c:pt>
                <c:pt idx="5">
                  <c:v>86400</c:v>
                </c:pt>
                <c:pt idx="6">
                  <c:v>82000</c:v>
                </c:pt>
                <c:pt idx="7">
                  <c:v>120700</c:v>
                </c:pt>
                <c:pt idx="8">
                  <c:v>81500</c:v>
                </c:pt>
                <c:pt idx="9">
                  <c:v>114000</c:v>
                </c:pt>
                <c:pt idx="10">
                  <c:v>76600</c:v>
                </c:pt>
                <c:pt idx="11">
                  <c:v>90000</c:v>
                </c:pt>
                <c:pt idx="12">
                  <c:v>93300</c:v>
                </c:pt>
                <c:pt idx="13">
                  <c:v>81300</c:v>
                </c:pt>
                <c:pt idx="14">
                  <c:v>87500</c:v>
                </c:pt>
                <c:pt idx="15">
                  <c:v>87600</c:v>
                </c:pt>
                <c:pt idx="16">
                  <c:v>116100</c:v>
                </c:pt>
                <c:pt idx="17">
                  <c:v>91300</c:v>
                </c:pt>
                <c:pt idx="18">
                  <c:v>100700</c:v>
                </c:pt>
                <c:pt idx="19">
                  <c:v>88100</c:v>
                </c:pt>
                <c:pt idx="20">
                  <c:v>91000</c:v>
                </c:pt>
                <c:pt idx="21">
                  <c:v>82600</c:v>
                </c:pt>
                <c:pt idx="22">
                  <c:v>108500</c:v>
                </c:pt>
                <c:pt idx="23">
                  <c:v>88100</c:v>
                </c:pt>
                <c:pt idx="24">
                  <c:v>94200</c:v>
                </c:pt>
                <c:pt idx="25">
                  <c:v>87500</c:v>
                </c:pt>
                <c:pt idx="26">
                  <c:v>81000</c:v>
                </c:pt>
                <c:pt idx="27">
                  <c:v>88400</c:v>
                </c:pt>
                <c:pt idx="28">
                  <c:v>83400</c:v>
                </c:pt>
                <c:pt idx="29">
                  <c:v>96700</c:v>
                </c:pt>
                <c:pt idx="30">
                  <c:v>113200</c:v>
                </c:pt>
                <c:pt idx="31">
                  <c:v>100800</c:v>
                </c:pt>
                <c:pt idx="32">
                  <c:v>90900</c:v>
                </c:pt>
                <c:pt idx="33">
                  <c:v>89200</c:v>
                </c:pt>
                <c:pt idx="34">
                  <c:v>94700</c:v>
                </c:pt>
                <c:pt idx="35">
                  <c:v>104400</c:v>
                </c:pt>
                <c:pt idx="36">
                  <c:v>87100</c:v>
                </c:pt>
                <c:pt idx="37">
                  <c:v>88600</c:v>
                </c:pt>
                <c:pt idx="38">
                  <c:v>87100</c:v>
                </c:pt>
                <c:pt idx="39">
                  <c:v>87200</c:v>
                </c:pt>
                <c:pt idx="40">
                  <c:v>79800</c:v>
                </c:pt>
                <c:pt idx="41">
                  <c:v>87600</c:v>
                </c:pt>
              </c:numCache>
            </c:numRef>
          </c:xVal>
          <c:yVal>
            <c:numRef>
              <c:f>'Linear Regression Output 2'!$G$94:$G$135</c:f>
              <c:numCache>
                <c:formatCode>0.000</c:formatCode>
                <c:ptCount val="42"/>
                <c:pt idx="0">
                  <c:v>0.6723636770024638</c:v>
                </c:pt>
                <c:pt idx="1">
                  <c:v>0.68958834891320175</c:v>
                </c:pt>
                <c:pt idx="2">
                  <c:v>-0.20973715446647553</c:v>
                </c:pt>
                <c:pt idx="3">
                  <c:v>-0.20452331072451477</c:v>
                </c:pt>
                <c:pt idx="4">
                  <c:v>-0.80507958975842142</c:v>
                </c:pt>
                <c:pt idx="5">
                  <c:v>-0.94970419607148504</c:v>
                </c:pt>
                <c:pt idx="6">
                  <c:v>-0.36598494709257812</c:v>
                </c:pt>
                <c:pt idx="7">
                  <c:v>4.4779797940583501</c:v>
                </c:pt>
                <c:pt idx="8">
                  <c:v>-0.9345826987541449</c:v>
                </c:pt>
                <c:pt idx="9">
                  <c:v>-0.24417719164168938</c:v>
                </c:pt>
                <c:pt idx="10">
                  <c:v>-1.1069571565911887</c:v>
                </c:pt>
                <c:pt idx="11">
                  <c:v>-0.84513739916228758</c:v>
                </c:pt>
                <c:pt idx="12">
                  <c:v>-0.5365487067242023</c:v>
                </c:pt>
                <c:pt idx="13">
                  <c:v>-0.46203690017573135</c:v>
                </c:pt>
                <c:pt idx="14">
                  <c:v>-0.61126945750071549</c:v>
                </c:pt>
                <c:pt idx="15">
                  <c:v>0.22935748819936774</c:v>
                </c:pt>
                <c:pt idx="16">
                  <c:v>1.2410682274396152</c:v>
                </c:pt>
                <c:pt idx="17">
                  <c:v>-0.53214271995562867</c:v>
                </c:pt>
                <c:pt idx="18">
                  <c:v>2.0269011816126636</c:v>
                </c:pt>
                <c:pt idx="19">
                  <c:v>0.29796602611590572</c:v>
                </c:pt>
                <c:pt idx="20">
                  <c:v>-0.70792032332921162</c:v>
                </c:pt>
                <c:pt idx="21">
                  <c:v>-0.28365470159273248</c:v>
                </c:pt>
                <c:pt idx="22">
                  <c:v>0.65493936750994564</c:v>
                </c:pt>
                <c:pt idx="23">
                  <c:v>0.54796063298842113</c:v>
                </c:pt>
                <c:pt idx="24">
                  <c:v>0.26481665323757347</c:v>
                </c:pt>
                <c:pt idx="25">
                  <c:v>-0.48627215406445873</c:v>
                </c:pt>
                <c:pt idx="26">
                  <c:v>-1.0031912366706828</c:v>
                </c:pt>
                <c:pt idx="27">
                  <c:v>-0.36277678581469036</c:v>
                </c:pt>
                <c:pt idx="28">
                  <c:v>-0.34695423029955158</c:v>
                </c:pt>
                <c:pt idx="29">
                  <c:v>0.99727401891014167</c:v>
                </c:pt>
                <c:pt idx="30">
                  <c:v>-0.35395085230815021</c:v>
                </c:pt>
                <c:pt idx="31">
                  <c:v>0.44450347608684471</c:v>
                </c:pt>
                <c:pt idx="32">
                  <c:v>-2.9349273419403719E-2</c:v>
                </c:pt>
                <c:pt idx="33">
                  <c:v>-0.85395169936100335</c:v>
                </c:pt>
                <c:pt idx="34">
                  <c:v>0.72283986724398963</c:v>
                </c:pt>
                <c:pt idx="35">
                  <c:v>0.64041445627638383</c:v>
                </c:pt>
                <c:pt idx="36">
                  <c:v>-0.54115898439768917</c:v>
                </c:pt>
                <c:pt idx="37">
                  <c:v>0.36657456403244376</c:v>
                </c:pt>
                <c:pt idx="38">
                  <c:v>-0.21424296002594032</c:v>
                </c:pt>
                <c:pt idx="39">
                  <c:v>0.17447065786613733</c:v>
                </c:pt>
                <c:pt idx="40">
                  <c:v>-0.66786251392534535</c:v>
                </c:pt>
                <c:pt idx="41">
                  <c:v>-0.78985129366549656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0-4385-A7C3-90BBE4B34E6A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96700</c:v>
              </c:pt>
            </c:numLit>
          </c:xVal>
          <c:yVal>
            <c:numLit>
              <c:formatCode>General</c:formatCode>
              <c:ptCount val="1"/>
              <c:pt idx="0">
                <c:v>0.68958834891320175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830-4385-A7C3-90BBE4B34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868760"/>
        <c:axId val="1155864080"/>
      </c:scatterChart>
      <c:valAx>
        <c:axId val="1155868760"/>
        <c:scaling>
          <c:orientation val="minMax"/>
          <c:max val="130000"/>
          <c:min val="7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Market 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864080"/>
        <c:crosses val="autoZero"/>
        <c:crossBetween val="midCat"/>
      </c:valAx>
      <c:valAx>
        <c:axId val="1155864080"/>
        <c:scaling>
          <c:orientation val="minMax"/>
          <c:max val="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8687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Pred(Market Value)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2'!$E$94:$E$135</c:f>
              <c:numCache>
                <c:formatCode>0.000</c:formatCode>
                <c:ptCount val="42"/>
                <c:pt idx="0">
                  <c:v>96999.999960497691</c:v>
                </c:pt>
                <c:pt idx="1">
                  <c:v>91674.471327809937</c:v>
                </c:pt>
                <c:pt idx="2">
                  <c:v>85928.506224120531</c:v>
                </c:pt>
                <c:pt idx="3">
                  <c:v>97490.509176666295</c:v>
                </c:pt>
                <c:pt idx="4">
                  <c:v>84667.196811115529</c:v>
                </c:pt>
                <c:pt idx="5">
                  <c:v>93321.18083923313</c:v>
                </c:pt>
                <c:pt idx="6">
                  <c:v>84667.196811115529</c:v>
                </c:pt>
                <c:pt idx="7">
                  <c:v>88065.724951712327</c:v>
                </c:pt>
                <c:pt idx="8">
                  <c:v>88310.979559796629</c:v>
                </c:pt>
                <c:pt idx="9">
                  <c:v>115779.4956652387</c:v>
                </c:pt>
                <c:pt idx="10">
                  <c:v>84667.196811115529</c:v>
                </c:pt>
                <c:pt idx="11">
                  <c:v>96159.127018494357</c:v>
                </c:pt>
                <c:pt idx="12">
                  <c:v>97210.218195998517</c:v>
                </c:pt>
                <c:pt idx="13">
                  <c:v>84667.196811115529</c:v>
                </c:pt>
                <c:pt idx="14">
                  <c:v>91954.762308477715</c:v>
                </c:pt>
                <c:pt idx="15">
                  <c:v>85928.506224120531</c:v>
                </c:pt>
                <c:pt idx="16">
                  <c:v>107055.43889195417</c:v>
                </c:pt>
                <c:pt idx="17">
                  <c:v>95178.108586157148</c:v>
                </c:pt>
                <c:pt idx="18">
                  <c:v>85928.506224120531</c:v>
                </c:pt>
                <c:pt idx="19">
                  <c:v>85928.506224120531</c:v>
                </c:pt>
                <c:pt idx="20">
                  <c:v>96159.127018494357</c:v>
                </c:pt>
                <c:pt idx="21">
                  <c:v>84667.196811115529</c:v>
                </c:pt>
                <c:pt idx="22">
                  <c:v>103726.98349652432</c:v>
                </c:pt>
                <c:pt idx="23">
                  <c:v>84106.614849779973</c:v>
                </c:pt>
                <c:pt idx="24">
                  <c:v>92270.089661728969</c:v>
                </c:pt>
                <c:pt idx="25">
                  <c:v>91043.816621307444</c:v>
                </c:pt>
                <c:pt idx="26">
                  <c:v>88310.979559796629</c:v>
                </c:pt>
                <c:pt idx="27">
                  <c:v>91043.816621307444</c:v>
                </c:pt>
                <c:pt idx="28">
                  <c:v>85928.506224120531</c:v>
                </c:pt>
                <c:pt idx="29">
                  <c:v>89432.143482467727</c:v>
                </c:pt>
                <c:pt idx="30">
                  <c:v>115779.4956652387</c:v>
                </c:pt>
                <c:pt idx="31">
                  <c:v>97560.581921833247</c:v>
                </c:pt>
                <c:pt idx="32">
                  <c:v>91113.889366474381</c:v>
                </c:pt>
                <c:pt idx="33">
                  <c:v>95423.36319424145</c:v>
                </c:pt>
                <c:pt idx="34">
                  <c:v>89432.143482467727</c:v>
                </c:pt>
                <c:pt idx="35">
                  <c:v>99732.837022008505</c:v>
                </c:pt>
                <c:pt idx="36">
                  <c:v>91043.816621307444</c:v>
                </c:pt>
                <c:pt idx="37">
                  <c:v>85928.506224120531</c:v>
                </c:pt>
                <c:pt idx="38">
                  <c:v>88661.343285631345</c:v>
                </c:pt>
                <c:pt idx="39">
                  <c:v>85928.506224120531</c:v>
                </c:pt>
                <c:pt idx="40">
                  <c:v>84667.196811115529</c:v>
                </c:pt>
                <c:pt idx="41">
                  <c:v>93356.217211816605</c:v>
                </c:pt>
              </c:numCache>
            </c:numRef>
          </c:xVal>
          <c:yVal>
            <c:numRef>
              <c:f>'Linear Regression Output 2'!$G$94:$G$135</c:f>
              <c:numCache>
                <c:formatCode>0.000</c:formatCode>
                <c:ptCount val="42"/>
                <c:pt idx="0">
                  <c:v>0.6723636770024638</c:v>
                </c:pt>
                <c:pt idx="1">
                  <c:v>0.68958834891320175</c:v>
                </c:pt>
                <c:pt idx="2">
                  <c:v>-0.20973715446647553</c:v>
                </c:pt>
                <c:pt idx="3">
                  <c:v>-0.20452331072451477</c:v>
                </c:pt>
                <c:pt idx="4">
                  <c:v>-0.80507958975842142</c:v>
                </c:pt>
                <c:pt idx="5">
                  <c:v>-0.94970419607148504</c:v>
                </c:pt>
                <c:pt idx="6">
                  <c:v>-0.36598494709257812</c:v>
                </c:pt>
                <c:pt idx="7">
                  <c:v>4.4779797940583501</c:v>
                </c:pt>
                <c:pt idx="8">
                  <c:v>-0.9345826987541449</c:v>
                </c:pt>
                <c:pt idx="9">
                  <c:v>-0.24417719164168938</c:v>
                </c:pt>
                <c:pt idx="10">
                  <c:v>-1.1069571565911887</c:v>
                </c:pt>
                <c:pt idx="11">
                  <c:v>-0.84513739916228758</c:v>
                </c:pt>
                <c:pt idx="12">
                  <c:v>-0.5365487067242023</c:v>
                </c:pt>
                <c:pt idx="13">
                  <c:v>-0.46203690017573135</c:v>
                </c:pt>
                <c:pt idx="14">
                  <c:v>-0.61126945750071549</c:v>
                </c:pt>
                <c:pt idx="15">
                  <c:v>0.22935748819936774</c:v>
                </c:pt>
                <c:pt idx="16">
                  <c:v>1.2410682274396152</c:v>
                </c:pt>
                <c:pt idx="17">
                  <c:v>-0.53214271995562867</c:v>
                </c:pt>
                <c:pt idx="18">
                  <c:v>2.0269011816126636</c:v>
                </c:pt>
                <c:pt idx="19">
                  <c:v>0.29796602611590572</c:v>
                </c:pt>
                <c:pt idx="20">
                  <c:v>-0.70792032332921162</c:v>
                </c:pt>
                <c:pt idx="21">
                  <c:v>-0.28365470159273248</c:v>
                </c:pt>
                <c:pt idx="22">
                  <c:v>0.65493936750994564</c:v>
                </c:pt>
                <c:pt idx="23">
                  <c:v>0.54796063298842113</c:v>
                </c:pt>
                <c:pt idx="24">
                  <c:v>0.26481665323757347</c:v>
                </c:pt>
                <c:pt idx="25">
                  <c:v>-0.48627215406445873</c:v>
                </c:pt>
                <c:pt idx="26">
                  <c:v>-1.0031912366706828</c:v>
                </c:pt>
                <c:pt idx="27">
                  <c:v>-0.36277678581469036</c:v>
                </c:pt>
                <c:pt idx="28">
                  <c:v>-0.34695423029955158</c:v>
                </c:pt>
                <c:pt idx="29">
                  <c:v>0.99727401891014167</c:v>
                </c:pt>
                <c:pt idx="30">
                  <c:v>-0.35395085230815021</c:v>
                </c:pt>
                <c:pt idx="31">
                  <c:v>0.44450347608684471</c:v>
                </c:pt>
                <c:pt idx="32">
                  <c:v>-2.9349273419403719E-2</c:v>
                </c:pt>
                <c:pt idx="33">
                  <c:v>-0.85395169936100335</c:v>
                </c:pt>
                <c:pt idx="34">
                  <c:v>0.72283986724398963</c:v>
                </c:pt>
                <c:pt idx="35">
                  <c:v>0.64041445627638383</c:v>
                </c:pt>
                <c:pt idx="36">
                  <c:v>-0.54115898439768917</c:v>
                </c:pt>
                <c:pt idx="37">
                  <c:v>0.36657456403244376</c:v>
                </c:pt>
                <c:pt idx="38">
                  <c:v>-0.21424296002594032</c:v>
                </c:pt>
                <c:pt idx="39">
                  <c:v>0.17447065786613733</c:v>
                </c:pt>
                <c:pt idx="40">
                  <c:v>-0.66786251392534535</c:v>
                </c:pt>
                <c:pt idx="41">
                  <c:v>-0.78985129366549656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0-4E00-BB39-FDEAFBCD3617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91674.471327809937</c:v>
              </c:pt>
            </c:numLit>
          </c:xVal>
          <c:yVal>
            <c:numLit>
              <c:formatCode>General</c:formatCode>
              <c:ptCount val="1"/>
              <c:pt idx="0">
                <c:v>0.68958834891320175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A80-4E00-BB39-FDEAFBCD3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863000"/>
        <c:axId val="1155865880"/>
      </c:scatterChart>
      <c:valAx>
        <c:axId val="1155863000"/>
        <c:scaling>
          <c:orientation val="minMax"/>
          <c:max val="120000"/>
          <c:min val="8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Pred(Market Value)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865880"/>
        <c:crosses val="autoZero"/>
        <c:crossBetween val="midCat"/>
      </c:valAx>
      <c:valAx>
        <c:axId val="1155865880"/>
        <c:scaling>
          <c:orientation val="minMax"/>
          <c:max val="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86300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Pred(Market Value) - Market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2'!$E$94:$E$135</c:f>
              <c:numCache>
                <c:formatCode>0.000</c:formatCode>
                <c:ptCount val="42"/>
                <c:pt idx="0">
                  <c:v>96999.999960497691</c:v>
                </c:pt>
                <c:pt idx="1">
                  <c:v>91674.471327809937</c:v>
                </c:pt>
                <c:pt idx="2">
                  <c:v>85928.506224120531</c:v>
                </c:pt>
                <c:pt idx="3">
                  <c:v>97490.509176666295</c:v>
                </c:pt>
                <c:pt idx="4">
                  <c:v>84667.196811115529</c:v>
                </c:pt>
                <c:pt idx="5">
                  <c:v>93321.18083923313</c:v>
                </c:pt>
                <c:pt idx="6">
                  <c:v>84667.196811115529</c:v>
                </c:pt>
                <c:pt idx="7">
                  <c:v>88065.724951712327</c:v>
                </c:pt>
                <c:pt idx="8">
                  <c:v>88310.979559796629</c:v>
                </c:pt>
                <c:pt idx="9">
                  <c:v>115779.4956652387</c:v>
                </c:pt>
                <c:pt idx="10">
                  <c:v>84667.196811115529</c:v>
                </c:pt>
                <c:pt idx="11">
                  <c:v>96159.127018494357</c:v>
                </c:pt>
                <c:pt idx="12">
                  <c:v>97210.218195998517</c:v>
                </c:pt>
                <c:pt idx="13">
                  <c:v>84667.196811115529</c:v>
                </c:pt>
                <c:pt idx="14">
                  <c:v>91954.762308477715</c:v>
                </c:pt>
                <c:pt idx="15">
                  <c:v>85928.506224120531</c:v>
                </c:pt>
                <c:pt idx="16">
                  <c:v>107055.43889195417</c:v>
                </c:pt>
                <c:pt idx="17">
                  <c:v>95178.108586157148</c:v>
                </c:pt>
                <c:pt idx="18">
                  <c:v>85928.506224120531</c:v>
                </c:pt>
                <c:pt idx="19">
                  <c:v>85928.506224120531</c:v>
                </c:pt>
                <c:pt idx="20">
                  <c:v>96159.127018494357</c:v>
                </c:pt>
                <c:pt idx="21">
                  <c:v>84667.196811115529</c:v>
                </c:pt>
                <c:pt idx="22">
                  <c:v>103726.98349652432</c:v>
                </c:pt>
                <c:pt idx="23">
                  <c:v>84106.614849779973</c:v>
                </c:pt>
                <c:pt idx="24">
                  <c:v>92270.089661728969</c:v>
                </c:pt>
                <c:pt idx="25">
                  <c:v>91043.816621307444</c:v>
                </c:pt>
                <c:pt idx="26">
                  <c:v>88310.979559796629</c:v>
                </c:pt>
                <c:pt idx="27">
                  <c:v>91043.816621307444</c:v>
                </c:pt>
                <c:pt idx="28">
                  <c:v>85928.506224120531</c:v>
                </c:pt>
                <c:pt idx="29">
                  <c:v>89432.143482467727</c:v>
                </c:pt>
                <c:pt idx="30">
                  <c:v>115779.4956652387</c:v>
                </c:pt>
                <c:pt idx="31">
                  <c:v>97560.581921833247</c:v>
                </c:pt>
                <c:pt idx="32">
                  <c:v>91113.889366474381</c:v>
                </c:pt>
                <c:pt idx="33">
                  <c:v>95423.36319424145</c:v>
                </c:pt>
                <c:pt idx="34">
                  <c:v>89432.143482467727</c:v>
                </c:pt>
                <c:pt idx="35">
                  <c:v>99732.837022008505</c:v>
                </c:pt>
                <c:pt idx="36">
                  <c:v>91043.816621307444</c:v>
                </c:pt>
                <c:pt idx="37">
                  <c:v>85928.506224120531</c:v>
                </c:pt>
                <c:pt idx="38">
                  <c:v>88661.343285631345</c:v>
                </c:pt>
                <c:pt idx="39">
                  <c:v>85928.506224120531</c:v>
                </c:pt>
                <c:pt idx="40">
                  <c:v>84667.196811115529</c:v>
                </c:pt>
                <c:pt idx="41">
                  <c:v>93356.217211816605</c:v>
                </c:pt>
              </c:numCache>
            </c:numRef>
          </c:xVal>
          <c:yVal>
            <c:numRef>
              <c:f>'Linear Regression Output 2'!$D$94:$D$135</c:f>
              <c:numCache>
                <c:formatCode>0.000</c:formatCode>
                <c:ptCount val="42"/>
                <c:pt idx="0">
                  <c:v>101900</c:v>
                </c:pt>
                <c:pt idx="1">
                  <c:v>96700</c:v>
                </c:pt>
                <c:pt idx="2">
                  <c:v>84400</c:v>
                </c:pt>
                <c:pt idx="3">
                  <c:v>96000</c:v>
                </c:pt>
                <c:pt idx="4">
                  <c:v>78800</c:v>
                </c:pt>
                <c:pt idx="5">
                  <c:v>86400</c:v>
                </c:pt>
                <c:pt idx="6">
                  <c:v>82000</c:v>
                </c:pt>
                <c:pt idx="7">
                  <c:v>120700</c:v>
                </c:pt>
                <c:pt idx="8">
                  <c:v>81500</c:v>
                </c:pt>
                <c:pt idx="9">
                  <c:v>114000</c:v>
                </c:pt>
                <c:pt idx="10">
                  <c:v>76600</c:v>
                </c:pt>
                <c:pt idx="11">
                  <c:v>90000</c:v>
                </c:pt>
                <c:pt idx="12">
                  <c:v>93300</c:v>
                </c:pt>
                <c:pt idx="13">
                  <c:v>81300</c:v>
                </c:pt>
                <c:pt idx="14">
                  <c:v>87500</c:v>
                </c:pt>
                <c:pt idx="15">
                  <c:v>87600</c:v>
                </c:pt>
                <c:pt idx="16">
                  <c:v>116100</c:v>
                </c:pt>
                <c:pt idx="17">
                  <c:v>91300</c:v>
                </c:pt>
                <c:pt idx="18">
                  <c:v>100700</c:v>
                </c:pt>
                <c:pt idx="19">
                  <c:v>88100</c:v>
                </c:pt>
                <c:pt idx="20">
                  <c:v>91000</c:v>
                </c:pt>
                <c:pt idx="21">
                  <c:v>82600</c:v>
                </c:pt>
                <c:pt idx="22">
                  <c:v>108500</c:v>
                </c:pt>
                <c:pt idx="23">
                  <c:v>88100</c:v>
                </c:pt>
                <c:pt idx="24">
                  <c:v>94200</c:v>
                </c:pt>
                <c:pt idx="25">
                  <c:v>87500</c:v>
                </c:pt>
                <c:pt idx="26">
                  <c:v>81000</c:v>
                </c:pt>
                <c:pt idx="27">
                  <c:v>88400</c:v>
                </c:pt>
                <c:pt idx="28">
                  <c:v>83400</c:v>
                </c:pt>
                <c:pt idx="29">
                  <c:v>96700</c:v>
                </c:pt>
                <c:pt idx="30">
                  <c:v>113200</c:v>
                </c:pt>
                <c:pt idx="31">
                  <c:v>100800</c:v>
                </c:pt>
                <c:pt idx="32">
                  <c:v>90900</c:v>
                </c:pt>
                <c:pt idx="33">
                  <c:v>89200</c:v>
                </c:pt>
                <c:pt idx="34">
                  <c:v>94700</c:v>
                </c:pt>
                <c:pt idx="35">
                  <c:v>104400</c:v>
                </c:pt>
                <c:pt idx="36">
                  <c:v>87100</c:v>
                </c:pt>
                <c:pt idx="37">
                  <c:v>88600</c:v>
                </c:pt>
                <c:pt idx="38">
                  <c:v>87100</c:v>
                </c:pt>
                <c:pt idx="39">
                  <c:v>87200</c:v>
                </c:pt>
                <c:pt idx="40">
                  <c:v>79800</c:v>
                </c:pt>
                <c:pt idx="41">
                  <c:v>87600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1-4FF1-A551-D647B1DD40F1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91674.471327809937</c:v>
              </c:pt>
            </c:numLit>
          </c:xVal>
          <c:yVal>
            <c:numLit>
              <c:formatCode>General</c:formatCode>
              <c:ptCount val="1"/>
              <c:pt idx="0">
                <c:v>96700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FE1-4FF1-A551-D647B1DD40F1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Sheet9_HID!xdata5</c:f>
              <c:numCache>
                <c:formatCode>General</c:formatCode>
                <c:ptCount val="70"/>
                <c:pt idx="0">
                  <c:v>82839.699617161605</c:v>
                </c:pt>
                <c:pt idx="1">
                  <c:v>83652.680706743122</c:v>
                </c:pt>
                <c:pt idx="2">
                  <c:v>84465.661796324639</c:v>
                </c:pt>
                <c:pt idx="3">
                  <c:v>85278.642885906156</c:v>
                </c:pt>
                <c:pt idx="4">
                  <c:v>86091.623975487688</c:v>
                </c:pt>
                <c:pt idx="5">
                  <c:v>86904.605065069205</c:v>
                </c:pt>
                <c:pt idx="6">
                  <c:v>87717.586154650722</c:v>
                </c:pt>
                <c:pt idx="7">
                  <c:v>88530.567244232239</c:v>
                </c:pt>
                <c:pt idx="8">
                  <c:v>89343.548333813756</c:v>
                </c:pt>
                <c:pt idx="9">
                  <c:v>90156.529423395274</c:v>
                </c:pt>
                <c:pt idx="10">
                  <c:v>90969.510512976791</c:v>
                </c:pt>
                <c:pt idx="11">
                  <c:v>91782.491602558308</c:v>
                </c:pt>
                <c:pt idx="12">
                  <c:v>92595.472692139825</c:v>
                </c:pt>
                <c:pt idx="13">
                  <c:v>93408.453781721357</c:v>
                </c:pt>
                <c:pt idx="14">
                  <c:v>94221.434871302874</c:v>
                </c:pt>
                <c:pt idx="15">
                  <c:v>95034.415960884391</c:v>
                </c:pt>
                <c:pt idx="16">
                  <c:v>95847.397050465908</c:v>
                </c:pt>
                <c:pt idx="17">
                  <c:v>96660.378140047425</c:v>
                </c:pt>
                <c:pt idx="18">
                  <c:v>97473.359229628943</c:v>
                </c:pt>
                <c:pt idx="19">
                  <c:v>98286.34031921046</c:v>
                </c:pt>
                <c:pt idx="20">
                  <c:v>99099.321408791991</c:v>
                </c:pt>
                <c:pt idx="21">
                  <c:v>99912.302498373494</c:v>
                </c:pt>
                <c:pt idx="22">
                  <c:v>100725.28358795503</c:v>
                </c:pt>
                <c:pt idx="23">
                  <c:v>101538.26467753654</c:v>
                </c:pt>
                <c:pt idx="24">
                  <c:v>102351.24576711806</c:v>
                </c:pt>
                <c:pt idx="25">
                  <c:v>103164.22685669958</c:v>
                </c:pt>
                <c:pt idx="26">
                  <c:v>103977.20794628109</c:v>
                </c:pt>
                <c:pt idx="27">
                  <c:v>104790.18903586263</c:v>
                </c:pt>
                <c:pt idx="28">
                  <c:v>105603.17012544413</c:v>
                </c:pt>
                <c:pt idx="29">
                  <c:v>106416.15121502566</c:v>
                </c:pt>
                <c:pt idx="30">
                  <c:v>107229.13230460718</c:v>
                </c:pt>
                <c:pt idx="31">
                  <c:v>108042.11339418869</c:v>
                </c:pt>
                <c:pt idx="32">
                  <c:v>108855.09448377021</c:v>
                </c:pt>
                <c:pt idx="33">
                  <c:v>109668.07557335173</c:v>
                </c:pt>
                <c:pt idx="34">
                  <c:v>110481.05666293325</c:v>
                </c:pt>
                <c:pt idx="35">
                  <c:v>111294.03775251476</c:v>
                </c:pt>
                <c:pt idx="36">
                  <c:v>112107.01884209629</c:v>
                </c:pt>
                <c:pt idx="37">
                  <c:v>112919.9999316778</c:v>
                </c:pt>
                <c:pt idx="38">
                  <c:v>113732.98102125933</c:v>
                </c:pt>
                <c:pt idx="39">
                  <c:v>114545.96211084085</c:v>
                </c:pt>
                <c:pt idx="40">
                  <c:v>115358.94320042236</c:v>
                </c:pt>
                <c:pt idx="41">
                  <c:v>116171.92429000388</c:v>
                </c:pt>
                <c:pt idx="42">
                  <c:v>116984.9053795854</c:v>
                </c:pt>
                <c:pt idx="43">
                  <c:v>117797.88646916693</c:v>
                </c:pt>
                <c:pt idx="44">
                  <c:v>118610.86755874843</c:v>
                </c:pt>
                <c:pt idx="45">
                  <c:v>119423.84864832996</c:v>
                </c:pt>
                <c:pt idx="46">
                  <c:v>120236.82973791148</c:v>
                </c:pt>
                <c:pt idx="47">
                  <c:v>121049.810827493</c:v>
                </c:pt>
                <c:pt idx="48">
                  <c:v>121862.79191707452</c:v>
                </c:pt>
                <c:pt idx="49">
                  <c:v>122675.77300665603</c:v>
                </c:pt>
                <c:pt idx="50">
                  <c:v>123488.75409623755</c:v>
                </c:pt>
                <c:pt idx="51">
                  <c:v>124301.73518581907</c:v>
                </c:pt>
                <c:pt idx="52">
                  <c:v>125114.7162754006</c:v>
                </c:pt>
                <c:pt idx="53">
                  <c:v>125927.6973649821</c:v>
                </c:pt>
                <c:pt idx="54">
                  <c:v>126740.67845456363</c:v>
                </c:pt>
                <c:pt idx="55">
                  <c:v>127553.65954414515</c:v>
                </c:pt>
                <c:pt idx="56">
                  <c:v>128366.64063372667</c:v>
                </c:pt>
                <c:pt idx="57">
                  <c:v>129179.62172330818</c:v>
                </c:pt>
                <c:pt idx="58">
                  <c:v>129992.6028128897</c:v>
                </c:pt>
                <c:pt idx="59">
                  <c:v>130805.58390247123</c:v>
                </c:pt>
                <c:pt idx="60">
                  <c:v>131618.56499205274</c:v>
                </c:pt>
                <c:pt idx="61">
                  <c:v>132431.54608163427</c:v>
                </c:pt>
                <c:pt idx="62">
                  <c:v>133244.5271712158</c:v>
                </c:pt>
                <c:pt idx="63">
                  <c:v>134057.5082607973</c:v>
                </c:pt>
                <c:pt idx="64">
                  <c:v>134870.4893503788</c:v>
                </c:pt>
                <c:pt idx="65">
                  <c:v>135683.47043996034</c:v>
                </c:pt>
                <c:pt idx="66">
                  <c:v>136496.45152954187</c:v>
                </c:pt>
                <c:pt idx="67">
                  <c:v>137309.43261912337</c:v>
                </c:pt>
                <c:pt idx="68">
                  <c:v>138122.4137087049</c:v>
                </c:pt>
                <c:pt idx="69">
                  <c:v>138935.3947982864</c:v>
                </c:pt>
              </c:numCache>
            </c:numRef>
          </c:xVal>
          <c:yVal>
            <c:numRef>
              <c:f>Sheet9_HID!ydata5</c:f>
              <c:numCache>
                <c:formatCode>General</c:formatCode>
                <c:ptCount val="70"/>
                <c:pt idx="0">
                  <c:v>67684.555765509445</c:v>
                </c:pt>
                <c:pt idx="1">
                  <c:v>68539.648446389008</c:v>
                </c:pt>
                <c:pt idx="2">
                  <c:v>69390.962639097765</c:v>
                </c:pt>
                <c:pt idx="3">
                  <c:v>70238.469452748948</c:v>
                </c:pt>
                <c:pt idx="4">
                  <c:v>71082.142613423333</c:v>
                </c:pt>
                <c:pt idx="5">
                  <c:v>71921.95856129608</c:v>
                </c:pt>
                <c:pt idx="6">
                  <c:v>72757.89653901862</c:v>
                </c:pt>
                <c:pt idx="7">
                  <c:v>73589.938670600022</c:v>
                </c:pt>
                <c:pt idx="8">
                  <c:v>74418.07003010172</c:v>
                </c:pt>
                <c:pt idx="9">
                  <c:v>75242.278699537899</c:v>
                </c:pt>
                <c:pt idx="10">
                  <c:v>76062.55581546262</c:v>
                </c:pt>
                <c:pt idx="11">
                  <c:v>76878.895603821686</c:v>
                </c:pt>
                <c:pt idx="12">
                  <c:v>77691.295402750955</c:v>
                </c:pt>
                <c:pt idx="13">
                  <c:v>78499.755673111402</c:v>
                </c:pt>
                <c:pt idx="14">
                  <c:v>79304.279996663958</c:v>
                </c:pt>
                <c:pt idx="15">
                  <c:v>80104.875061901068</c:v>
                </c:pt>
                <c:pt idx="16">
                  <c:v>80901.550637665263</c:v>
                </c:pt>
                <c:pt idx="17">
                  <c:v>81694.319534796843</c:v>
                </c:pt>
                <c:pt idx="18">
                  <c:v>82483.197556160492</c:v>
                </c:pt>
                <c:pt idx="19">
                  <c:v>83268.203435501884</c:v>
                </c:pt>
                <c:pt idx="20">
                  <c:v>84049.358765680474</c:v>
                </c:pt>
                <c:pt idx="21">
                  <c:v>84826.687916910305</c:v>
                </c:pt>
                <c:pt idx="22">
                  <c:v>85600.217945716795</c:v>
                </c:pt>
                <c:pt idx="23">
                  <c:v>86369.97849538218</c:v>
                </c:pt>
                <c:pt idx="24">
                  <c:v>87136.001688707329</c:v>
                </c:pt>
                <c:pt idx="25">
                  <c:v>87898.322013957732</c:v>
                </c:pt>
                <c:pt idx="26">
                  <c:v>88656.976204892737</c:v>
                </c:pt>
                <c:pt idx="27">
                  <c:v>89412.00311579401</c:v>
                </c:pt>
                <c:pt idx="28">
                  <c:v>90163.443592415511</c:v>
                </c:pt>
                <c:pt idx="29">
                  <c:v>90911.3403397722</c:v>
                </c:pt>
                <c:pt idx="30">
                  <c:v>91655.737787668797</c:v>
                </c:pt>
                <c:pt idx="31">
                  <c:v>92396.68195484535</c:v>
                </c:pt>
                <c:pt idx="32">
                  <c:v>93134.22031258182</c:v>
                </c:pt>
                <c:pt idx="33">
                  <c:v>93868.401648563216</c:v>
                </c:pt>
                <c:pt idx="34">
                  <c:v>94599.275931758792</c:v>
                </c:pt>
                <c:pt idx="35">
                  <c:v>95326.894179015944</c:v>
                </c:pt>
                <c:pt idx="36">
                  <c:v>96051.3083240126</c:v>
                </c:pt>
                <c:pt idx="37">
                  <c:v>96772.571089151796</c:v>
                </c:pt>
                <c:pt idx="38">
                  <c:v>97490.735860920919</c:v>
                </c:pt>
                <c:pt idx="39">
                  <c:v>98205.856569174648</c:v>
                </c:pt>
                <c:pt idx="40">
                  <c:v>98917.987570739424</c:v>
                </c:pt>
                <c:pt idx="41">
                  <c:v>99627.183537674937</c:v>
                </c:pt>
                <c:pt idx="42">
                  <c:v>100333.49935046872</c:v>
                </c:pt>
                <c:pt idx="43">
                  <c:v>101036.98999638268</c:v>
                </c:pt>
                <c:pt idx="44">
                  <c:v>101737.71047311572</c:v>
                </c:pt>
                <c:pt idx="45">
                  <c:v>102435.71569789534</c:v>
                </c:pt>
                <c:pt idx="46">
                  <c:v>103131.06042206351</c:v>
                </c:pt>
                <c:pt idx="47">
                  <c:v>103823.79915117839</c:v>
                </c:pt>
                <c:pt idx="48">
                  <c:v>104513.98607061329</c:v>
                </c:pt>
                <c:pt idx="49">
                  <c:v>105201.67497659894</c:v>
                </c:pt>
                <c:pt idx="50">
                  <c:v>105886.91921262266</c:v>
                </c:pt>
                <c:pt idx="51">
                  <c:v>106569.77161107086</c:v>
                </c:pt>
                <c:pt idx="52">
                  <c:v>107250.28443997657</c:v>
                </c:pt>
                <c:pt idx="53">
                  <c:v>107928.50935471388</c:v>
                </c:pt>
                <c:pt idx="54">
                  <c:v>108604.49735446394</c:v>
                </c:pt>
                <c:pt idx="55">
                  <c:v>109278.29874326347</c:v>
                </c:pt>
                <c:pt idx="56">
                  <c:v>109949.9630954368</c:v>
                </c:pt>
                <c:pt idx="57">
                  <c:v>110619.53922520339</c:v>
                </c:pt>
                <c:pt idx="58">
                  <c:v>111287.07516024863</c:v>
                </c:pt>
                <c:pt idx="59">
                  <c:v>111952.61811904228</c:v>
                </c:pt>
                <c:pt idx="60">
                  <c:v>112616.21449168769</c:v>
                </c:pt>
                <c:pt idx="61">
                  <c:v>113277.90982408612</c:v>
                </c:pt>
                <c:pt idx="62">
                  <c:v>113937.74880520244</c:v>
                </c:pt>
                <c:pt idx="63">
                  <c:v>114595.77525722289</c:v>
                </c:pt>
                <c:pt idx="64">
                  <c:v>115252.0321283995</c:v>
                </c:pt>
                <c:pt idx="65">
                  <c:v>115906.56148838236</c:v>
                </c:pt>
                <c:pt idx="66">
                  <c:v>116559.40452584704</c:v>
                </c:pt>
                <c:pt idx="67">
                  <c:v>117210.60154823204</c:v>
                </c:pt>
                <c:pt idx="68">
                  <c:v>117860.19198340845</c:v>
                </c:pt>
                <c:pt idx="69">
                  <c:v>118508.21438311206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E1-4FF1-A551-D647B1DD40F1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Sheet9_HID!xdata6</c:f>
              <c:numCache>
                <c:formatCode>General</c:formatCode>
                <c:ptCount val="70"/>
                <c:pt idx="0">
                  <c:v>67285.291879823999</c:v>
                </c:pt>
                <c:pt idx="1">
                  <c:v>68323.699168497362</c:v>
                </c:pt>
                <c:pt idx="2">
                  <c:v>69362.106457170739</c:v>
                </c:pt>
                <c:pt idx="3">
                  <c:v>70400.513745844102</c:v>
                </c:pt>
                <c:pt idx="4">
                  <c:v>71438.92103451748</c:v>
                </c:pt>
                <c:pt idx="5">
                  <c:v>72477.328323190843</c:v>
                </c:pt>
                <c:pt idx="6">
                  <c:v>73515.73561186422</c:v>
                </c:pt>
                <c:pt idx="7">
                  <c:v>74554.142900537583</c:v>
                </c:pt>
                <c:pt idx="8">
                  <c:v>75592.550189210961</c:v>
                </c:pt>
                <c:pt idx="9">
                  <c:v>76630.957477884323</c:v>
                </c:pt>
                <c:pt idx="10">
                  <c:v>77669.364766557701</c:v>
                </c:pt>
                <c:pt idx="11">
                  <c:v>78707.772055231064</c:v>
                </c:pt>
                <c:pt idx="12">
                  <c:v>79746.179343904441</c:v>
                </c:pt>
                <c:pt idx="13">
                  <c:v>80784.586632577804</c:v>
                </c:pt>
                <c:pt idx="14">
                  <c:v>81822.993921251182</c:v>
                </c:pt>
                <c:pt idx="15">
                  <c:v>82861.401209924545</c:v>
                </c:pt>
                <c:pt idx="16">
                  <c:v>83899.808498597922</c:v>
                </c:pt>
                <c:pt idx="17">
                  <c:v>84938.215787271285</c:v>
                </c:pt>
                <c:pt idx="18">
                  <c:v>85976.623075944663</c:v>
                </c:pt>
                <c:pt idx="19">
                  <c:v>87015.030364618025</c:v>
                </c:pt>
                <c:pt idx="20">
                  <c:v>88053.437653291403</c:v>
                </c:pt>
                <c:pt idx="21">
                  <c:v>89091.844941964766</c:v>
                </c:pt>
                <c:pt idx="22">
                  <c:v>90130.252230638143</c:v>
                </c:pt>
                <c:pt idx="23">
                  <c:v>91168.659519311506</c:v>
                </c:pt>
                <c:pt idx="24">
                  <c:v>92207.066807984869</c:v>
                </c:pt>
                <c:pt idx="25">
                  <c:v>93245.474096658247</c:v>
                </c:pt>
                <c:pt idx="26">
                  <c:v>94283.881385331624</c:v>
                </c:pt>
                <c:pt idx="27">
                  <c:v>95322.288674004987</c:v>
                </c:pt>
                <c:pt idx="28">
                  <c:v>96360.69596267835</c:v>
                </c:pt>
                <c:pt idx="29">
                  <c:v>97399.103251351728</c:v>
                </c:pt>
                <c:pt idx="30">
                  <c:v>98437.510540025105</c:v>
                </c:pt>
                <c:pt idx="31">
                  <c:v>99475.917828698468</c:v>
                </c:pt>
                <c:pt idx="32">
                  <c:v>100514.32511737183</c:v>
                </c:pt>
                <c:pt idx="33">
                  <c:v>101552.73240604521</c:v>
                </c:pt>
                <c:pt idx="34">
                  <c:v>102591.13969471859</c:v>
                </c:pt>
                <c:pt idx="35">
                  <c:v>103629.54698339195</c:v>
                </c:pt>
                <c:pt idx="36">
                  <c:v>104667.95427206531</c:v>
                </c:pt>
                <c:pt idx="37">
                  <c:v>105706.36156073869</c:v>
                </c:pt>
                <c:pt idx="38">
                  <c:v>106744.76884941207</c:v>
                </c:pt>
                <c:pt idx="39">
                  <c:v>107783.17613808543</c:v>
                </c:pt>
                <c:pt idx="40">
                  <c:v>108821.58342675879</c:v>
                </c:pt>
                <c:pt idx="41">
                  <c:v>109859.99071543217</c:v>
                </c:pt>
                <c:pt idx="42">
                  <c:v>110898.39800410555</c:v>
                </c:pt>
                <c:pt idx="43">
                  <c:v>111936.80529277891</c:v>
                </c:pt>
                <c:pt idx="44">
                  <c:v>112975.21258145227</c:v>
                </c:pt>
                <c:pt idx="45">
                  <c:v>114013.61987012565</c:v>
                </c:pt>
                <c:pt idx="46">
                  <c:v>115052.02715879903</c:v>
                </c:pt>
                <c:pt idx="47">
                  <c:v>116090.43444747239</c:v>
                </c:pt>
                <c:pt idx="48">
                  <c:v>117128.84173614575</c:v>
                </c:pt>
                <c:pt idx="49">
                  <c:v>118167.24902481912</c:v>
                </c:pt>
                <c:pt idx="50">
                  <c:v>119205.65631349249</c:v>
                </c:pt>
                <c:pt idx="51">
                  <c:v>120244.06360216587</c:v>
                </c:pt>
                <c:pt idx="52">
                  <c:v>121282.47089083923</c:v>
                </c:pt>
                <c:pt idx="53">
                  <c:v>122320.8781795126</c:v>
                </c:pt>
                <c:pt idx="54">
                  <c:v>123359.28546818598</c:v>
                </c:pt>
                <c:pt idx="55">
                  <c:v>124397.69275685935</c:v>
                </c:pt>
                <c:pt idx="56">
                  <c:v>125436.10004553272</c:v>
                </c:pt>
                <c:pt idx="57">
                  <c:v>126474.50733420608</c:v>
                </c:pt>
                <c:pt idx="58">
                  <c:v>127512.91462287946</c:v>
                </c:pt>
                <c:pt idx="59">
                  <c:v>128551.32191155283</c:v>
                </c:pt>
                <c:pt idx="60">
                  <c:v>129589.7292002262</c:v>
                </c:pt>
                <c:pt idx="61">
                  <c:v>130628.13648889956</c:v>
                </c:pt>
                <c:pt idx="62">
                  <c:v>131666.54377757292</c:v>
                </c:pt>
                <c:pt idx="63">
                  <c:v>132704.95106624631</c:v>
                </c:pt>
                <c:pt idx="64">
                  <c:v>133743.35835491968</c:v>
                </c:pt>
                <c:pt idx="65">
                  <c:v>134781.76564359304</c:v>
                </c:pt>
                <c:pt idx="66">
                  <c:v>135820.17293226643</c:v>
                </c:pt>
                <c:pt idx="67">
                  <c:v>136858.58022093977</c:v>
                </c:pt>
                <c:pt idx="68">
                  <c:v>137896.98750961316</c:v>
                </c:pt>
                <c:pt idx="69">
                  <c:v>138935.39479828652</c:v>
                </c:pt>
              </c:numCache>
            </c:numRef>
          </c:xVal>
          <c:yVal>
            <c:numRef>
              <c:f>Sheet9_HID!ydata6</c:f>
              <c:numCache>
                <c:formatCode>General</c:formatCode>
                <c:ptCount val="70"/>
                <c:pt idx="0">
                  <c:v>83919.172087570099</c:v>
                </c:pt>
                <c:pt idx="1">
                  <c:v>84822.43984318155</c:v>
                </c:pt>
                <c:pt idx="2">
                  <c:v>85730.445828241704</c:v>
                </c:pt>
                <c:pt idx="3">
                  <c:v>86643.304162329427</c:v>
                </c:pt>
                <c:pt idx="4">
                  <c:v>87561.128206379086</c:v>
                </c:pt>
                <c:pt idx="5">
                  <c:v>88484.030185293072</c:v>
                </c:pt>
                <c:pt idx="6">
                  <c:v>89412.120790365356</c:v>
                </c:pt>
                <c:pt idx="7">
                  <c:v>90345.508763424703</c:v>
                </c:pt>
                <c:pt idx="8">
                  <c:v>91284.300465043343</c:v>
                </c:pt>
                <c:pt idx="9">
                  <c:v>92228.599429597962</c:v>
                </c:pt>
                <c:pt idx="10">
                  <c:v>93178.505910408028</c:v>
                </c:pt>
                <c:pt idx="11">
                  <c:v>94134.116418596212</c:v>
                </c:pt>
                <c:pt idx="12">
                  <c:v>95095.523259708367</c:v>
                </c:pt>
                <c:pt idx="13">
                  <c:v>96062.81407247961</c:v>
                </c:pt>
                <c:pt idx="14">
                  <c:v>97036.071374427876</c:v>
                </c:pt>
                <c:pt idx="15">
                  <c:v>98015.37211918064</c:v>
                </c:pt>
                <c:pt idx="16">
                  <c:v>99000.787270586501</c:v>
                </c:pt>
                <c:pt idx="17">
                  <c:v>99992.38139871457</c:v>
                </c:pt>
                <c:pt idx="18">
                  <c:v>100990.21230279899</c:v>
                </c:pt>
                <c:pt idx="19">
                  <c:v>101994.33066603111</c:v>
                </c:pt>
                <c:pt idx="20">
                  <c:v>103004.77974684119</c:v>
                </c:pt>
                <c:pt idx="21">
                  <c:v>104021.59511094067</c:v>
                </c:pt>
                <c:pt idx="22">
                  <c:v>105044.80440792329</c:v>
                </c:pt>
                <c:pt idx="23">
                  <c:v>106074.42719565508</c:v>
                </c:pt>
                <c:pt idx="24">
                  <c:v>107110.47481503277</c:v>
                </c:pt>
                <c:pt idx="25">
                  <c:v>108152.95031697107</c:v>
                </c:pt>
                <c:pt idx="26">
                  <c:v>109201.84844271204</c:v>
                </c:pt>
                <c:pt idx="27">
                  <c:v>110257.1556577523</c:v>
                </c:pt>
                <c:pt idx="28">
                  <c:v>111318.85023887854</c:v>
                </c:pt>
                <c:pt idx="29">
                  <c:v>112386.90241301083</c:v>
                </c:pt>
                <c:pt idx="30">
                  <c:v>113461.27454579594</c:v>
                </c:pt>
                <c:pt idx="31">
                  <c:v>114541.92137719147</c:v>
                </c:pt>
                <c:pt idx="32">
                  <c:v>115628.79030065089</c:v>
                </c:pt>
                <c:pt idx="33">
                  <c:v>116721.82168197566</c:v>
                </c:pt>
                <c:pt idx="34">
                  <c:v>117820.94921345467</c:v>
                </c:pt>
                <c:pt idx="35">
                  <c:v>118926.1002985693</c:v>
                </c:pt>
                <c:pt idx="36">
                  <c:v>120037.19646230958</c:v>
                </c:pt>
                <c:pt idx="37">
                  <c:v>121154.15378202224</c:v>
                </c:pt>
                <c:pt idx="38">
                  <c:v>122276.88333369125</c:v>
                </c:pt>
                <c:pt idx="39">
                  <c:v>123405.29164863023</c:v>
                </c:pt>
                <c:pt idx="40">
                  <c:v>124539.28117573258</c:v>
                </c:pt>
                <c:pt idx="41">
                  <c:v>125678.75074467057</c:v>
                </c:pt>
                <c:pt idx="42">
                  <c:v>126823.59602574431</c:v>
                </c:pt>
                <c:pt idx="43">
                  <c:v>127973.70998244477</c:v>
                </c:pt>
                <c:pt idx="44">
                  <c:v>129128.9833131944</c:v>
                </c:pt>
                <c:pt idx="45">
                  <c:v>130289.30487915657</c:v>
                </c:pt>
                <c:pt idx="46">
                  <c:v>131454.5621154434</c:v>
                </c:pt>
                <c:pt idx="47">
                  <c:v>132624.64142349426</c:v>
                </c:pt>
                <c:pt idx="48">
                  <c:v>133799.42854282906</c:v>
                </c:pt>
                <c:pt idx="49">
                  <c:v>134978.80890079844</c:v>
                </c:pt>
                <c:pt idx="50">
                  <c:v>136162.66793934672</c:v>
                </c:pt>
                <c:pt idx="51">
                  <c:v>137350.89141816719</c:v>
                </c:pt>
                <c:pt idx="52">
                  <c:v>138543.36569396339</c:v>
                </c:pt>
                <c:pt idx="53">
                  <c:v>139739.97797582712</c:v>
                </c:pt>
                <c:pt idx="54">
                  <c:v>140940.61655700437</c:v>
                </c:pt>
                <c:pt idx="55">
                  <c:v>142145.17102354791</c:v>
                </c:pt>
                <c:pt idx="56">
                  <c:v>143353.53244054277</c:v>
                </c:pt>
                <c:pt idx="57">
                  <c:v>144565.59351674834</c:v>
                </c:pt>
                <c:pt idx="58">
                  <c:v>145781.24874862365</c:v>
                </c:pt>
                <c:pt idx="59">
                  <c:v>147000.39454479734</c:v>
                </c:pt>
                <c:pt idx="60">
                  <c:v>148222.92933211109</c:v>
                </c:pt>
                <c:pt idx="61">
                  <c:v>149448.75364440912</c:v>
                </c:pt>
                <c:pt idx="62">
                  <c:v>150677.77019526859</c:v>
                </c:pt>
                <c:pt idx="63">
                  <c:v>151909.88393587022</c:v>
                </c:pt>
                <c:pt idx="64">
                  <c:v>153145.0020991975</c:v>
                </c:pt>
                <c:pt idx="65">
                  <c:v>154383.03423172864</c:v>
                </c:pt>
                <c:pt idx="66">
                  <c:v>155623.89221375066</c:v>
                </c:pt>
                <c:pt idx="67">
                  <c:v>156867.49026938248</c:v>
                </c:pt>
                <c:pt idx="68">
                  <c:v>158113.744967345</c:v>
                </c:pt>
                <c:pt idx="69">
                  <c:v>159362.57521346089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E1-4FF1-A551-D647B1DD40F1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60000</c:v>
              </c:pt>
              <c:pt idx="1">
                <c:v>160000</c:v>
              </c:pt>
            </c:numLit>
          </c:xVal>
          <c:yVal>
            <c:numLit>
              <c:formatCode>General</c:formatCode>
              <c:ptCount val="2"/>
              <c:pt idx="0">
                <c:v>60000</c:v>
              </c:pt>
              <c:pt idx="1">
                <c:v>160000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7FE1-4FF1-A551-D647B1DD4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866240"/>
        <c:axId val="1155867320"/>
      </c:scatterChart>
      <c:valAx>
        <c:axId val="1155866240"/>
        <c:scaling>
          <c:orientation val="minMax"/>
          <c:max val="160000"/>
          <c:min val="6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Pred(Market Value)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867320"/>
        <c:crosses val="autoZero"/>
        <c:crossBetween val="midCat"/>
      </c:valAx>
      <c:valAx>
        <c:axId val="1155867320"/>
        <c:scaling>
          <c:orientation val="minMax"/>
          <c:max val="160000"/>
          <c:min val="6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Market 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8662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Market Value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2'!$A$94:$A$135</c:f>
              <c:strCache>
                <c:ptCount val="42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</c:strCache>
            </c:strRef>
          </c:cat>
          <c:val>
            <c:numRef>
              <c:f>'Linear Regression Output 2'!$G$94:$G$135</c:f>
              <c:numCache>
                <c:formatCode>0.000</c:formatCode>
                <c:ptCount val="42"/>
                <c:pt idx="0">
                  <c:v>0.6723636770024638</c:v>
                </c:pt>
                <c:pt idx="1">
                  <c:v>0.68958834891320175</c:v>
                </c:pt>
                <c:pt idx="2">
                  <c:v>-0.20973715446647553</c:v>
                </c:pt>
                <c:pt idx="3">
                  <c:v>-0.20452331072451477</c:v>
                </c:pt>
                <c:pt idx="4">
                  <c:v>-0.80507958975842142</c:v>
                </c:pt>
                <c:pt idx="5">
                  <c:v>-0.94970419607148504</c:v>
                </c:pt>
                <c:pt idx="6">
                  <c:v>-0.36598494709257812</c:v>
                </c:pt>
                <c:pt idx="7">
                  <c:v>4.4779797940583501</c:v>
                </c:pt>
                <c:pt idx="8">
                  <c:v>-0.9345826987541449</c:v>
                </c:pt>
                <c:pt idx="9">
                  <c:v>-0.24417719164168938</c:v>
                </c:pt>
                <c:pt idx="10">
                  <c:v>-1.1069571565911887</c:v>
                </c:pt>
                <c:pt idx="11">
                  <c:v>-0.84513739916228758</c:v>
                </c:pt>
                <c:pt idx="12">
                  <c:v>-0.5365487067242023</c:v>
                </c:pt>
                <c:pt idx="13">
                  <c:v>-0.46203690017573135</c:v>
                </c:pt>
                <c:pt idx="14">
                  <c:v>-0.61126945750071549</c:v>
                </c:pt>
                <c:pt idx="15">
                  <c:v>0.22935748819936774</c:v>
                </c:pt>
                <c:pt idx="16">
                  <c:v>1.2410682274396152</c:v>
                </c:pt>
                <c:pt idx="17">
                  <c:v>-0.53214271995562867</c:v>
                </c:pt>
                <c:pt idx="18">
                  <c:v>2.0269011816126636</c:v>
                </c:pt>
                <c:pt idx="19">
                  <c:v>0.29796602611590572</c:v>
                </c:pt>
                <c:pt idx="20">
                  <c:v>-0.70792032332921162</c:v>
                </c:pt>
                <c:pt idx="21">
                  <c:v>-0.28365470159273248</c:v>
                </c:pt>
                <c:pt idx="22">
                  <c:v>0.65493936750994564</c:v>
                </c:pt>
                <c:pt idx="23">
                  <c:v>0.54796063298842113</c:v>
                </c:pt>
                <c:pt idx="24">
                  <c:v>0.26481665323757347</c:v>
                </c:pt>
                <c:pt idx="25">
                  <c:v>-0.48627215406445873</c:v>
                </c:pt>
                <c:pt idx="26">
                  <c:v>-1.0031912366706828</c:v>
                </c:pt>
                <c:pt idx="27">
                  <c:v>-0.36277678581469036</c:v>
                </c:pt>
                <c:pt idx="28">
                  <c:v>-0.34695423029955158</c:v>
                </c:pt>
                <c:pt idx="29">
                  <c:v>0.99727401891014167</c:v>
                </c:pt>
                <c:pt idx="30">
                  <c:v>-0.35395085230815021</c:v>
                </c:pt>
                <c:pt idx="31">
                  <c:v>0.44450347608684471</c:v>
                </c:pt>
                <c:pt idx="32">
                  <c:v>-2.9349273419403719E-2</c:v>
                </c:pt>
                <c:pt idx="33">
                  <c:v>-0.85395169936100335</c:v>
                </c:pt>
                <c:pt idx="34">
                  <c:v>0.72283986724398963</c:v>
                </c:pt>
                <c:pt idx="35">
                  <c:v>0.64041445627638383</c:v>
                </c:pt>
                <c:pt idx="36">
                  <c:v>-0.54115898439768917</c:v>
                </c:pt>
                <c:pt idx="37">
                  <c:v>0.36657456403244376</c:v>
                </c:pt>
                <c:pt idx="38">
                  <c:v>-0.21424296002594032</c:v>
                </c:pt>
                <c:pt idx="39">
                  <c:v>0.17447065786613733</c:v>
                </c:pt>
                <c:pt idx="40">
                  <c:v>-0.66786251392534535</c:v>
                </c:pt>
                <c:pt idx="41">
                  <c:v>-0.78985129366549656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F-4E9F-AC06-835BFAE7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155746000"/>
        <c:axId val="1155753920"/>
      </c:barChart>
      <c:catAx>
        <c:axId val="1155746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53920"/>
        <c:crosses val="autoZero"/>
        <c:auto val="1"/>
        <c:lblAlgn val="ctr"/>
        <c:lblOffset val="100"/>
        <c:noMultiLvlLbl val="0"/>
      </c:catAx>
      <c:valAx>
        <c:axId val="1155753920"/>
        <c:scaling>
          <c:orientation val="minMax"/>
          <c:max val="5"/>
          <c:min val="-5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4600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Comparative Salary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43-40AF-8EB0-0BB5320A27EB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643-40AF-8EB0-0BB5320A27EB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43-40AF-8EB0-0BB5320A27EB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643-40AF-8EB0-0BB5320A27EB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43-40AF-8EB0-0BB5320A27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5"/>
                <c:pt idx="0">
                  <c:v>4.9045744032234981E-2</c:v>
                </c:pt>
                <c:pt idx="1">
                  <c:v>5.5925025840220077E-2</c:v>
                </c:pt>
                <c:pt idx="2">
                  <c:v>3.9100229584478126E-2</c:v>
                </c:pt>
                <c:pt idx="3">
                  <c:v>5.1109663454120408E-2</c:v>
                </c:pt>
                <c:pt idx="4">
                  <c:v>4.4593886166758884E-2</c:v>
                </c:pt>
              </c:numLit>
            </c:plus>
            <c:minus>
              <c:numLit>
                <c:formatCode>General</c:formatCode>
                <c:ptCount val="5"/>
                <c:pt idx="0">
                  <c:v>4.9045744032234974E-2</c:v>
                </c:pt>
                <c:pt idx="1">
                  <c:v>5.5925025840220077E-2</c:v>
                </c:pt>
                <c:pt idx="2">
                  <c:v>3.9100229584478126E-2</c:v>
                </c:pt>
                <c:pt idx="3">
                  <c:v>5.1109663454120401E-2</c:v>
                </c:pt>
                <c:pt idx="4">
                  <c:v>4.4593886166758884E-2</c:v>
                </c:pt>
              </c:numLit>
            </c:minus>
          </c:errBars>
          <c:cat>
            <c:strRef>
              <c:f>'Linear Regression Output 3'!$A$82:$A$86</c:f>
              <c:strCache>
                <c:ptCount val="5"/>
                <c:pt idx="0">
                  <c:v>Groceries</c:v>
                </c:pt>
                <c:pt idx="1">
                  <c:v>Housing</c:v>
                </c:pt>
                <c:pt idx="2">
                  <c:v>Utilities</c:v>
                </c:pt>
                <c:pt idx="3">
                  <c:v>Transportation</c:v>
                </c:pt>
                <c:pt idx="4">
                  <c:v>Healthcare</c:v>
                </c:pt>
              </c:strCache>
            </c:strRef>
          </c:cat>
          <c:val>
            <c:numRef>
              <c:f>'Linear Regression Output 3'!$B$82:$B$86</c:f>
              <c:numCache>
                <c:formatCode>0.000</c:formatCode>
                <c:ptCount val="5"/>
                <c:pt idx="0">
                  <c:v>7.2280145534095244E-2</c:v>
                </c:pt>
                <c:pt idx="1">
                  <c:v>0.85650488279214776</c:v>
                </c:pt>
                <c:pt idx="2">
                  <c:v>4.9234226476023664E-2</c:v>
                </c:pt>
                <c:pt idx="3">
                  <c:v>3.0992708705574554E-2</c:v>
                </c:pt>
                <c:pt idx="4">
                  <c:v>6.1041889083471912E-2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3-40AF-8EB0-0BB5320A2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155764720"/>
        <c:axId val="1155758960"/>
      </c:barChart>
      <c:catAx>
        <c:axId val="1155764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58960"/>
        <c:crosses val="autoZero"/>
        <c:auto val="1"/>
        <c:lblAlgn val="ctr"/>
        <c:lblOffset val="100"/>
        <c:noMultiLvlLbl val="0"/>
      </c:catAx>
      <c:valAx>
        <c:axId val="115575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6472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Comparative Salary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3'!$C$112:$C$136</c:f>
              <c:numCache>
                <c:formatCode>0.000</c:formatCode>
                <c:ptCount val="25"/>
                <c:pt idx="0">
                  <c:v>60482</c:v>
                </c:pt>
                <c:pt idx="1">
                  <c:v>57530</c:v>
                </c:pt>
                <c:pt idx="2">
                  <c:v>85904</c:v>
                </c:pt>
                <c:pt idx="3">
                  <c:v>60904</c:v>
                </c:pt>
                <c:pt idx="4">
                  <c:v>58012</c:v>
                </c:pt>
                <c:pt idx="5">
                  <c:v>70000</c:v>
                </c:pt>
                <c:pt idx="6">
                  <c:v>54578</c:v>
                </c:pt>
                <c:pt idx="7">
                  <c:v>58072</c:v>
                </c:pt>
                <c:pt idx="8">
                  <c:v>87892</c:v>
                </c:pt>
                <c:pt idx="9">
                  <c:v>65843</c:v>
                </c:pt>
                <c:pt idx="10">
                  <c:v>57590</c:v>
                </c:pt>
                <c:pt idx="11">
                  <c:v>55120</c:v>
                </c:pt>
                <c:pt idx="12">
                  <c:v>83795</c:v>
                </c:pt>
                <c:pt idx="13">
                  <c:v>55602</c:v>
                </c:pt>
                <c:pt idx="14">
                  <c:v>65060</c:v>
                </c:pt>
                <c:pt idx="15">
                  <c:v>57530</c:v>
                </c:pt>
                <c:pt idx="16">
                  <c:v>136024</c:v>
                </c:pt>
                <c:pt idx="17">
                  <c:v>72048</c:v>
                </c:pt>
                <c:pt idx="18">
                  <c:v>57651</c:v>
                </c:pt>
                <c:pt idx="19">
                  <c:v>59578</c:v>
                </c:pt>
                <c:pt idx="20">
                  <c:v>77349</c:v>
                </c:pt>
                <c:pt idx="21">
                  <c:v>86446</c:v>
                </c:pt>
                <c:pt idx="22">
                  <c:v>105241</c:v>
                </c:pt>
                <c:pt idx="23">
                  <c:v>83253</c:v>
                </c:pt>
                <c:pt idx="24">
                  <c:v>56084</c:v>
                </c:pt>
              </c:numCache>
            </c:numRef>
          </c:xVal>
          <c:yVal>
            <c:numRef>
              <c:f>'Linear Regression Output 3'!$F$112:$F$136</c:f>
              <c:numCache>
                <c:formatCode>0.000</c:formatCode>
                <c:ptCount val="25"/>
                <c:pt idx="0">
                  <c:v>-0.32117986973479423</c:v>
                </c:pt>
                <c:pt idx="1">
                  <c:v>0.53546295139334221</c:v>
                </c:pt>
                <c:pt idx="2">
                  <c:v>0.71295182070248897</c:v>
                </c:pt>
                <c:pt idx="3">
                  <c:v>-0.95378870690480477</c:v>
                </c:pt>
                <c:pt idx="4">
                  <c:v>-5.4947031574784623E-2</c:v>
                </c:pt>
                <c:pt idx="5">
                  <c:v>0.18217837865229145</c:v>
                </c:pt>
                <c:pt idx="6">
                  <c:v>6.6930389724432382E-2</c:v>
                </c:pt>
                <c:pt idx="7">
                  <c:v>1.0705809228518965</c:v>
                </c:pt>
                <c:pt idx="8">
                  <c:v>-0.27251506656363461</c:v>
                </c:pt>
                <c:pt idx="9">
                  <c:v>-0.23567595786268755</c:v>
                </c:pt>
                <c:pt idx="10">
                  <c:v>0.15764648988478452</c:v>
                </c:pt>
                <c:pt idx="11">
                  <c:v>-0.12293570211762495</c:v>
                </c:pt>
                <c:pt idx="12">
                  <c:v>-0.92555506273274757</c:v>
                </c:pt>
                <c:pt idx="13">
                  <c:v>1.1121515216142961</c:v>
                </c:pt>
                <c:pt idx="14">
                  <c:v>0.633709268278699</c:v>
                </c:pt>
                <c:pt idx="15">
                  <c:v>-0.81842668711423094</c:v>
                </c:pt>
                <c:pt idx="16">
                  <c:v>1.4605272469185837</c:v>
                </c:pt>
                <c:pt idx="17">
                  <c:v>0.95032422803476158</c:v>
                </c:pt>
                <c:pt idx="18">
                  <c:v>-0.85777298018762194</c:v>
                </c:pt>
                <c:pt idx="19">
                  <c:v>-0.14036006078619859</c:v>
                </c:pt>
                <c:pt idx="20">
                  <c:v>1.4398734771111421</c:v>
                </c:pt>
                <c:pt idx="21">
                  <c:v>-1.6543975279505267</c:v>
                </c:pt>
                <c:pt idx="22">
                  <c:v>-1.7915897879841329</c:v>
                </c:pt>
                <c:pt idx="23">
                  <c:v>0.56293152743061126</c:v>
                </c:pt>
                <c:pt idx="24">
                  <c:v>-0.73612378108351928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5-414A-B0E8-7C1B2ECAD5DD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57530</c:v>
              </c:pt>
            </c:numLit>
          </c:xVal>
          <c:yVal>
            <c:numLit>
              <c:formatCode>General</c:formatCode>
              <c:ptCount val="1"/>
              <c:pt idx="0">
                <c:v>0.53546295139334221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015-414A-B0E8-7C1B2ECAD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57880"/>
        <c:axId val="1155761480"/>
      </c:scatterChart>
      <c:valAx>
        <c:axId val="1155757880"/>
        <c:scaling>
          <c:orientation val="minMax"/>
          <c:max val="140000"/>
          <c:min val="5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Comparative 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61480"/>
        <c:crosses val="autoZero"/>
        <c:crossBetween val="midCat"/>
      </c:valAx>
      <c:valAx>
        <c:axId val="1155761480"/>
        <c:scaling>
          <c:orientation val="minMax"/>
          <c:max val="1.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5788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Pred(Comparative Salary)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3'!$D$112:$D$136</c:f>
              <c:numCache>
                <c:formatCode>0.000</c:formatCode>
                <c:ptCount val="25"/>
                <c:pt idx="0">
                  <c:v>60919.718497420494</c:v>
                </c:pt>
                <c:pt idx="1">
                  <c:v>56800.246797528838</c:v>
                </c:pt>
                <c:pt idx="2">
                  <c:v>84932.356914308533</c:v>
                </c:pt>
                <c:pt idx="3">
                  <c:v>62203.866520239077</c:v>
                </c:pt>
                <c:pt idx="4">
                  <c:v>58086.884307408465</c:v>
                </c:pt>
                <c:pt idx="5">
                  <c:v>69751.719040698197</c:v>
                </c:pt>
                <c:pt idx="6">
                  <c:v>54486.784228456978</c:v>
                </c:pt>
                <c:pt idx="7">
                  <c:v>56612.963749363487</c:v>
                </c:pt>
                <c:pt idx="8">
                  <c:v>88263.395895885929</c:v>
                </c:pt>
                <c:pt idx="9">
                  <c:v>66164.18988727087</c:v>
                </c:pt>
                <c:pt idx="10">
                  <c:v>57375.152211647131</c:v>
                </c:pt>
                <c:pt idx="11">
                  <c:v>55287.54235206177</c:v>
                </c:pt>
                <c:pt idx="12">
                  <c:v>85056.388429087528</c:v>
                </c:pt>
                <c:pt idx="13">
                  <c:v>54086.309451439483</c:v>
                </c:pt>
                <c:pt idx="14">
                  <c:v>64196.352259743311</c:v>
                </c:pt>
                <c:pt idx="15">
                  <c:v>58645.38901870868</c:v>
                </c:pt>
                <c:pt idx="16">
                  <c:v>134033.5272082563</c:v>
                </c:pt>
                <c:pt idx="17">
                  <c:v>70752.855028737802</c:v>
                </c:pt>
                <c:pt idx="18">
                  <c:v>58820.011931929774</c:v>
                </c:pt>
                <c:pt idx="19">
                  <c:v>59769.28905854503</c:v>
                </c:pt>
                <c:pt idx="20">
                  <c:v>75386.675102748093</c:v>
                </c:pt>
                <c:pt idx="21">
                  <c:v>88700.688006034252</c:v>
                </c:pt>
                <c:pt idx="22">
                  <c:v>107682.65984200024</c:v>
                </c:pt>
                <c:pt idx="23">
                  <c:v>82485.811375940175</c:v>
                </c:pt>
                <c:pt idx="24">
                  <c:v>57087.222884539529</c:v>
                </c:pt>
              </c:numCache>
            </c:numRef>
          </c:xVal>
          <c:yVal>
            <c:numRef>
              <c:f>'Linear Regression Output 3'!$F$112:$F$136</c:f>
              <c:numCache>
                <c:formatCode>0.000</c:formatCode>
                <c:ptCount val="25"/>
                <c:pt idx="0">
                  <c:v>-0.32117986973479423</c:v>
                </c:pt>
                <c:pt idx="1">
                  <c:v>0.53546295139334221</c:v>
                </c:pt>
                <c:pt idx="2">
                  <c:v>0.71295182070248897</c:v>
                </c:pt>
                <c:pt idx="3">
                  <c:v>-0.95378870690480477</c:v>
                </c:pt>
                <c:pt idx="4">
                  <c:v>-5.4947031574784623E-2</c:v>
                </c:pt>
                <c:pt idx="5">
                  <c:v>0.18217837865229145</c:v>
                </c:pt>
                <c:pt idx="6">
                  <c:v>6.6930389724432382E-2</c:v>
                </c:pt>
                <c:pt idx="7">
                  <c:v>1.0705809228518965</c:v>
                </c:pt>
                <c:pt idx="8">
                  <c:v>-0.27251506656363461</c:v>
                </c:pt>
                <c:pt idx="9">
                  <c:v>-0.23567595786268755</c:v>
                </c:pt>
                <c:pt idx="10">
                  <c:v>0.15764648988478452</c:v>
                </c:pt>
                <c:pt idx="11">
                  <c:v>-0.12293570211762495</c:v>
                </c:pt>
                <c:pt idx="12">
                  <c:v>-0.92555506273274757</c:v>
                </c:pt>
                <c:pt idx="13">
                  <c:v>1.1121515216142961</c:v>
                </c:pt>
                <c:pt idx="14">
                  <c:v>0.633709268278699</c:v>
                </c:pt>
                <c:pt idx="15">
                  <c:v>-0.81842668711423094</c:v>
                </c:pt>
                <c:pt idx="16">
                  <c:v>1.4605272469185837</c:v>
                </c:pt>
                <c:pt idx="17">
                  <c:v>0.95032422803476158</c:v>
                </c:pt>
                <c:pt idx="18">
                  <c:v>-0.85777298018762194</c:v>
                </c:pt>
                <c:pt idx="19">
                  <c:v>-0.14036006078619859</c:v>
                </c:pt>
                <c:pt idx="20">
                  <c:v>1.4398734771111421</c:v>
                </c:pt>
                <c:pt idx="21">
                  <c:v>-1.6543975279505267</c:v>
                </c:pt>
                <c:pt idx="22">
                  <c:v>-1.7915897879841329</c:v>
                </c:pt>
                <c:pt idx="23">
                  <c:v>0.56293152743061126</c:v>
                </c:pt>
                <c:pt idx="24">
                  <c:v>-0.73612378108351928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C-4E11-AD59-A9E858251A49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56800.246797528838</c:v>
              </c:pt>
            </c:numLit>
          </c:xVal>
          <c:yVal>
            <c:numLit>
              <c:formatCode>General</c:formatCode>
              <c:ptCount val="1"/>
              <c:pt idx="0">
                <c:v>0.53546295139334221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D3C-4E11-AD59-A9E858251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960"/>
        <c:axId val="1155768320"/>
      </c:scatterChart>
      <c:valAx>
        <c:axId val="1155767960"/>
        <c:scaling>
          <c:orientation val="minMax"/>
          <c:max val="140000"/>
          <c:min val="5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Pred(Comparative 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68320"/>
        <c:crosses val="autoZero"/>
        <c:crossBetween val="midCat"/>
      </c:valAx>
      <c:valAx>
        <c:axId val="1155768320"/>
        <c:scaling>
          <c:orientation val="minMax"/>
          <c:max val="1.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679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Pred(Comparative Salary) - Comparative Salary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3'!$D$112:$D$136</c:f>
              <c:numCache>
                <c:formatCode>0.000</c:formatCode>
                <c:ptCount val="25"/>
                <c:pt idx="0">
                  <c:v>60919.718497420494</c:v>
                </c:pt>
                <c:pt idx="1">
                  <c:v>56800.246797528838</c:v>
                </c:pt>
                <c:pt idx="2">
                  <c:v>84932.356914308533</c:v>
                </c:pt>
                <c:pt idx="3">
                  <c:v>62203.866520239077</c:v>
                </c:pt>
                <c:pt idx="4">
                  <c:v>58086.884307408465</c:v>
                </c:pt>
                <c:pt idx="5">
                  <c:v>69751.719040698197</c:v>
                </c:pt>
                <c:pt idx="6">
                  <c:v>54486.784228456978</c:v>
                </c:pt>
                <c:pt idx="7">
                  <c:v>56612.963749363487</c:v>
                </c:pt>
                <c:pt idx="8">
                  <c:v>88263.395895885929</c:v>
                </c:pt>
                <c:pt idx="9">
                  <c:v>66164.18988727087</c:v>
                </c:pt>
                <c:pt idx="10">
                  <c:v>57375.152211647131</c:v>
                </c:pt>
                <c:pt idx="11">
                  <c:v>55287.54235206177</c:v>
                </c:pt>
                <c:pt idx="12">
                  <c:v>85056.388429087528</c:v>
                </c:pt>
                <c:pt idx="13">
                  <c:v>54086.309451439483</c:v>
                </c:pt>
                <c:pt idx="14">
                  <c:v>64196.352259743311</c:v>
                </c:pt>
                <c:pt idx="15">
                  <c:v>58645.38901870868</c:v>
                </c:pt>
                <c:pt idx="16">
                  <c:v>134033.5272082563</c:v>
                </c:pt>
                <c:pt idx="17">
                  <c:v>70752.855028737802</c:v>
                </c:pt>
                <c:pt idx="18">
                  <c:v>58820.011931929774</c:v>
                </c:pt>
                <c:pt idx="19">
                  <c:v>59769.28905854503</c:v>
                </c:pt>
                <c:pt idx="20">
                  <c:v>75386.675102748093</c:v>
                </c:pt>
                <c:pt idx="21">
                  <c:v>88700.688006034252</c:v>
                </c:pt>
                <c:pt idx="22">
                  <c:v>107682.65984200024</c:v>
                </c:pt>
                <c:pt idx="23">
                  <c:v>82485.811375940175</c:v>
                </c:pt>
                <c:pt idx="24">
                  <c:v>57087.222884539529</c:v>
                </c:pt>
              </c:numCache>
            </c:numRef>
          </c:xVal>
          <c:yVal>
            <c:numRef>
              <c:f>'Linear Regression Output 3'!$C$112:$C$136</c:f>
              <c:numCache>
                <c:formatCode>0.000</c:formatCode>
                <c:ptCount val="25"/>
                <c:pt idx="0">
                  <c:v>60482</c:v>
                </c:pt>
                <c:pt idx="1">
                  <c:v>57530</c:v>
                </c:pt>
                <c:pt idx="2">
                  <c:v>85904</c:v>
                </c:pt>
                <c:pt idx="3">
                  <c:v>60904</c:v>
                </c:pt>
                <c:pt idx="4">
                  <c:v>58012</c:v>
                </c:pt>
                <c:pt idx="5">
                  <c:v>70000</c:v>
                </c:pt>
                <c:pt idx="6">
                  <c:v>54578</c:v>
                </c:pt>
                <c:pt idx="7">
                  <c:v>58072</c:v>
                </c:pt>
                <c:pt idx="8">
                  <c:v>87892</c:v>
                </c:pt>
                <c:pt idx="9">
                  <c:v>65843</c:v>
                </c:pt>
                <c:pt idx="10">
                  <c:v>57590</c:v>
                </c:pt>
                <c:pt idx="11">
                  <c:v>55120</c:v>
                </c:pt>
                <c:pt idx="12">
                  <c:v>83795</c:v>
                </c:pt>
                <c:pt idx="13">
                  <c:v>55602</c:v>
                </c:pt>
                <c:pt idx="14">
                  <c:v>65060</c:v>
                </c:pt>
                <c:pt idx="15">
                  <c:v>57530</c:v>
                </c:pt>
                <c:pt idx="16">
                  <c:v>136024</c:v>
                </c:pt>
                <c:pt idx="17">
                  <c:v>72048</c:v>
                </c:pt>
                <c:pt idx="18">
                  <c:v>57651</c:v>
                </c:pt>
                <c:pt idx="19">
                  <c:v>59578</c:v>
                </c:pt>
                <c:pt idx="20">
                  <c:v>77349</c:v>
                </c:pt>
                <c:pt idx="21">
                  <c:v>86446</c:v>
                </c:pt>
                <c:pt idx="22">
                  <c:v>105241</c:v>
                </c:pt>
                <c:pt idx="23">
                  <c:v>83253</c:v>
                </c:pt>
                <c:pt idx="24">
                  <c:v>56084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E-4717-A662-A5F0E3909A98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56800.246797528838</c:v>
              </c:pt>
            </c:numLit>
          </c:xVal>
          <c:yVal>
            <c:numLit>
              <c:formatCode>General</c:formatCode>
              <c:ptCount val="1"/>
              <c:pt idx="0">
                <c:v>57530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78E-4717-A662-A5F0E3909A98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Sheet12_HID!xdata1</c:f>
              <c:numCache>
                <c:formatCode>General</c:formatCode>
                <c:ptCount val="70"/>
                <c:pt idx="0">
                  <c:v>50888.420741166803</c:v>
                </c:pt>
                <c:pt idx="1">
                  <c:v>52481.925261583332</c:v>
                </c:pt>
                <c:pt idx="2">
                  <c:v>54075.429781999861</c:v>
                </c:pt>
                <c:pt idx="3">
                  <c:v>55668.934302416397</c:v>
                </c:pt>
                <c:pt idx="4">
                  <c:v>57262.438822832926</c:v>
                </c:pt>
                <c:pt idx="5">
                  <c:v>58855.943343249455</c:v>
                </c:pt>
                <c:pt idx="6">
                  <c:v>60449.447863665984</c:v>
                </c:pt>
                <c:pt idx="7">
                  <c:v>62042.952384082513</c:v>
                </c:pt>
                <c:pt idx="8">
                  <c:v>63636.456904499042</c:v>
                </c:pt>
                <c:pt idx="9">
                  <c:v>65229.961424915571</c:v>
                </c:pt>
                <c:pt idx="10">
                  <c:v>66823.465945332107</c:v>
                </c:pt>
                <c:pt idx="11">
                  <c:v>68416.970465748629</c:v>
                </c:pt>
                <c:pt idx="12">
                  <c:v>70010.474986165165</c:v>
                </c:pt>
                <c:pt idx="13">
                  <c:v>71603.979506581702</c:v>
                </c:pt>
                <c:pt idx="14">
                  <c:v>73197.484026998223</c:v>
                </c:pt>
                <c:pt idx="15">
                  <c:v>74790.98854741476</c:v>
                </c:pt>
                <c:pt idx="16">
                  <c:v>76384.493067831281</c:v>
                </c:pt>
                <c:pt idx="17">
                  <c:v>77977.997588247817</c:v>
                </c:pt>
                <c:pt idx="18">
                  <c:v>79571.502108664339</c:v>
                </c:pt>
                <c:pt idx="19">
                  <c:v>81165.006629080875</c:v>
                </c:pt>
                <c:pt idx="20">
                  <c:v>82758.511149497412</c:v>
                </c:pt>
                <c:pt idx="21">
                  <c:v>84352.015669913933</c:v>
                </c:pt>
                <c:pt idx="22">
                  <c:v>85945.520190330455</c:v>
                </c:pt>
                <c:pt idx="23">
                  <c:v>87539.024710747006</c:v>
                </c:pt>
                <c:pt idx="24">
                  <c:v>89132.529231163528</c:v>
                </c:pt>
                <c:pt idx="25">
                  <c:v>90726.033751580049</c:v>
                </c:pt>
                <c:pt idx="26">
                  <c:v>92319.538271996586</c:v>
                </c:pt>
                <c:pt idx="27">
                  <c:v>93913.042792413122</c:v>
                </c:pt>
                <c:pt idx="28">
                  <c:v>95506.547312829643</c:v>
                </c:pt>
                <c:pt idx="29">
                  <c:v>97100.05183324618</c:v>
                </c:pt>
                <c:pt idx="30">
                  <c:v>98693.556353662716</c:v>
                </c:pt>
                <c:pt idx="31">
                  <c:v>100287.06087407924</c:v>
                </c:pt>
                <c:pt idx="32">
                  <c:v>101880.56539449576</c:v>
                </c:pt>
                <c:pt idx="33">
                  <c:v>103474.0699149123</c:v>
                </c:pt>
                <c:pt idx="34">
                  <c:v>105067.57443532883</c:v>
                </c:pt>
                <c:pt idx="35">
                  <c:v>106661.07895574535</c:v>
                </c:pt>
                <c:pt idx="36">
                  <c:v>108254.58347616189</c:v>
                </c:pt>
                <c:pt idx="37">
                  <c:v>109848.08799657843</c:v>
                </c:pt>
                <c:pt idx="38">
                  <c:v>111441.59251699495</c:v>
                </c:pt>
                <c:pt idx="39">
                  <c:v>113035.09703741147</c:v>
                </c:pt>
                <c:pt idx="40">
                  <c:v>114628.60155782801</c:v>
                </c:pt>
                <c:pt idx="41">
                  <c:v>116222.10607824454</c:v>
                </c:pt>
                <c:pt idx="42">
                  <c:v>117815.61059866106</c:v>
                </c:pt>
                <c:pt idx="43">
                  <c:v>119409.1151190776</c:v>
                </c:pt>
                <c:pt idx="44">
                  <c:v>121002.61963949412</c:v>
                </c:pt>
                <c:pt idx="45">
                  <c:v>122596.12415991066</c:v>
                </c:pt>
                <c:pt idx="46">
                  <c:v>124189.62868032719</c:v>
                </c:pt>
                <c:pt idx="47">
                  <c:v>125783.13320074372</c:v>
                </c:pt>
                <c:pt idx="48">
                  <c:v>127376.63772116025</c:v>
                </c:pt>
                <c:pt idx="49">
                  <c:v>128970.14224157677</c:v>
                </c:pt>
                <c:pt idx="50">
                  <c:v>130563.64676199331</c:v>
                </c:pt>
                <c:pt idx="51">
                  <c:v>132157.15128240985</c:v>
                </c:pt>
                <c:pt idx="52">
                  <c:v>133750.65580282637</c:v>
                </c:pt>
                <c:pt idx="53">
                  <c:v>135344.16032324289</c:v>
                </c:pt>
                <c:pt idx="54">
                  <c:v>136937.66484365944</c:v>
                </c:pt>
                <c:pt idx="55">
                  <c:v>138531.16936407596</c:v>
                </c:pt>
                <c:pt idx="56">
                  <c:v>140124.67388449248</c:v>
                </c:pt>
                <c:pt idx="57">
                  <c:v>141718.17840490903</c:v>
                </c:pt>
                <c:pt idx="58">
                  <c:v>143311.68292532556</c:v>
                </c:pt>
                <c:pt idx="59">
                  <c:v>144905.18744574208</c:v>
                </c:pt>
                <c:pt idx="60">
                  <c:v>146498.69196615863</c:v>
                </c:pt>
                <c:pt idx="61">
                  <c:v>148092.19648657512</c:v>
                </c:pt>
                <c:pt idx="62">
                  <c:v>149685.70100699167</c:v>
                </c:pt>
                <c:pt idx="63">
                  <c:v>151279.20552740819</c:v>
                </c:pt>
                <c:pt idx="64">
                  <c:v>152872.71004782472</c:v>
                </c:pt>
                <c:pt idx="65">
                  <c:v>154466.21456824127</c:v>
                </c:pt>
                <c:pt idx="66">
                  <c:v>156059.71908865779</c:v>
                </c:pt>
                <c:pt idx="67">
                  <c:v>157653.22360907431</c:v>
                </c:pt>
                <c:pt idx="68">
                  <c:v>159246.72812949086</c:v>
                </c:pt>
                <c:pt idx="69">
                  <c:v>160840.23264990738</c:v>
                </c:pt>
              </c:numCache>
            </c:numRef>
          </c:xVal>
          <c:yVal>
            <c:numRef>
              <c:f>Sheet12_HID!ydata1</c:f>
              <c:numCache>
                <c:formatCode>General</c:formatCode>
                <c:ptCount val="70"/>
                <c:pt idx="0">
                  <c:v>47918.461932597886</c:v>
                </c:pt>
                <c:pt idx="1">
                  <c:v>49521.301104698963</c:v>
                </c:pt>
                <c:pt idx="2">
                  <c:v>51123.384058138305</c:v>
                </c:pt>
                <c:pt idx="3">
                  <c:v>52724.704182856774</c:v>
                </c:pt>
                <c:pt idx="4">
                  <c:v>54325.25538937399</c:v>
                </c:pt>
                <c:pt idx="5">
                  <c:v>55925.032131636246</c:v>
                </c:pt>
                <c:pt idx="6">
                  <c:v>57524.029428186172</c:v>
                </c:pt>
                <c:pt idx="7">
                  <c:v>59122.242881471699</c:v>
                </c:pt>
                <c:pt idx="8">
                  <c:v>60719.668695124245</c:v>
                </c:pt>
                <c:pt idx="9">
                  <c:v>62316.303689050677</c:v>
                </c:pt>
                <c:pt idx="10">
                  <c:v>63912.145312201217</c:v>
                </c:pt>
                <c:pt idx="11">
                  <c:v>65507.19165289485</c:v>
                </c:pt>
                <c:pt idx="12">
                  <c:v>67101.441446605575</c:v>
                </c:pt>
                <c:pt idx="13">
                  <c:v>68694.894081135542</c:v>
                </c:pt>
                <c:pt idx="14">
                  <c:v>70287.549599126229</c:v>
                </c:pt>
                <c:pt idx="15">
                  <c:v>71879.408697883409</c:v>
                </c:pt>
                <c:pt idx="16">
                  <c:v>73470.472726517575</c:v>
                </c:pt>
                <c:pt idx="17">
                  <c:v>75060.743680427346</c:v>
                </c:pt>
                <c:pt idx="18">
                  <c:v>76650.224193177957</c:v>
                </c:pt>
                <c:pt idx="19">
                  <c:v>78238.917525852157</c:v>
                </c:pt>
                <c:pt idx="20">
                  <c:v>79826.827553972471</c:v>
                </c:pt>
                <c:pt idx="21">
                  <c:v>81413.958752116552</c:v>
                </c:pt>
                <c:pt idx="22">
                  <c:v>83000.316176365581</c:v>
                </c:pt>
                <c:pt idx="23">
                  <c:v>84585.905444743112</c:v>
                </c:pt>
                <c:pt idx="24">
                  <c:v>86170.732715816339</c:v>
                </c:pt>
                <c:pt idx="25">
                  <c:v>87754.804665643926</c:v>
                </c:pt>
                <c:pt idx="26">
                  <c:v>89338.128463262838</c:v>
                </c:pt>
                <c:pt idx="27">
                  <c:v>90920.711744914282</c:v>
                </c:pt>
                <c:pt idx="28">
                  <c:v>92502.56258721136</c:v>
                </c:pt>
                <c:pt idx="29">
                  <c:v>94083.689479452907</c:v>
                </c:pt>
                <c:pt idx="30">
                  <c:v>95664.101295285815</c:v>
                </c:pt>
                <c:pt idx="31">
                  <c:v>97243.807263914583</c:v>
                </c:pt>
                <c:pt idx="32">
                  <c:v>98822.816941050667</c:v>
                </c:pt>
                <c:pt idx="33">
                  <c:v>100401.14017978616</c:v>
                </c:pt>
                <c:pt idx="34">
                  <c:v>101978.78710156668</c:v>
                </c:pt>
                <c:pt idx="35">
                  <c:v>103555.76806742715</c:v>
                </c:pt>
                <c:pt idx="36">
                  <c:v>105132.09364964261</c:v>
                </c:pt>
                <c:pt idx="37">
                  <c:v>106707.77460393176</c:v>
                </c:pt>
                <c:pt idx="38">
                  <c:v>108282.82184233899</c:v>
                </c:pt>
                <c:pt idx="39">
                  <c:v>109857.24640690544</c:v>
                </c:pt>
                <c:pt idx="40">
                  <c:v>111431.05944422582</c:v>
                </c:pt>
                <c:pt idx="41">
                  <c:v>113004.27218097416</c:v>
                </c:pt>
                <c:pt idx="42">
                  <c:v>114576.89590046737</c:v>
                </c:pt>
                <c:pt idx="43">
                  <c:v>116148.94192032263</c:v>
                </c:pt>
                <c:pt idx="44">
                  <c:v>117720.42157125154</c:v>
                </c:pt>
                <c:pt idx="45">
                  <c:v>119291.34617702267</c:v>
                </c:pt>
                <c:pt idx="46">
                  <c:v>120861.72703561203</c:v>
                </c:pt>
                <c:pt idx="47">
                  <c:v>122431.57540155161</c:v>
                </c:pt>
                <c:pt idx="48">
                  <c:v>124000.902469476</c:v>
                </c:pt>
                <c:pt idx="49">
                  <c:v>125569.7193588587</c:v>
                </c:pt>
                <c:pt idx="50">
                  <c:v>127138.03709992254</c:v>
                </c:pt>
                <c:pt idx="51">
                  <c:v>128705.8666207015</c:v>
                </c:pt>
                <c:pt idx="52">
                  <c:v>130273.21873522547</c:v>
                </c:pt>
                <c:pt idx="53">
                  <c:v>131840.10413279489</c:v>
                </c:pt>
                <c:pt idx="54">
                  <c:v>133406.53336830769</c:v>
                </c:pt>
                <c:pt idx="55">
                  <c:v>134972.51685359763</c:v>
                </c:pt>
                <c:pt idx="56">
                  <c:v>136538.06484974138</c:v>
                </c:pt>
                <c:pt idx="57">
                  <c:v>138103.18746028777</c:v>
                </c:pt>
                <c:pt idx="58">
                  <c:v>139667.89462536358</c:v>
                </c:pt>
                <c:pt idx="59">
                  <c:v>141232.19611660764</c:v>
                </c:pt>
                <c:pt idx="60">
                  <c:v>142796.10153288566</c:v>
                </c:pt>
                <c:pt idx="61">
                  <c:v>144359.62029673744</c:v>
                </c:pt>
                <c:pt idx="62">
                  <c:v>145922.76165151005</c:v>
                </c:pt>
                <c:pt idx="63">
                  <c:v>147485.53465912869</c:v>
                </c:pt>
                <c:pt idx="64">
                  <c:v>149047.94819846161</c:v>
                </c:pt>
                <c:pt idx="65">
                  <c:v>150610.01096423317</c:v>
                </c:pt>
                <c:pt idx="66">
                  <c:v>152171.73146644272</c:v>
                </c:pt>
                <c:pt idx="67">
                  <c:v>153733.11803024856</c:v>
                </c:pt>
                <c:pt idx="68">
                  <c:v>155294.1787962763</c:v>
                </c:pt>
                <c:pt idx="69">
                  <c:v>156854.92172131478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8E-4717-A662-A5F0E3909A98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Sheet12_HID!xdata2</c:f>
              <c:numCache>
                <c:formatCode>General</c:formatCode>
                <c:ptCount val="70"/>
                <c:pt idx="0">
                  <c:v>43269.047561151601</c:v>
                </c:pt>
                <c:pt idx="1">
                  <c:v>44972.97777982922</c:v>
                </c:pt>
                <c:pt idx="2">
                  <c:v>46676.907998506838</c:v>
                </c:pt>
                <c:pt idx="3">
                  <c:v>48380.838217184457</c:v>
                </c:pt>
                <c:pt idx="4">
                  <c:v>50084.768435862083</c:v>
                </c:pt>
                <c:pt idx="5">
                  <c:v>51788.698654539701</c:v>
                </c:pt>
                <c:pt idx="6">
                  <c:v>53492.62887321732</c:v>
                </c:pt>
                <c:pt idx="7">
                  <c:v>55196.559091894938</c:v>
                </c:pt>
                <c:pt idx="8">
                  <c:v>56900.489310572564</c:v>
                </c:pt>
                <c:pt idx="9">
                  <c:v>58604.419529250183</c:v>
                </c:pt>
                <c:pt idx="10">
                  <c:v>60308.349747927801</c:v>
                </c:pt>
                <c:pt idx="11">
                  <c:v>62012.27996660542</c:v>
                </c:pt>
                <c:pt idx="12">
                  <c:v>63716.210185283038</c:v>
                </c:pt>
                <c:pt idx="13">
                  <c:v>65420.140403960657</c:v>
                </c:pt>
                <c:pt idx="14">
                  <c:v>67124.070622638275</c:v>
                </c:pt>
                <c:pt idx="15">
                  <c:v>68828.000841315894</c:v>
                </c:pt>
                <c:pt idx="16">
                  <c:v>70531.931059993512</c:v>
                </c:pt>
                <c:pt idx="17">
                  <c:v>72235.861278671131</c:v>
                </c:pt>
                <c:pt idx="18">
                  <c:v>73939.791497348764</c:v>
                </c:pt>
                <c:pt idx="19">
                  <c:v>75643.721716026383</c:v>
                </c:pt>
                <c:pt idx="20">
                  <c:v>77347.651934704001</c:v>
                </c:pt>
                <c:pt idx="21">
                  <c:v>79051.58215338162</c:v>
                </c:pt>
                <c:pt idx="22">
                  <c:v>80755.512372059238</c:v>
                </c:pt>
                <c:pt idx="23">
                  <c:v>82459.442590736857</c:v>
                </c:pt>
                <c:pt idx="24">
                  <c:v>84163.372809414475</c:v>
                </c:pt>
                <c:pt idx="25">
                  <c:v>85867.303028092108</c:v>
                </c:pt>
                <c:pt idx="26">
                  <c:v>87571.233246769727</c:v>
                </c:pt>
                <c:pt idx="27">
                  <c:v>89275.163465447346</c:v>
                </c:pt>
                <c:pt idx="28">
                  <c:v>90979.093684124964</c:v>
                </c:pt>
                <c:pt idx="29">
                  <c:v>92683.023902802583</c:v>
                </c:pt>
                <c:pt idx="30">
                  <c:v>94386.954121480201</c:v>
                </c:pt>
                <c:pt idx="31">
                  <c:v>96090.88434015782</c:v>
                </c:pt>
                <c:pt idx="32">
                  <c:v>97794.814558835438</c:v>
                </c:pt>
                <c:pt idx="33">
                  <c:v>99498.744777513057</c:v>
                </c:pt>
                <c:pt idx="34">
                  <c:v>101202.67499619068</c:v>
                </c:pt>
                <c:pt idx="35">
                  <c:v>102906.60521486829</c:v>
                </c:pt>
                <c:pt idx="36">
                  <c:v>104610.53543354591</c:v>
                </c:pt>
                <c:pt idx="37">
                  <c:v>106314.46565222353</c:v>
                </c:pt>
                <c:pt idx="38">
                  <c:v>108018.39587090115</c:v>
                </c:pt>
                <c:pt idx="39">
                  <c:v>109722.32608957878</c:v>
                </c:pt>
                <c:pt idx="40">
                  <c:v>111426.2563082564</c:v>
                </c:pt>
                <c:pt idx="41">
                  <c:v>113130.18652693402</c:v>
                </c:pt>
                <c:pt idx="42">
                  <c:v>114834.11674561164</c:v>
                </c:pt>
                <c:pt idx="43">
                  <c:v>116538.04696428926</c:v>
                </c:pt>
                <c:pt idx="44">
                  <c:v>118241.97718296688</c:v>
                </c:pt>
                <c:pt idx="45">
                  <c:v>119945.90740164449</c:v>
                </c:pt>
                <c:pt idx="46">
                  <c:v>121649.83762032211</c:v>
                </c:pt>
                <c:pt idx="47">
                  <c:v>123353.76783899973</c:v>
                </c:pt>
                <c:pt idx="48">
                  <c:v>125057.69805767735</c:v>
                </c:pt>
                <c:pt idx="49">
                  <c:v>126761.62827635498</c:v>
                </c:pt>
                <c:pt idx="50">
                  <c:v>128465.5584950326</c:v>
                </c:pt>
                <c:pt idx="51">
                  <c:v>130169.48871371022</c:v>
                </c:pt>
                <c:pt idx="52">
                  <c:v>131873.41893238784</c:v>
                </c:pt>
                <c:pt idx="53">
                  <c:v>133577.34915106546</c:v>
                </c:pt>
                <c:pt idx="54">
                  <c:v>135281.27936974308</c:v>
                </c:pt>
                <c:pt idx="55">
                  <c:v>136985.20958842069</c:v>
                </c:pt>
                <c:pt idx="56">
                  <c:v>138689.13980709831</c:v>
                </c:pt>
                <c:pt idx="57">
                  <c:v>140393.07002577593</c:v>
                </c:pt>
                <c:pt idx="58">
                  <c:v>142097.00024445355</c:v>
                </c:pt>
                <c:pt idx="59">
                  <c:v>143800.93046313117</c:v>
                </c:pt>
                <c:pt idx="60">
                  <c:v>145504.86068180879</c:v>
                </c:pt>
                <c:pt idx="61">
                  <c:v>147208.79090048641</c:v>
                </c:pt>
                <c:pt idx="62">
                  <c:v>148912.72111916402</c:v>
                </c:pt>
                <c:pt idx="63">
                  <c:v>150616.65133784164</c:v>
                </c:pt>
                <c:pt idx="64">
                  <c:v>152320.58155651926</c:v>
                </c:pt>
                <c:pt idx="65">
                  <c:v>154024.51177519688</c:v>
                </c:pt>
                <c:pt idx="66">
                  <c:v>155728.4419938745</c:v>
                </c:pt>
                <c:pt idx="67">
                  <c:v>157432.37221255212</c:v>
                </c:pt>
                <c:pt idx="68">
                  <c:v>159136.30243122973</c:v>
                </c:pt>
                <c:pt idx="69">
                  <c:v>160840.23264990735</c:v>
                </c:pt>
              </c:numCache>
            </c:numRef>
          </c:xVal>
          <c:yVal>
            <c:numRef>
              <c:f>Sheet12_HID!ydata2</c:f>
              <c:numCache>
                <c:formatCode>General</c:formatCode>
                <c:ptCount val="70"/>
                <c:pt idx="0">
                  <c:v>46293.857317998089</c:v>
                </c:pt>
                <c:pt idx="1">
                  <c:v>47984.079529608818</c:v>
                </c:pt>
                <c:pt idx="2">
                  <c:v>49675.123644159219</c:v>
                </c:pt>
                <c:pt idx="3">
                  <c:v>51367.000301874519</c:v>
                </c:pt>
                <c:pt idx="4">
                  <c:v>53059.719622376433</c:v>
                </c:pt>
                <c:pt idx="5">
                  <c:v>54753.291165516988</c:v>
                </c:pt>
                <c:pt idx="6">
                  <c:v>56447.723893354399</c:v>
                </c:pt>
                <c:pt idx="7">
                  <c:v>58143.026133596264</c:v>
                </c:pt>
                <c:pt idx="8">
                  <c:v>59839.205544835786</c:v>
                </c:pt>
                <c:pt idx="9">
                  <c:v>61536.269083901498</c:v>
                </c:pt>
                <c:pt idx="10">
                  <c:v>63234.222975631426</c:v>
                </c:pt>
                <c:pt idx="11">
                  <c:v>64933.072685367471</c:v>
                </c:pt>
                <c:pt idx="12">
                  <c:v>66632.822894445999</c:v>
                </c:pt>
                <c:pt idx="13">
                  <c:v>68333.477478935878</c:v>
                </c:pt>
                <c:pt idx="14">
                  <c:v>70035.039491845964</c:v>
                </c:pt>
                <c:pt idx="15">
                  <c:v>71737.511148990423</c:v>
                </c:pt>
                <c:pt idx="16">
                  <c:v>73440.89381866355</c:v>
                </c:pt>
                <c:pt idx="17">
                  <c:v>75145.188015235952</c:v>
                </c:pt>
                <c:pt idx="18">
                  <c:v>76850.393396741638</c:v>
                </c:pt>
                <c:pt idx="19">
                  <c:v>78556.508766482497</c:v>
                </c:pt>
                <c:pt idx="20">
                  <c:v>80263.532078632605</c:v>
                </c:pt>
                <c:pt idx="21">
                  <c:v>81971.460447781268</c:v>
                </c:pt>
                <c:pt idx="22">
                  <c:v>83680.290162311372</c:v>
                </c:pt>
                <c:pt idx="23">
                  <c:v>85390.016701469242</c:v>
                </c:pt>
                <c:pt idx="24">
                  <c:v>87100.634755944717</c:v>
                </c:pt>
                <c:pt idx="25">
                  <c:v>88812.138251745739</c:v>
                </c:pt>
                <c:pt idx="26">
                  <c:v>90524.520377122011</c:v>
                </c:pt>
                <c:pt idx="27">
                  <c:v>92237.773612266305</c:v>
                </c:pt>
                <c:pt idx="28">
                  <c:v>93951.88976150089</c:v>
                </c:pt>
                <c:pt idx="29">
                  <c:v>95666.859987641306</c:v>
                </c:pt>
                <c:pt idx="30">
                  <c:v>97382.674848217997</c:v>
                </c:pt>
                <c:pt idx="31">
                  <c:v>99099.324333231314</c:v>
                </c:pt>
                <c:pt idx="32">
                  <c:v>100816.79790411358</c:v>
                </c:pt>
                <c:pt idx="33">
                  <c:v>102535.08453357623</c:v>
                </c:pt>
                <c:pt idx="34">
                  <c:v>104254.1727460273</c:v>
                </c:pt>
                <c:pt idx="35">
                  <c:v>105974.05065825648</c:v>
                </c:pt>
                <c:pt idx="36">
                  <c:v>107694.70602009991</c:v>
                </c:pt>
                <c:pt idx="37">
                  <c:v>109416.12625481427</c:v>
                </c:pt>
                <c:pt idx="38">
                  <c:v>111138.29849891042</c:v>
                </c:pt>
                <c:pt idx="39">
                  <c:v>112861.20964121805</c:v>
                </c:pt>
                <c:pt idx="40">
                  <c:v>114584.84636097625</c:v>
                </c:pt>
                <c:pt idx="41">
                  <c:v>116309.19516476861</c:v>
                </c:pt>
                <c:pt idx="42">
                  <c:v>118034.24242214528</c:v>
                </c:pt>
                <c:pt idx="43">
                  <c:v>119759.9743997989</c:v>
                </c:pt>
                <c:pt idx="44">
                  <c:v>121486.3772941841</c:v>
                </c:pt>
                <c:pt idx="45">
                  <c:v>123213.43726249351</c:v>
                </c:pt>
                <c:pt idx="46">
                  <c:v>124941.14045192396</c:v>
                </c:pt>
                <c:pt idx="47">
                  <c:v>126669.47302718784</c:v>
                </c:pt>
                <c:pt idx="48">
                  <c:v>128398.42119624205</c:v>
                </c:pt>
                <c:pt idx="49">
                  <c:v>130127.97123422522</c:v>
                </c:pt>
                <c:pt idx="50">
                  <c:v>131858.10950560862</c:v>
                </c:pt>
                <c:pt idx="51">
                  <c:v>133588.82248458065</c:v>
                </c:pt>
                <c:pt idx="52">
                  <c:v>135320.09677369625</c:v>
                </c:pt>
                <c:pt idx="53">
                  <c:v>137051.91912083363</c:v>
                </c:pt>
                <c:pt idx="54">
                  <c:v>138784.27643450917</c:v>
                </c:pt>
                <c:pt idx="55">
                  <c:v>140517.15579760933</c:v>
                </c:pt>
                <c:pt idx="56">
                  <c:v>142250.54447960336</c:v>
                </c:pt>
                <c:pt idx="57">
                  <c:v>143984.42994730658</c:v>
                </c:pt>
                <c:pt idx="58">
                  <c:v>145718.79987426594</c:v>
                </c:pt>
                <c:pt idx="59">
                  <c:v>147453.64214884338</c:v>
                </c:pt>
                <c:pt idx="60">
                  <c:v>149188.94488107253</c:v>
                </c:pt>
                <c:pt idx="61">
                  <c:v>150924.69640836574</c:v>
                </c:pt>
                <c:pt idx="62">
                  <c:v>152660.88530014755</c:v>
                </c:pt>
                <c:pt idx="63">
                  <c:v>154397.50036149027</c:v>
                </c:pt>
                <c:pt idx="64">
                  <c:v>156134.53063582518</c:v>
                </c:pt>
                <c:pt idx="65">
                  <c:v>157871.9654068017</c:v>
                </c:pt>
                <c:pt idx="66">
                  <c:v>159609.79419936377</c:v>
                </c:pt>
                <c:pt idx="67">
                  <c:v>161348.00678011082</c:v>
                </c:pt>
                <c:pt idx="68">
                  <c:v>163086.59315700698</c:v>
                </c:pt>
                <c:pt idx="69">
                  <c:v>164825.54357849996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8E-4717-A662-A5F0E3909A98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40000</c:v>
              </c:pt>
              <c:pt idx="1">
                <c:v>180000</c:v>
              </c:pt>
            </c:numLit>
          </c:xVal>
          <c:yVal>
            <c:numLit>
              <c:formatCode>General</c:formatCode>
              <c:ptCount val="2"/>
              <c:pt idx="0">
                <c:v>40000</c:v>
              </c:pt>
              <c:pt idx="1">
                <c:v>180000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E78E-4717-A662-A5F0E3909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72280"/>
        <c:axId val="1155774080"/>
      </c:scatterChart>
      <c:valAx>
        <c:axId val="1155772280"/>
        <c:scaling>
          <c:orientation val="minMax"/>
          <c:max val="180000"/>
          <c:min val="4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Pred(Comparative 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74080"/>
        <c:crosses val="autoZero"/>
        <c:crossBetween val="midCat"/>
      </c:valAx>
      <c:valAx>
        <c:axId val="1155774080"/>
        <c:scaling>
          <c:orientation val="minMax"/>
          <c:max val="180000"/>
          <c:min val="4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Comparative 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7228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Comparative Salary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3'!$A$112:$A$136</c:f>
              <c:strCache>
                <c:ptCount val="25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</c:strCache>
            </c:strRef>
          </c:cat>
          <c:val>
            <c:numRef>
              <c:f>'Linear Regression Output 3'!$F$112:$F$136</c:f>
              <c:numCache>
                <c:formatCode>0.000</c:formatCode>
                <c:ptCount val="25"/>
                <c:pt idx="0">
                  <c:v>-0.32117986973479423</c:v>
                </c:pt>
                <c:pt idx="1">
                  <c:v>0.53546295139334221</c:v>
                </c:pt>
                <c:pt idx="2">
                  <c:v>0.71295182070248897</c:v>
                </c:pt>
                <c:pt idx="3">
                  <c:v>-0.95378870690480477</c:v>
                </c:pt>
                <c:pt idx="4">
                  <c:v>-5.4947031574784623E-2</c:v>
                </c:pt>
                <c:pt idx="5">
                  <c:v>0.18217837865229145</c:v>
                </c:pt>
                <c:pt idx="6">
                  <c:v>6.6930389724432382E-2</c:v>
                </c:pt>
                <c:pt idx="7">
                  <c:v>1.0705809228518965</c:v>
                </c:pt>
                <c:pt idx="8">
                  <c:v>-0.27251506656363461</c:v>
                </c:pt>
                <c:pt idx="9">
                  <c:v>-0.23567595786268755</c:v>
                </c:pt>
                <c:pt idx="10">
                  <c:v>0.15764648988478452</c:v>
                </c:pt>
                <c:pt idx="11">
                  <c:v>-0.12293570211762495</c:v>
                </c:pt>
                <c:pt idx="12">
                  <c:v>-0.92555506273274757</c:v>
                </c:pt>
                <c:pt idx="13">
                  <c:v>1.1121515216142961</c:v>
                </c:pt>
                <c:pt idx="14">
                  <c:v>0.633709268278699</c:v>
                </c:pt>
                <c:pt idx="15">
                  <c:v>-0.81842668711423094</c:v>
                </c:pt>
                <c:pt idx="16">
                  <c:v>1.4605272469185837</c:v>
                </c:pt>
                <c:pt idx="17">
                  <c:v>0.95032422803476158</c:v>
                </c:pt>
                <c:pt idx="18">
                  <c:v>-0.85777298018762194</c:v>
                </c:pt>
                <c:pt idx="19">
                  <c:v>-0.14036006078619859</c:v>
                </c:pt>
                <c:pt idx="20">
                  <c:v>1.4398734771111421</c:v>
                </c:pt>
                <c:pt idx="21">
                  <c:v>-1.6543975279505267</c:v>
                </c:pt>
                <c:pt idx="22">
                  <c:v>-1.7915897879841329</c:v>
                </c:pt>
                <c:pt idx="23">
                  <c:v>0.56293152743061126</c:v>
                </c:pt>
                <c:pt idx="24">
                  <c:v>-0.73612378108351928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E-4872-90F5-02E64E24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155768680"/>
        <c:axId val="1155767960"/>
      </c:barChart>
      <c:catAx>
        <c:axId val="1155768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67960"/>
        <c:crosses val="autoZero"/>
        <c:auto val="1"/>
        <c:lblAlgn val="ctr"/>
        <c:lblOffset val="100"/>
        <c:noMultiLvlLbl val="0"/>
      </c:catAx>
      <c:valAx>
        <c:axId val="1155767960"/>
        <c:scaling>
          <c:orientation val="minMax"/>
          <c:max val="2"/>
          <c:min val="-2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6868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Comparative Salary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58-45E3-9376-FAFBAC86A78B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558-45E3-9376-FAFBAC86A78B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58-45E3-9376-FAFBAC86A78B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558-45E3-9376-FAFBAC86A7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4"/>
                <c:pt idx="0">
                  <c:v>4.7928294176374911E-2</c:v>
                </c:pt>
                <c:pt idx="1">
                  <c:v>4.7776579473171488E-2</c:v>
                </c:pt>
                <c:pt idx="2">
                  <c:v>3.9531088973768773E-2</c:v>
                </c:pt>
                <c:pt idx="3">
                  <c:v>4.5035621575527263E-2</c:v>
                </c:pt>
              </c:numLit>
            </c:plus>
            <c:minus>
              <c:numLit>
                <c:formatCode>General</c:formatCode>
                <c:ptCount val="4"/>
                <c:pt idx="0">
                  <c:v>4.7928294176374904E-2</c:v>
                </c:pt>
                <c:pt idx="1">
                  <c:v>4.7776579473171488E-2</c:v>
                </c:pt>
                <c:pt idx="2">
                  <c:v>3.9531088973768773E-2</c:v>
                </c:pt>
                <c:pt idx="3">
                  <c:v>4.5035621575527263E-2</c:v>
                </c:pt>
              </c:numLit>
            </c:minus>
          </c:errBars>
          <c:cat>
            <c:strRef>
              <c:f>'Linear Regression Output 4'!$A$77:$A$80</c:f>
              <c:strCache>
                <c:ptCount val="4"/>
                <c:pt idx="0">
                  <c:v>Groceries</c:v>
                </c:pt>
                <c:pt idx="1">
                  <c:v>Housing</c:v>
                </c:pt>
                <c:pt idx="2">
                  <c:v>Utilities</c:v>
                </c:pt>
                <c:pt idx="3">
                  <c:v>Healthcare</c:v>
                </c:pt>
              </c:strCache>
            </c:strRef>
          </c:cat>
          <c:val>
            <c:numRef>
              <c:f>'Linear Regression Output 4'!$B$77:$B$80</c:f>
              <c:numCache>
                <c:formatCode>0.000</c:formatCode>
                <c:ptCount val="4"/>
                <c:pt idx="0">
                  <c:v>7.9982364957731214E-2</c:v>
                </c:pt>
                <c:pt idx="1">
                  <c:v>0.87467290213436133</c:v>
                </c:pt>
                <c:pt idx="2">
                  <c:v>4.8344180723753342E-2</c:v>
                </c:pt>
                <c:pt idx="3">
                  <c:v>6.266613547045044E-2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8-45E3-9376-FAFBAC86A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83843120"/>
        <c:axId val="1083847080"/>
      </c:barChart>
      <c:catAx>
        <c:axId val="108384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3847080"/>
        <c:crosses val="autoZero"/>
        <c:auto val="1"/>
        <c:lblAlgn val="ctr"/>
        <c:lblOffset val="100"/>
        <c:noMultiLvlLbl val="0"/>
      </c:catAx>
      <c:valAx>
        <c:axId val="1083847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384312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Comparative Salary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4'!$C$106:$C$130</c:f>
              <c:numCache>
                <c:formatCode>0.000</c:formatCode>
                <c:ptCount val="25"/>
                <c:pt idx="0">
                  <c:v>60482</c:v>
                </c:pt>
                <c:pt idx="1">
                  <c:v>57530</c:v>
                </c:pt>
                <c:pt idx="2">
                  <c:v>85904</c:v>
                </c:pt>
                <c:pt idx="3">
                  <c:v>60904</c:v>
                </c:pt>
                <c:pt idx="4">
                  <c:v>58012</c:v>
                </c:pt>
                <c:pt idx="5">
                  <c:v>70000</c:v>
                </c:pt>
                <c:pt idx="6">
                  <c:v>54578</c:v>
                </c:pt>
                <c:pt idx="7">
                  <c:v>58072</c:v>
                </c:pt>
                <c:pt idx="8">
                  <c:v>87892</c:v>
                </c:pt>
                <c:pt idx="9">
                  <c:v>65843</c:v>
                </c:pt>
                <c:pt idx="10">
                  <c:v>57590</c:v>
                </c:pt>
                <c:pt idx="11">
                  <c:v>55120</c:v>
                </c:pt>
                <c:pt idx="12">
                  <c:v>83795</c:v>
                </c:pt>
                <c:pt idx="13">
                  <c:v>55602</c:v>
                </c:pt>
                <c:pt idx="14">
                  <c:v>65060</c:v>
                </c:pt>
                <c:pt idx="15">
                  <c:v>57530</c:v>
                </c:pt>
                <c:pt idx="16">
                  <c:v>136024</c:v>
                </c:pt>
                <c:pt idx="17">
                  <c:v>72048</c:v>
                </c:pt>
                <c:pt idx="18">
                  <c:v>57651</c:v>
                </c:pt>
                <c:pt idx="19">
                  <c:v>59578</c:v>
                </c:pt>
                <c:pt idx="20">
                  <c:v>77349</c:v>
                </c:pt>
                <c:pt idx="21">
                  <c:v>86446</c:v>
                </c:pt>
                <c:pt idx="22">
                  <c:v>105241</c:v>
                </c:pt>
                <c:pt idx="23">
                  <c:v>83253</c:v>
                </c:pt>
                <c:pt idx="24">
                  <c:v>56084</c:v>
                </c:pt>
              </c:numCache>
            </c:numRef>
          </c:xVal>
          <c:yVal>
            <c:numRef>
              <c:f>'Linear Regression Output 4'!$F$106:$F$130</c:f>
              <c:numCache>
                <c:formatCode>0.000</c:formatCode>
                <c:ptCount val="25"/>
                <c:pt idx="0">
                  <c:v>-0.30063854280605151</c:v>
                </c:pt>
                <c:pt idx="1">
                  <c:v>0.52687714672555364</c:v>
                </c:pt>
                <c:pt idx="2">
                  <c:v>0.62056414897399292</c:v>
                </c:pt>
                <c:pt idx="3">
                  <c:v>-1.4234637517217004</c:v>
                </c:pt>
                <c:pt idx="4">
                  <c:v>-0.24772564939249198</c:v>
                </c:pt>
                <c:pt idx="5">
                  <c:v>0.48011878067456693</c:v>
                </c:pt>
                <c:pt idx="6">
                  <c:v>-0.16071161941585871</c:v>
                </c:pt>
                <c:pt idx="7">
                  <c:v>0.98144210890796824</c:v>
                </c:pt>
                <c:pt idx="8">
                  <c:v>-0.43081934919040149</c:v>
                </c:pt>
                <c:pt idx="9">
                  <c:v>-0.42708300175672126</c:v>
                </c:pt>
                <c:pt idx="10">
                  <c:v>0.37338742932274838</c:v>
                </c:pt>
                <c:pt idx="11">
                  <c:v>-0.38724668625852071</c:v>
                </c:pt>
                <c:pt idx="12">
                  <c:v>-0.36280376136900533</c:v>
                </c:pt>
                <c:pt idx="13">
                  <c:v>1.2822993499030095</c:v>
                </c:pt>
                <c:pt idx="14">
                  <c:v>0.73331558913694328</c:v>
                </c:pt>
                <c:pt idx="15">
                  <c:v>-1.1490761800377536</c:v>
                </c:pt>
                <c:pt idx="16">
                  <c:v>1.1467277775321276</c:v>
                </c:pt>
                <c:pt idx="17">
                  <c:v>0.92438326038959873</c:v>
                </c:pt>
                <c:pt idx="18">
                  <c:v>-0.88438606600557068</c:v>
                </c:pt>
                <c:pt idx="19">
                  <c:v>0.26066542240434692</c:v>
                </c:pt>
                <c:pt idx="20">
                  <c:v>1.6134601587590052</c:v>
                </c:pt>
                <c:pt idx="21">
                  <c:v>-1.2133902484043402</c:v>
                </c:pt>
                <c:pt idx="22">
                  <c:v>-1.8579287383917749</c:v>
                </c:pt>
                <c:pt idx="23">
                  <c:v>0.69144783462240866</c:v>
                </c:pt>
                <c:pt idx="24">
                  <c:v>-0.78941541260202708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4-4E60-8AE4-7E5535FEBA66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57530</c:v>
              </c:pt>
            </c:numLit>
          </c:xVal>
          <c:yVal>
            <c:numLit>
              <c:formatCode>General</c:formatCode>
              <c:ptCount val="1"/>
              <c:pt idx="0">
                <c:v>0.52687714672555364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8E4-4E60-8AE4-7E5535FEB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839520"/>
        <c:axId val="1083841320"/>
      </c:scatterChart>
      <c:valAx>
        <c:axId val="1083839520"/>
        <c:scaling>
          <c:orientation val="minMax"/>
          <c:max val="140000"/>
          <c:min val="5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Comparative 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3841320"/>
        <c:crosses val="autoZero"/>
        <c:crossBetween val="midCat"/>
      </c:valAx>
      <c:valAx>
        <c:axId val="1083841320"/>
        <c:scaling>
          <c:orientation val="minMax"/>
          <c:max val="2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38395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Pred(Comparative Salary)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4'!$D$106:$D$130</c:f>
              <c:numCache>
                <c:formatCode>0.000</c:formatCode>
                <c:ptCount val="25"/>
                <c:pt idx="0">
                  <c:v>60897.934018527594</c:v>
                </c:pt>
                <c:pt idx="1">
                  <c:v>56801.0644255308</c:v>
                </c:pt>
                <c:pt idx="2">
                  <c:v>85045.44827264073</c:v>
                </c:pt>
                <c:pt idx="3">
                  <c:v>62873.364915608734</c:v>
                </c:pt>
                <c:pt idx="4">
                  <c:v>58354.728925847172</c:v>
                </c:pt>
                <c:pt idx="5">
                  <c:v>69335.754717433651</c:v>
                </c:pt>
                <c:pt idx="6">
                  <c:v>54800.344843291896</c:v>
                </c:pt>
                <c:pt idx="7">
                  <c:v>56714.172901384649</c:v>
                </c:pt>
                <c:pt idx="8">
                  <c:v>88488.039421611378</c:v>
                </c:pt>
                <c:pt idx="9">
                  <c:v>66433.870177547724</c:v>
                </c:pt>
                <c:pt idx="10">
                  <c:v>57073.417753105299</c:v>
                </c:pt>
                <c:pt idx="11">
                  <c:v>55655.756556273991</c:v>
                </c:pt>
                <c:pt idx="12">
                  <c:v>84296.939721349991</c:v>
                </c:pt>
                <c:pt idx="13">
                  <c:v>53827.936313480081</c:v>
                </c:pt>
                <c:pt idx="14">
                  <c:v>64045.456432193299</c:v>
                </c:pt>
                <c:pt idx="15">
                  <c:v>59119.749167543596</c:v>
                </c:pt>
                <c:pt idx="16">
                  <c:v>134437.49985196724</c:v>
                </c:pt>
                <c:pt idx="17">
                  <c:v>70769.113931151791</c:v>
                </c:pt>
                <c:pt idx="18">
                  <c:v>58874.549871317773</c:v>
                </c:pt>
                <c:pt idx="19">
                  <c:v>59217.368872600688</c:v>
                </c:pt>
                <c:pt idx="20">
                  <c:v>75116.774679510272</c:v>
                </c:pt>
                <c:pt idx="21">
                  <c:v>88124.727808318974</c:v>
                </c:pt>
                <c:pt idx="22">
                  <c:v>107811.44808388301</c:v>
                </c:pt>
                <c:pt idx="23">
                  <c:v>82296.38055336359</c:v>
                </c:pt>
                <c:pt idx="24">
                  <c:v>57176.157784516014</c:v>
                </c:pt>
              </c:numCache>
            </c:numRef>
          </c:xVal>
          <c:yVal>
            <c:numRef>
              <c:f>'Linear Regression Output 4'!$F$106:$F$130</c:f>
              <c:numCache>
                <c:formatCode>0.000</c:formatCode>
                <c:ptCount val="25"/>
                <c:pt idx="0">
                  <c:v>-0.30063854280605151</c:v>
                </c:pt>
                <c:pt idx="1">
                  <c:v>0.52687714672555364</c:v>
                </c:pt>
                <c:pt idx="2">
                  <c:v>0.62056414897399292</c:v>
                </c:pt>
                <c:pt idx="3">
                  <c:v>-1.4234637517217004</c:v>
                </c:pt>
                <c:pt idx="4">
                  <c:v>-0.24772564939249198</c:v>
                </c:pt>
                <c:pt idx="5">
                  <c:v>0.48011878067456693</c:v>
                </c:pt>
                <c:pt idx="6">
                  <c:v>-0.16071161941585871</c:v>
                </c:pt>
                <c:pt idx="7">
                  <c:v>0.98144210890796824</c:v>
                </c:pt>
                <c:pt idx="8">
                  <c:v>-0.43081934919040149</c:v>
                </c:pt>
                <c:pt idx="9">
                  <c:v>-0.42708300175672126</c:v>
                </c:pt>
                <c:pt idx="10">
                  <c:v>0.37338742932274838</c:v>
                </c:pt>
                <c:pt idx="11">
                  <c:v>-0.38724668625852071</c:v>
                </c:pt>
                <c:pt idx="12">
                  <c:v>-0.36280376136900533</c:v>
                </c:pt>
                <c:pt idx="13">
                  <c:v>1.2822993499030095</c:v>
                </c:pt>
                <c:pt idx="14">
                  <c:v>0.73331558913694328</c:v>
                </c:pt>
                <c:pt idx="15">
                  <c:v>-1.1490761800377536</c:v>
                </c:pt>
                <c:pt idx="16">
                  <c:v>1.1467277775321276</c:v>
                </c:pt>
                <c:pt idx="17">
                  <c:v>0.92438326038959873</c:v>
                </c:pt>
                <c:pt idx="18">
                  <c:v>-0.88438606600557068</c:v>
                </c:pt>
                <c:pt idx="19">
                  <c:v>0.26066542240434692</c:v>
                </c:pt>
                <c:pt idx="20">
                  <c:v>1.6134601587590052</c:v>
                </c:pt>
                <c:pt idx="21">
                  <c:v>-1.2133902484043402</c:v>
                </c:pt>
                <c:pt idx="22">
                  <c:v>-1.8579287383917749</c:v>
                </c:pt>
                <c:pt idx="23">
                  <c:v>0.69144783462240866</c:v>
                </c:pt>
                <c:pt idx="24">
                  <c:v>-0.78941541260202708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D-4E44-BCA3-91136FB3FC87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56801.0644255308</c:v>
              </c:pt>
            </c:numLit>
          </c:xVal>
          <c:yVal>
            <c:numLit>
              <c:formatCode>General</c:formatCode>
              <c:ptCount val="1"/>
              <c:pt idx="0">
                <c:v>0.52687714672555364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B9D-4E44-BCA3-91136FB3F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840960"/>
        <c:axId val="1083849600"/>
      </c:scatterChart>
      <c:valAx>
        <c:axId val="1083840960"/>
        <c:scaling>
          <c:orientation val="minMax"/>
          <c:max val="140000"/>
          <c:min val="5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Pred(Comparative 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3849600"/>
        <c:crosses val="autoZero"/>
        <c:crossBetween val="midCat"/>
      </c:valAx>
      <c:valAx>
        <c:axId val="1083849600"/>
        <c:scaling>
          <c:orientation val="minMax"/>
          <c:max val="2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38409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Pred(Comparative Salary) - Comparative Salary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4'!$D$106:$D$130</c:f>
              <c:numCache>
                <c:formatCode>0.000</c:formatCode>
                <c:ptCount val="25"/>
                <c:pt idx="0">
                  <c:v>60897.934018527594</c:v>
                </c:pt>
                <c:pt idx="1">
                  <c:v>56801.0644255308</c:v>
                </c:pt>
                <c:pt idx="2">
                  <c:v>85045.44827264073</c:v>
                </c:pt>
                <c:pt idx="3">
                  <c:v>62873.364915608734</c:v>
                </c:pt>
                <c:pt idx="4">
                  <c:v>58354.728925847172</c:v>
                </c:pt>
                <c:pt idx="5">
                  <c:v>69335.754717433651</c:v>
                </c:pt>
                <c:pt idx="6">
                  <c:v>54800.344843291896</c:v>
                </c:pt>
                <c:pt idx="7">
                  <c:v>56714.172901384649</c:v>
                </c:pt>
                <c:pt idx="8">
                  <c:v>88488.039421611378</c:v>
                </c:pt>
                <c:pt idx="9">
                  <c:v>66433.870177547724</c:v>
                </c:pt>
                <c:pt idx="10">
                  <c:v>57073.417753105299</c:v>
                </c:pt>
                <c:pt idx="11">
                  <c:v>55655.756556273991</c:v>
                </c:pt>
                <c:pt idx="12">
                  <c:v>84296.939721349991</c:v>
                </c:pt>
                <c:pt idx="13">
                  <c:v>53827.936313480081</c:v>
                </c:pt>
                <c:pt idx="14">
                  <c:v>64045.456432193299</c:v>
                </c:pt>
                <c:pt idx="15">
                  <c:v>59119.749167543596</c:v>
                </c:pt>
                <c:pt idx="16">
                  <c:v>134437.49985196724</c:v>
                </c:pt>
                <c:pt idx="17">
                  <c:v>70769.113931151791</c:v>
                </c:pt>
                <c:pt idx="18">
                  <c:v>58874.549871317773</c:v>
                </c:pt>
                <c:pt idx="19">
                  <c:v>59217.368872600688</c:v>
                </c:pt>
                <c:pt idx="20">
                  <c:v>75116.774679510272</c:v>
                </c:pt>
                <c:pt idx="21">
                  <c:v>88124.727808318974</c:v>
                </c:pt>
                <c:pt idx="22">
                  <c:v>107811.44808388301</c:v>
                </c:pt>
                <c:pt idx="23">
                  <c:v>82296.38055336359</c:v>
                </c:pt>
                <c:pt idx="24">
                  <c:v>57176.157784516014</c:v>
                </c:pt>
              </c:numCache>
            </c:numRef>
          </c:xVal>
          <c:yVal>
            <c:numRef>
              <c:f>'Linear Regression Output 4'!$C$106:$C$130</c:f>
              <c:numCache>
                <c:formatCode>0.000</c:formatCode>
                <c:ptCount val="25"/>
                <c:pt idx="0">
                  <c:v>60482</c:v>
                </c:pt>
                <c:pt idx="1">
                  <c:v>57530</c:v>
                </c:pt>
                <c:pt idx="2">
                  <c:v>85904</c:v>
                </c:pt>
                <c:pt idx="3">
                  <c:v>60904</c:v>
                </c:pt>
                <c:pt idx="4">
                  <c:v>58012</c:v>
                </c:pt>
                <c:pt idx="5">
                  <c:v>70000</c:v>
                </c:pt>
                <c:pt idx="6">
                  <c:v>54578</c:v>
                </c:pt>
                <c:pt idx="7">
                  <c:v>58072</c:v>
                </c:pt>
                <c:pt idx="8">
                  <c:v>87892</c:v>
                </c:pt>
                <c:pt idx="9">
                  <c:v>65843</c:v>
                </c:pt>
                <c:pt idx="10">
                  <c:v>57590</c:v>
                </c:pt>
                <c:pt idx="11">
                  <c:v>55120</c:v>
                </c:pt>
                <c:pt idx="12">
                  <c:v>83795</c:v>
                </c:pt>
                <c:pt idx="13">
                  <c:v>55602</c:v>
                </c:pt>
                <c:pt idx="14">
                  <c:v>65060</c:v>
                </c:pt>
                <c:pt idx="15">
                  <c:v>57530</c:v>
                </c:pt>
                <c:pt idx="16">
                  <c:v>136024</c:v>
                </c:pt>
                <c:pt idx="17">
                  <c:v>72048</c:v>
                </c:pt>
                <c:pt idx="18">
                  <c:v>57651</c:v>
                </c:pt>
                <c:pt idx="19">
                  <c:v>59578</c:v>
                </c:pt>
                <c:pt idx="20">
                  <c:v>77349</c:v>
                </c:pt>
                <c:pt idx="21">
                  <c:v>86446</c:v>
                </c:pt>
                <c:pt idx="22">
                  <c:v>105241</c:v>
                </c:pt>
                <c:pt idx="23">
                  <c:v>83253</c:v>
                </c:pt>
                <c:pt idx="24">
                  <c:v>56084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25-4189-B0DD-03F38FE2F39B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56801.0644255308</c:v>
              </c:pt>
            </c:numLit>
          </c:xVal>
          <c:yVal>
            <c:numLit>
              <c:formatCode>General</c:formatCode>
              <c:ptCount val="1"/>
              <c:pt idx="0">
                <c:v>57530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A25-4189-B0DD-03F38FE2F39B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Sheet14_HID1!xdata1</c:f>
              <c:numCache>
                <c:formatCode>General</c:formatCode>
                <c:ptCount val="70"/>
                <c:pt idx="0">
                  <c:v>50603.553771940598</c:v>
                </c:pt>
                <c:pt idx="1">
                  <c:v>52208.212410352491</c:v>
                </c:pt>
                <c:pt idx="2">
                  <c:v>53812.871048764377</c:v>
                </c:pt>
                <c:pt idx="3">
                  <c:v>55417.529687176269</c:v>
                </c:pt>
                <c:pt idx="4">
                  <c:v>57022.188325588155</c:v>
                </c:pt>
                <c:pt idx="5">
                  <c:v>58626.846964000048</c:v>
                </c:pt>
                <c:pt idx="6">
                  <c:v>60231.50560241194</c:v>
                </c:pt>
                <c:pt idx="7">
                  <c:v>61836.164240823826</c:v>
                </c:pt>
                <c:pt idx="8">
                  <c:v>63440.822879235719</c:v>
                </c:pt>
                <c:pt idx="9">
                  <c:v>65045.481517647611</c:v>
                </c:pt>
                <c:pt idx="10">
                  <c:v>66650.140156059497</c:v>
                </c:pt>
                <c:pt idx="11">
                  <c:v>68254.798794471397</c:v>
                </c:pt>
                <c:pt idx="12">
                  <c:v>69859.457432883282</c:v>
                </c:pt>
                <c:pt idx="13">
                  <c:v>71464.116071295168</c:v>
                </c:pt>
                <c:pt idx="14">
                  <c:v>73068.774709707068</c:v>
                </c:pt>
                <c:pt idx="15">
                  <c:v>74673.433348118953</c:v>
                </c:pt>
                <c:pt idx="16">
                  <c:v>76278.091986530839</c:v>
                </c:pt>
                <c:pt idx="17">
                  <c:v>77882.750624942724</c:v>
                </c:pt>
                <c:pt idx="18">
                  <c:v>79487.40926335461</c:v>
                </c:pt>
                <c:pt idx="19">
                  <c:v>81092.06790176651</c:v>
                </c:pt>
                <c:pt idx="20">
                  <c:v>82696.726540178395</c:v>
                </c:pt>
                <c:pt idx="21">
                  <c:v>84301.385178590281</c:v>
                </c:pt>
                <c:pt idx="22">
                  <c:v>85906.043817002181</c:v>
                </c:pt>
                <c:pt idx="23">
                  <c:v>87510.702455414066</c:v>
                </c:pt>
                <c:pt idx="24">
                  <c:v>89115.361093825952</c:v>
                </c:pt>
                <c:pt idx="25">
                  <c:v>90720.019732237852</c:v>
                </c:pt>
                <c:pt idx="26">
                  <c:v>92324.678370649737</c:v>
                </c:pt>
                <c:pt idx="27">
                  <c:v>93929.337009061623</c:v>
                </c:pt>
                <c:pt idx="28">
                  <c:v>95533.995647473523</c:v>
                </c:pt>
                <c:pt idx="29">
                  <c:v>97138.654285885408</c:v>
                </c:pt>
                <c:pt idx="30">
                  <c:v>98743.312924297294</c:v>
                </c:pt>
                <c:pt idx="31">
                  <c:v>100347.97156270919</c:v>
                </c:pt>
                <c:pt idx="32">
                  <c:v>101952.63020112108</c:v>
                </c:pt>
                <c:pt idx="33">
                  <c:v>103557.28883953296</c:v>
                </c:pt>
                <c:pt idx="34">
                  <c:v>105161.94747794486</c:v>
                </c:pt>
                <c:pt idx="35">
                  <c:v>106766.60611635675</c:v>
                </c:pt>
                <c:pt idx="36">
                  <c:v>108371.26475476864</c:v>
                </c:pt>
                <c:pt idx="37">
                  <c:v>109975.92339318054</c:v>
                </c:pt>
                <c:pt idx="38">
                  <c:v>111580.58203159242</c:v>
                </c:pt>
                <c:pt idx="39">
                  <c:v>113185.24067000431</c:v>
                </c:pt>
                <c:pt idx="40">
                  <c:v>114789.89930841621</c:v>
                </c:pt>
                <c:pt idx="41">
                  <c:v>116394.55794682809</c:v>
                </c:pt>
                <c:pt idx="42">
                  <c:v>117999.21658523998</c:v>
                </c:pt>
                <c:pt idx="43">
                  <c:v>119603.87522365186</c:v>
                </c:pt>
                <c:pt idx="44">
                  <c:v>121208.53386206376</c:v>
                </c:pt>
                <c:pt idx="45">
                  <c:v>122813.19250047565</c:v>
                </c:pt>
                <c:pt idx="46">
                  <c:v>124417.85113888753</c:v>
                </c:pt>
                <c:pt idx="47">
                  <c:v>126022.50977729943</c:v>
                </c:pt>
                <c:pt idx="48">
                  <c:v>127627.16841571132</c:v>
                </c:pt>
                <c:pt idx="49">
                  <c:v>129231.82705412321</c:v>
                </c:pt>
                <c:pt idx="50">
                  <c:v>130836.48569253511</c:v>
                </c:pt>
                <c:pt idx="51">
                  <c:v>132441.14433094699</c:v>
                </c:pt>
                <c:pt idx="52">
                  <c:v>134045.80296935886</c:v>
                </c:pt>
                <c:pt idx="53">
                  <c:v>135650.46160777076</c:v>
                </c:pt>
                <c:pt idx="54">
                  <c:v>137255.12024618266</c:v>
                </c:pt>
                <c:pt idx="55">
                  <c:v>138859.77888459456</c:v>
                </c:pt>
                <c:pt idx="56">
                  <c:v>140464.43752300646</c:v>
                </c:pt>
                <c:pt idx="57">
                  <c:v>142069.09616141833</c:v>
                </c:pt>
                <c:pt idx="58">
                  <c:v>143673.7547998302</c:v>
                </c:pt>
                <c:pt idx="59">
                  <c:v>145278.4134382421</c:v>
                </c:pt>
                <c:pt idx="60">
                  <c:v>146883.072076654</c:v>
                </c:pt>
                <c:pt idx="61">
                  <c:v>148487.7307150659</c:v>
                </c:pt>
                <c:pt idx="62">
                  <c:v>150092.38935347777</c:v>
                </c:pt>
                <c:pt idx="63">
                  <c:v>151697.04799188967</c:v>
                </c:pt>
                <c:pt idx="64">
                  <c:v>153301.70663030155</c:v>
                </c:pt>
                <c:pt idx="65">
                  <c:v>154906.36526871345</c:v>
                </c:pt>
                <c:pt idx="66">
                  <c:v>156511.02390712535</c:v>
                </c:pt>
                <c:pt idx="67">
                  <c:v>158115.68254553725</c:v>
                </c:pt>
                <c:pt idx="68">
                  <c:v>159720.34118394912</c:v>
                </c:pt>
                <c:pt idx="69">
                  <c:v>161324.99982236102</c:v>
                </c:pt>
              </c:numCache>
            </c:numRef>
          </c:xVal>
          <c:yVal>
            <c:numRef>
              <c:f>Sheet14_HID1!ydata1</c:f>
              <c:numCache>
                <c:formatCode>General</c:formatCode>
                <c:ptCount val="70"/>
                <c:pt idx="0">
                  <c:v>47596.96060683277</c:v>
                </c:pt>
                <c:pt idx="1">
                  <c:v>49211.266997828578</c:v>
                </c:pt>
                <c:pt idx="2">
                  <c:v>50824.798520570563</c:v>
                </c:pt>
                <c:pt idx="3">
                  <c:v>52437.548253548113</c:v>
                </c:pt>
                <c:pt idx="4">
                  <c:v>54049.509813082317</c:v>
                </c:pt>
                <c:pt idx="5">
                  <c:v>55660.677377549742</c:v>
                </c:pt>
                <c:pt idx="6">
                  <c:v>57271.045709865663</c:v>
                </c:pt>
                <c:pt idx="7">
                  <c:v>58880.610178031042</c:v>
                </c:pt>
                <c:pt idx="8">
                  <c:v>60489.366773560047</c:v>
                </c:pt>
                <c:pt idx="9">
                  <c:v>62097.312127620477</c:v>
                </c:pt>
                <c:pt idx="10">
                  <c:v>63704.443524737937</c:v>
                </c:pt>
                <c:pt idx="11">
                  <c:v>65310.75891393498</c:v>
                </c:pt>
                <c:pt idx="12">
                  <c:v>66916.256917199382</c:v>
                </c:pt>
                <c:pt idx="13">
                  <c:v>68520.936835200526</c:v>
                </c:pt>
                <c:pt idx="14">
                  <c:v>70124.798650198645</c:v>
                </c:pt>
                <c:pt idx="15">
                  <c:v>71727.843026118571</c:v>
                </c:pt>
                <c:pt idx="16">
                  <c:v>73330.071305787686</c:v>
                </c:pt>
                <c:pt idx="17">
                  <c:v>74931.48550536437</c:v>
                </c:pt>
                <c:pt idx="18">
                  <c:v>76532.088306011094</c:v>
                </c:pt>
                <c:pt idx="19">
                  <c:v>78131.883042891772</c:v>
                </c:pt>
                <c:pt idx="20">
                  <c:v>79730.873691598055</c:v>
                </c:pt>
                <c:pt idx="21">
                  <c:v>81329.064852132084</c:v>
                </c:pt>
                <c:pt idx="22">
                  <c:v>82926.461730594034</c:v>
                </c:pt>
                <c:pt idx="23">
                  <c:v>84523.070118740812</c:v>
                </c:pt>
                <c:pt idx="24">
                  <c:v>86118.896371599025</c:v>
                </c:pt>
                <c:pt idx="25">
                  <c:v>87713.947383326609</c:v>
                </c:pt>
                <c:pt idx="26">
                  <c:v>89308.230561528806</c:v>
                </c:pt>
                <c:pt idx="27">
                  <c:v>90901.753800240491</c:v>
                </c:pt>
                <c:pt idx="28">
                  <c:v>92494.525451790687</c:v>
                </c:pt>
                <c:pt idx="29">
                  <c:v>94086.554297766343</c:v>
                </c:pt>
                <c:pt idx="30">
                  <c:v>95677.849519291121</c:v>
                </c:pt>
                <c:pt idx="31">
                  <c:v>97268.420666829872</c:v>
                </c:pt>
                <c:pt idx="32">
                  <c:v>98858.277629723685</c:v>
                </c:pt>
                <c:pt idx="33">
                  <c:v>100447.43060565161</c:v>
                </c:pt>
                <c:pt idx="34">
                  <c:v>102035.89007020439</c:v>
                </c:pt>
                <c:pt idx="35">
                  <c:v>103623.66674674395</c:v>
                </c:pt>
                <c:pt idx="36">
                  <c:v>105210.77157670948</c:v>
                </c:pt>
                <c:pt idx="37">
                  <c:v>106797.21569051608</c:v>
                </c:pt>
                <c:pt idx="38">
                  <c:v>108383.01037917841</c:v>
                </c:pt>
                <c:pt idx="39">
                  <c:v>109968.16706677598</c:v>
                </c:pt>
                <c:pt idx="40">
                  <c:v>111552.69728386185</c:v>
                </c:pt>
                <c:pt idx="41">
                  <c:v>113136.61264190159</c:v>
                </c:pt>
                <c:pt idx="42">
                  <c:v>114719.9248088148</c:v>
                </c:pt>
                <c:pt idx="43">
                  <c:v>116302.64548567685</c:v>
                </c:pt>
                <c:pt idx="44">
                  <c:v>117884.78638462588</c:v>
                </c:pt>
                <c:pt idx="45">
                  <c:v>119466.35920800614</c:v>
                </c:pt>
                <c:pt idx="46">
                  <c:v>121047.37562876831</c:v>
                </c:pt>
                <c:pt idx="47">
                  <c:v>122627.84727213519</c:v>
                </c:pt>
                <c:pt idx="48">
                  <c:v>124207.78569853179</c:v>
                </c:pt>
                <c:pt idx="49">
                  <c:v>125787.2023877702</c:v>
                </c:pt>
                <c:pt idx="50">
                  <c:v>127366.1087244706</c:v>
                </c:pt>
                <c:pt idx="51">
                  <c:v>128944.51598469385</c:v>
                </c:pt>
                <c:pt idx="52">
                  <c:v>130522.43532375431</c:v>
                </c:pt>
                <c:pt idx="53">
                  <c:v>132099.87776517693</c:v>
                </c:pt>
                <c:pt idx="54">
                  <c:v>133676.85419075761</c:v>
                </c:pt>
                <c:pt idx="55">
                  <c:v>135253.37533168349</c:v>
                </c:pt>
                <c:pt idx="56">
                  <c:v>136829.45176066636</c:v>
                </c:pt>
                <c:pt idx="57">
                  <c:v>138405.09388504014</c:v>
                </c:pt>
                <c:pt idx="58">
                  <c:v>139980.31194077345</c:v>
                </c:pt>
                <c:pt idx="59">
                  <c:v>141555.11598734546</c:v>
                </c:pt>
                <c:pt idx="60">
                  <c:v>143129.51590343463</c:v>
                </c:pt>
                <c:pt idx="61">
                  <c:v>144703.52138336975</c:v>
                </c:pt>
                <c:pt idx="62">
                  <c:v>146277.1419342921</c:v>
                </c:pt>
                <c:pt idx="63">
                  <c:v>147850.38687398066</c:v>
                </c:pt>
                <c:pt idx="64">
                  <c:v>149423.26532929071</c:v>
                </c:pt>
                <c:pt idx="65">
                  <c:v>150995.78623516054</c:v>
                </c:pt>
                <c:pt idx="66">
                  <c:v>152567.95833413975</c:v>
                </c:pt>
                <c:pt idx="67">
                  <c:v>154139.79017639696</c:v>
                </c:pt>
                <c:pt idx="68">
                  <c:v>155711.29012016414</c:v>
                </c:pt>
                <c:pt idx="69">
                  <c:v>157282.46633257935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25-4189-B0DD-03F38FE2F39B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Sheet14_HID1!xdata2</c:f>
              <c:numCache>
                <c:formatCode>General</c:formatCode>
                <c:ptCount val="70"/>
                <c:pt idx="0">
                  <c:v>43062.349050784098</c:v>
                </c:pt>
                <c:pt idx="1">
                  <c:v>44776.30051124173</c:v>
                </c:pt>
                <c:pt idx="2">
                  <c:v>46490.251971699356</c:v>
                </c:pt>
                <c:pt idx="3">
                  <c:v>48204.203432156988</c:v>
                </c:pt>
                <c:pt idx="4">
                  <c:v>49918.154892614621</c:v>
                </c:pt>
                <c:pt idx="5">
                  <c:v>51632.106353072246</c:v>
                </c:pt>
                <c:pt idx="6">
                  <c:v>53346.057813529878</c:v>
                </c:pt>
                <c:pt idx="7">
                  <c:v>55060.009273987511</c:v>
                </c:pt>
                <c:pt idx="8">
                  <c:v>56773.960734445136</c:v>
                </c:pt>
                <c:pt idx="9">
                  <c:v>58487.912194902769</c:v>
                </c:pt>
                <c:pt idx="10">
                  <c:v>60201.863655360401</c:v>
                </c:pt>
                <c:pt idx="11">
                  <c:v>61915.815115818026</c:v>
                </c:pt>
                <c:pt idx="12">
                  <c:v>63629.766576275659</c:v>
                </c:pt>
                <c:pt idx="13">
                  <c:v>65343.718036733291</c:v>
                </c:pt>
                <c:pt idx="14">
                  <c:v>67057.669497190916</c:v>
                </c:pt>
                <c:pt idx="15">
                  <c:v>68771.620957648556</c:v>
                </c:pt>
                <c:pt idx="16">
                  <c:v>70485.572418106181</c:v>
                </c:pt>
                <c:pt idx="17">
                  <c:v>72199.523878563807</c:v>
                </c:pt>
                <c:pt idx="18">
                  <c:v>73913.475339021446</c:v>
                </c:pt>
                <c:pt idx="19">
                  <c:v>75627.426799479072</c:v>
                </c:pt>
                <c:pt idx="20">
                  <c:v>77341.378259936697</c:v>
                </c:pt>
                <c:pt idx="21">
                  <c:v>79055.329720394337</c:v>
                </c:pt>
                <c:pt idx="22">
                  <c:v>80769.281180851947</c:v>
                </c:pt>
                <c:pt idx="23">
                  <c:v>82483.232641309587</c:v>
                </c:pt>
                <c:pt idx="24">
                  <c:v>84197.184101767227</c:v>
                </c:pt>
                <c:pt idx="25">
                  <c:v>85911.135562224837</c:v>
                </c:pt>
                <c:pt idx="26">
                  <c:v>87625.087022682477</c:v>
                </c:pt>
                <c:pt idx="27">
                  <c:v>89339.038483140117</c:v>
                </c:pt>
                <c:pt idx="28">
                  <c:v>91052.989943597728</c:v>
                </c:pt>
                <c:pt idx="29">
                  <c:v>92766.941404055367</c:v>
                </c:pt>
                <c:pt idx="30">
                  <c:v>94480.892864513007</c:v>
                </c:pt>
                <c:pt idx="31">
                  <c:v>96194.844324970618</c:v>
                </c:pt>
                <c:pt idx="32">
                  <c:v>97908.795785428258</c:v>
                </c:pt>
                <c:pt idx="33">
                  <c:v>99622.747245885897</c:v>
                </c:pt>
                <c:pt idx="34">
                  <c:v>101336.69870634351</c:v>
                </c:pt>
                <c:pt idx="35">
                  <c:v>103050.65016680115</c:v>
                </c:pt>
                <c:pt idx="36">
                  <c:v>104764.60162725879</c:v>
                </c:pt>
                <c:pt idx="37">
                  <c:v>106478.5530877164</c:v>
                </c:pt>
                <c:pt idx="38">
                  <c:v>108192.50454817404</c:v>
                </c:pt>
                <c:pt idx="39">
                  <c:v>109906.45600863168</c:v>
                </c:pt>
                <c:pt idx="40">
                  <c:v>111620.40746908929</c:v>
                </c:pt>
                <c:pt idx="41">
                  <c:v>113334.35892954693</c:v>
                </c:pt>
                <c:pt idx="42">
                  <c:v>115048.31039000457</c:v>
                </c:pt>
                <c:pt idx="43">
                  <c:v>116762.26185046218</c:v>
                </c:pt>
                <c:pt idx="44">
                  <c:v>118476.21331091982</c:v>
                </c:pt>
                <c:pt idx="45">
                  <c:v>120190.16477137746</c:v>
                </c:pt>
                <c:pt idx="46">
                  <c:v>121904.11623183507</c:v>
                </c:pt>
                <c:pt idx="47">
                  <c:v>123618.06769229271</c:v>
                </c:pt>
                <c:pt idx="48">
                  <c:v>125332.01915275035</c:v>
                </c:pt>
                <c:pt idx="49">
                  <c:v>127045.97061320796</c:v>
                </c:pt>
                <c:pt idx="50">
                  <c:v>128759.9220736656</c:v>
                </c:pt>
                <c:pt idx="51">
                  <c:v>130473.87353412324</c:v>
                </c:pt>
                <c:pt idx="52">
                  <c:v>132187.82499458085</c:v>
                </c:pt>
                <c:pt idx="53">
                  <c:v>133901.77645503849</c:v>
                </c:pt>
                <c:pt idx="54">
                  <c:v>135615.72791549613</c:v>
                </c:pt>
                <c:pt idx="55">
                  <c:v>137329.67937595374</c:v>
                </c:pt>
                <c:pt idx="56">
                  <c:v>139043.63083641138</c:v>
                </c:pt>
                <c:pt idx="57">
                  <c:v>140757.58229686902</c:v>
                </c:pt>
                <c:pt idx="58">
                  <c:v>142471.53375732663</c:v>
                </c:pt>
                <c:pt idx="59">
                  <c:v>144185.48521778427</c:v>
                </c:pt>
                <c:pt idx="60">
                  <c:v>145899.43667824191</c:v>
                </c:pt>
                <c:pt idx="61">
                  <c:v>147613.38813869952</c:v>
                </c:pt>
                <c:pt idx="62">
                  <c:v>149327.33959915716</c:v>
                </c:pt>
                <c:pt idx="63">
                  <c:v>151041.2910596148</c:v>
                </c:pt>
                <c:pt idx="64">
                  <c:v>152755.24252007241</c:v>
                </c:pt>
                <c:pt idx="65">
                  <c:v>154469.19398053005</c:v>
                </c:pt>
                <c:pt idx="66">
                  <c:v>156183.14544098769</c:v>
                </c:pt>
                <c:pt idx="67">
                  <c:v>157897.0969014453</c:v>
                </c:pt>
                <c:pt idx="68">
                  <c:v>159611.04836190294</c:v>
                </c:pt>
                <c:pt idx="69">
                  <c:v>161324.99982236058</c:v>
                </c:pt>
              </c:numCache>
            </c:numRef>
          </c:xVal>
          <c:yVal>
            <c:numRef>
              <c:f>Sheet14_HID1!ydata2</c:f>
              <c:numCache>
                <c:formatCode>General</c:formatCode>
                <c:ptCount val="70"/>
                <c:pt idx="0">
                  <c:v>46124.424805556759</c:v>
                </c:pt>
                <c:pt idx="1">
                  <c:v>47824.323054041401</c:v>
                </c:pt>
                <c:pt idx="2">
                  <c:v>49525.061621642031</c:v>
                </c:pt>
                <c:pt idx="3">
                  <c:v>51226.651528961491</c:v>
                </c:pt>
                <c:pt idx="4">
                  <c:v>52929.103261632416</c:v>
                </c:pt>
                <c:pt idx="5">
                  <c:v>54632.426729369829</c:v>
                </c:pt>
                <c:pt idx="6">
                  <c:v>56336.63122618568</c:v>
                </c:pt>
                <c:pt idx="7">
                  <c:v>58041.725392108565</c:v>
                </c:pt>
                <c:pt idx="8">
                  <c:v>59747.717176752369</c:v>
                </c:pt>
                <c:pt idx="9">
                  <c:v>61454.613805072964</c:v>
                </c:pt>
                <c:pt idx="10">
                  <c:v>63162.421745641841</c:v>
                </c:pt>
                <c:pt idx="11">
                  <c:v>64871.146681750542</c:v>
                </c:pt>
                <c:pt idx="12">
                  <c:v>66580.793485638758</c:v>
                </c:pt>
                <c:pt idx="13">
                  <c:v>68291.366196113057</c:v>
                </c:pt>
                <c:pt idx="14">
                  <c:v>70002.867999792477</c:v>
                </c:pt>
                <c:pt idx="15">
                  <c:v>71715.301216182052</c:v>
                </c:pt>
                <c:pt idx="16">
                  <c:v>73428.667286735974</c:v>
                </c:pt>
                <c:pt idx="17">
                  <c:v>75142.966768030485</c:v>
                </c:pt>
                <c:pt idx="18">
                  <c:v>76858.199329121475</c:v>
                </c:pt>
                <c:pt idx="19">
                  <c:v>78574.363753116035</c:v>
                </c:pt>
                <c:pt idx="20">
                  <c:v>80291.45794294076</c:v>
                </c:pt>
                <c:pt idx="21">
                  <c:v>82009.478931242935</c:v>
                </c:pt>
                <c:pt idx="22">
                  <c:v>83728.422894316041</c:v>
                </c:pt>
                <c:pt idx="23">
                  <c:v>85448.285169898387</c:v>
                </c:pt>
                <c:pt idx="24">
                  <c:v>87169.060278652832</c:v>
                </c:pt>
                <c:pt idx="25">
                  <c:v>88890.741949100688</c:v>
                </c:pt>
                <c:pt idx="26">
                  <c:v>90613.32314574979</c:v>
                </c:pt>
                <c:pt idx="27">
                  <c:v>92336.796100129694</c:v>
                </c:pt>
                <c:pt idx="28">
                  <c:v>94061.152344425776</c:v>
                </c:pt>
                <c:pt idx="29">
                  <c:v>95786.382747385927</c:v>
                </c:pt>
                <c:pt idx="30">
                  <c:v>97512.477552163007</c:v>
                </c:pt>
                <c:pt idx="31">
                  <c:v>99239.426415750204</c:v>
                </c:pt>
                <c:pt idx="32">
                  <c:v>100967.21844966541</c:v>
                </c:pt>
                <c:pt idx="33">
                  <c:v>102695.84226154436</c:v>
                </c:pt>
                <c:pt idx="34">
                  <c:v>104425.28599731199</c:v>
                </c:pt>
                <c:pt idx="35">
                  <c:v>106155.5373836129</c:v>
                </c:pt>
                <c:pt idx="36">
                  <c:v>107886.58377019808</c:v>
                </c:pt>
                <c:pt idx="37">
                  <c:v>109618.41217198505</c:v>
                </c:pt>
                <c:pt idx="38">
                  <c:v>111351.00931052896</c:v>
                </c:pt>
                <c:pt idx="39">
                  <c:v>113084.36165466568</c:v>
                </c:pt>
                <c:pt idx="40">
                  <c:v>114818.4554601133</c:v>
                </c:pt>
                <c:pt idx="41">
                  <c:v>116553.27680784273</c:v>
                </c:pt>
                <c:pt idx="42">
                  <c:v>118288.81164105413</c:v>
                </c:pt>
                <c:pt idx="43">
                  <c:v>120025.04580062146</c:v>
                </c:pt>
                <c:pt idx="44">
                  <c:v>121761.96505889198</c:v>
                </c:pt>
                <c:pt idx="45">
                  <c:v>123499.55515175099</c:v>
                </c:pt>
                <c:pt idx="46">
                  <c:v>125237.801808886</c:v>
                </c:pt>
                <c:pt idx="47">
                  <c:v>126976.69078220437</c:v>
                </c:pt>
                <c:pt idx="48">
                  <c:v>128716.20787237871</c:v>
                </c:pt>
                <c:pt idx="49">
                  <c:v>130456.33895351284</c:v>
                </c:pt>
                <c:pt idx="50">
                  <c:v>132197.06999593627</c:v>
                </c:pt>
                <c:pt idx="51">
                  <c:v>133938.38708715013</c:v>
                </c:pt>
                <c:pt idx="52">
                  <c:v>135680.2764509602</c:v>
                </c:pt>
                <c:pt idx="53">
                  <c:v>137422.72446484314</c:v>
                </c:pt>
                <c:pt idx="54">
                  <c:v>139165.7176756011</c:v>
                </c:pt>
                <c:pt idx="55">
                  <c:v>140909.24281336824</c:v>
                </c:pt>
                <c:pt idx="56">
                  <c:v>142653.28680403781</c:v>
                </c:pt>
                <c:pt idx="57">
                  <c:v>144397.83678018325</c:v>
                </c:pt>
                <c:pt idx="58">
                  <c:v>146142.8800905509</c:v>
                </c:pt>
                <c:pt idx="59">
                  <c:v>147888.40430820346</c:v>
                </c:pt>
                <c:pt idx="60">
                  <c:v>149634.39723739438</c:v>
                </c:pt>
                <c:pt idx="61">
                  <c:v>151380.84691925437</c:v>
                </c:pt>
                <c:pt idx="62">
                  <c:v>153127.74163637072</c:v>
                </c:pt>
                <c:pt idx="63">
                  <c:v>154875.06991633773</c:v>
                </c:pt>
                <c:pt idx="64">
                  <c:v>156622.82053435684</c:v>
                </c:pt>
                <c:pt idx="65">
                  <c:v>158370.98251496124</c:v>
                </c:pt>
                <c:pt idx="66">
                  <c:v>160119.54513293755</c:v>
                </c:pt>
                <c:pt idx="67">
                  <c:v>161868.49791351511</c:v>
                </c:pt>
                <c:pt idx="68">
                  <c:v>163617.83063188926</c:v>
                </c:pt>
                <c:pt idx="69">
                  <c:v>165367.53331214224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25-4189-B0DD-03F38FE2F39B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40000</c:v>
              </c:pt>
              <c:pt idx="1">
                <c:v>180000</c:v>
              </c:pt>
            </c:numLit>
          </c:xVal>
          <c:yVal>
            <c:numLit>
              <c:formatCode>General</c:formatCode>
              <c:ptCount val="2"/>
              <c:pt idx="0">
                <c:v>40000</c:v>
              </c:pt>
              <c:pt idx="1">
                <c:v>180000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A25-4189-B0DD-03F38FE2F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840960"/>
        <c:axId val="1083857880"/>
      </c:scatterChart>
      <c:valAx>
        <c:axId val="1083840960"/>
        <c:scaling>
          <c:orientation val="minMax"/>
          <c:max val="180000"/>
          <c:min val="4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Pred(Comparative 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3857880"/>
        <c:crosses val="autoZero"/>
        <c:crossBetween val="midCat"/>
      </c:valAx>
      <c:valAx>
        <c:axId val="1083857880"/>
        <c:scaling>
          <c:orientation val="minMax"/>
          <c:max val="180000"/>
          <c:min val="4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Comparative 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38409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Comparative Salary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4'!$A$106:$A$130</c:f>
              <c:strCache>
                <c:ptCount val="25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</c:strCache>
            </c:strRef>
          </c:cat>
          <c:val>
            <c:numRef>
              <c:f>'Linear Regression Output 4'!$F$106:$F$130</c:f>
              <c:numCache>
                <c:formatCode>0.000</c:formatCode>
                <c:ptCount val="25"/>
                <c:pt idx="0">
                  <c:v>-0.30063854280605151</c:v>
                </c:pt>
                <c:pt idx="1">
                  <c:v>0.52687714672555364</c:v>
                </c:pt>
                <c:pt idx="2">
                  <c:v>0.62056414897399292</c:v>
                </c:pt>
                <c:pt idx="3">
                  <c:v>-1.4234637517217004</c:v>
                </c:pt>
                <c:pt idx="4">
                  <c:v>-0.24772564939249198</c:v>
                </c:pt>
                <c:pt idx="5">
                  <c:v>0.48011878067456693</c:v>
                </c:pt>
                <c:pt idx="6">
                  <c:v>-0.16071161941585871</c:v>
                </c:pt>
                <c:pt idx="7">
                  <c:v>0.98144210890796824</c:v>
                </c:pt>
                <c:pt idx="8">
                  <c:v>-0.43081934919040149</c:v>
                </c:pt>
                <c:pt idx="9">
                  <c:v>-0.42708300175672126</c:v>
                </c:pt>
                <c:pt idx="10">
                  <c:v>0.37338742932274838</c:v>
                </c:pt>
                <c:pt idx="11">
                  <c:v>-0.38724668625852071</c:v>
                </c:pt>
                <c:pt idx="12">
                  <c:v>-0.36280376136900533</c:v>
                </c:pt>
                <c:pt idx="13">
                  <c:v>1.2822993499030095</c:v>
                </c:pt>
                <c:pt idx="14">
                  <c:v>0.73331558913694328</c:v>
                </c:pt>
                <c:pt idx="15">
                  <c:v>-1.1490761800377536</c:v>
                </c:pt>
                <c:pt idx="16">
                  <c:v>1.1467277775321276</c:v>
                </c:pt>
                <c:pt idx="17">
                  <c:v>0.92438326038959873</c:v>
                </c:pt>
                <c:pt idx="18">
                  <c:v>-0.88438606600557068</c:v>
                </c:pt>
                <c:pt idx="19">
                  <c:v>0.26066542240434692</c:v>
                </c:pt>
                <c:pt idx="20">
                  <c:v>1.6134601587590052</c:v>
                </c:pt>
                <c:pt idx="21">
                  <c:v>-1.2133902484043402</c:v>
                </c:pt>
                <c:pt idx="22">
                  <c:v>-1.8579287383917749</c:v>
                </c:pt>
                <c:pt idx="23">
                  <c:v>0.69144783462240866</c:v>
                </c:pt>
                <c:pt idx="24">
                  <c:v>-0.78941541260202708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1-4951-980D-A09597B16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434529304"/>
        <c:axId val="434530024"/>
      </c:barChart>
      <c:catAx>
        <c:axId val="434529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434530024"/>
        <c:crosses val="autoZero"/>
        <c:auto val="1"/>
        <c:lblAlgn val="ctr"/>
        <c:lblOffset val="100"/>
        <c:noMultiLvlLbl val="0"/>
      </c:catAx>
      <c:valAx>
        <c:axId val="434530024"/>
        <c:scaling>
          <c:orientation val="minMax"/>
          <c:max val="2"/>
          <c:min val="-2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43452930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Satisfaction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E2-44BD-A30D-69AC8D85E06C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AE2-44BD-A30D-69AC8D85E06C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E2-44BD-A30D-69AC8D85E06C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AE2-44BD-A30D-69AC8D85E06C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E2-44BD-A30D-69AC8D85E06C}"/>
              </c:ext>
            </c:extLst>
          </c:dPt>
          <c:dPt>
            <c:idx val="5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AE2-44BD-A30D-69AC8D85E06C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AE2-44BD-A30D-69AC8D85E06C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AE2-44BD-A30D-69AC8D85E0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8"/>
                <c:pt idx="0">
                  <c:v>0.18351167815835617</c:v>
                </c:pt>
                <c:pt idx="1">
                  <c:v>0.23605118004226455</c:v>
                </c:pt>
                <c:pt idx="2">
                  <c:v>0.22470331880624048</c:v>
                </c:pt>
                <c:pt idx="3">
                  <c:v>0.26847701987197126</c:v>
                </c:pt>
                <c:pt idx="4">
                  <c:v>0.21514576517817391</c:v>
                </c:pt>
                <c:pt idx="5">
                  <c:v>0.18970579638197888</c:v>
                </c:pt>
                <c:pt idx="6">
                  <c:v>0.15590294336964827</c:v>
                </c:pt>
                <c:pt idx="7">
                  <c:v>0.20857857062680385</c:v>
                </c:pt>
              </c:numLit>
            </c:plus>
            <c:minus>
              <c:numLit>
                <c:formatCode>General</c:formatCode>
                <c:ptCount val="8"/>
                <c:pt idx="0">
                  <c:v>0.18351167815835615</c:v>
                </c:pt>
                <c:pt idx="1">
                  <c:v>0.23605118004226461</c:v>
                </c:pt>
                <c:pt idx="2">
                  <c:v>0.22470331880624048</c:v>
                </c:pt>
                <c:pt idx="3">
                  <c:v>0.26847701987197126</c:v>
                </c:pt>
                <c:pt idx="4">
                  <c:v>0.21514576517817391</c:v>
                </c:pt>
                <c:pt idx="5">
                  <c:v>0.1897057963819789</c:v>
                </c:pt>
                <c:pt idx="6">
                  <c:v>0.15590294336964827</c:v>
                </c:pt>
                <c:pt idx="7">
                  <c:v>0.20857857062680388</c:v>
                </c:pt>
              </c:numLit>
            </c:minus>
          </c:errBars>
          <c:cat>
            <c:strRef>
              <c:f>'Linear Regression Output 5'!$A$89:$A$96</c:f>
              <c:strCache>
                <c:ptCount val="8"/>
                <c:pt idx="0">
                  <c:v>Years</c:v>
                </c:pt>
                <c:pt idx="1">
                  <c:v>Ideas</c:v>
                </c:pt>
                <c:pt idx="2">
                  <c:v>Communication</c:v>
                </c:pt>
                <c:pt idx="3">
                  <c:v>Recognition</c:v>
                </c:pt>
                <c:pt idx="4">
                  <c:v>Training</c:v>
                </c:pt>
                <c:pt idx="5">
                  <c:v>Work Conditions</c:v>
                </c:pt>
                <c:pt idx="6">
                  <c:v>Tools and Information</c:v>
                </c:pt>
                <c:pt idx="7">
                  <c:v>Work/Life Balance</c:v>
                </c:pt>
              </c:strCache>
            </c:strRef>
          </c:cat>
          <c:val>
            <c:numRef>
              <c:f>'Linear Regression Output 5'!$B$89:$B$96</c:f>
              <c:numCache>
                <c:formatCode>0.000</c:formatCode>
                <c:ptCount val="8"/>
                <c:pt idx="0">
                  <c:v>-8.8031805948854042E-2</c:v>
                </c:pt>
                <c:pt idx="1">
                  <c:v>0.34898252520450501</c:v>
                </c:pt>
                <c:pt idx="2">
                  <c:v>9.7987518944588264E-2</c:v>
                </c:pt>
                <c:pt idx="3">
                  <c:v>0.14823584457080269</c:v>
                </c:pt>
                <c:pt idx="4">
                  <c:v>0.28933642404063958</c:v>
                </c:pt>
                <c:pt idx="5">
                  <c:v>0.10464999743829699</c:v>
                </c:pt>
                <c:pt idx="6">
                  <c:v>-5.5832287272592838E-2</c:v>
                </c:pt>
                <c:pt idx="7">
                  <c:v>0.17316934859129929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2-44BD-A30D-69AC8D85E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155797840"/>
        <c:axId val="1155796760"/>
      </c:barChart>
      <c:catAx>
        <c:axId val="115579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96760"/>
        <c:crosses val="autoZero"/>
        <c:auto val="1"/>
        <c:lblAlgn val="ctr"/>
        <c:lblOffset val="100"/>
        <c:noMultiLvlLbl val="0"/>
      </c:catAx>
      <c:valAx>
        <c:axId val="1155796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9784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Satisfaction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5'!$C$122:$C$153</c:f>
              <c:numCache>
                <c:formatCode>0.000</c:formatCode>
                <c:ptCount val="32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4</c:v>
                </c:pt>
                <c:pt idx="11">
                  <c:v>9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9</c:v>
                </c:pt>
                <c:pt idx="24">
                  <c:v>8</c:v>
                </c:pt>
                <c:pt idx="25">
                  <c:v>5</c:v>
                </c:pt>
                <c:pt idx="26">
                  <c:v>6</c:v>
                </c:pt>
                <c:pt idx="27">
                  <c:v>10</c:v>
                </c:pt>
                <c:pt idx="28">
                  <c:v>9</c:v>
                </c:pt>
                <c:pt idx="29">
                  <c:v>3</c:v>
                </c:pt>
                <c:pt idx="30">
                  <c:v>6</c:v>
                </c:pt>
                <c:pt idx="31">
                  <c:v>8</c:v>
                </c:pt>
              </c:numCache>
            </c:numRef>
          </c:xVal>
          <c:yVal>
            <c:numRef>
              <c:f>'Linear Regression Output 5'!$F$122:$F$153</c:f>
              <c:numCache>
                <c:formatCode>0.000</c:formatCode>
                <c:ptCount val="32"/>
                <c:pt idx="0">
                  <c:v>0.12471852834190875</c:v>
                </c:pt>
                <c:pt idx="1">
                  <c:v>-0.76256304387660578</c:v>
                </c:pt>
                <c:pt idx="2">
                  <c:v>-3.4182389859229098E-3</c:v>
                </c:pt>
                <c:pt idx="3">
                  <c:v>-0.92510191470640102</c:v>
                </c:pt>
                <c:pt idx="4">
                  <c:v>-0.15324280250779407</c:v>
                </c:pt>
                <c:pt idx="5">
                  <c:v>-0.39270112276092067</c:v>
                </c:pt>
                <c:pt idx="6">
                  <c:v>-0.96313104580761022</c:v>
                </c:pt>
                <c:pt idx="7">
                  <c:v>2.0740343102116459</c:v>
                </c:pt>
                <c:pt idx="8">
                  <c:v>0.5673056911426656</c:v>
                </c:pt>
                <c:pt idx="9">
                  <c:v>-9.1972547903646562E-2</c:v>
                </c:pt>
                <c:pt idx="10">
                  <c:v>4.4716303956795989E-2</c:v>
                </c:pt>
                <c:pt idx="11">
                  <c:v>0.92367004961323618</c:v>
                </c:pt>
                <c:pt idx="12">
                  <c:v>-0.11124243525723709</c:v>
                </c:pt>
                <c:pt idx="13">
                  <c:v>-0.45007968251323099</c:v>
                </c:pt>
                <c:pt idx="14">
                  <c:v>-0.14566907777773347</c:v>
                </c:pt>
                <c:pt idx="15">
                  <c:v>0.44787026710154604</c:v>
                </c:pt>
                <c:pt idx="16">
                  <c:v>-1.3132380769265262</c:v>
                </c:pt>
                <c:pt idx="17">
                  <c:v>-0.35249054490741255</c:v>
                </c:pt>
                <c:pt idx="18">
                  <c:v>-0.4666660196012406</c:v>
                </c:pt>
                <c:pt idx="19">
                  <c:v>1.711194507449866</c:v>
                </c:pt>
                <c:pt idx="20">
                  <c:v>0.81861070831499094</c:v>
                </c:pt>
                <c:pt idx="21">
                  <c:v>-7.6140084649823206E-2</c:v>
                </c:pt>
                <c:pt idx="22">
                  <c:v>-1.0283116631261566</c:v>
                </c:pt>
                <c:pt idx="23">
                  <c:v>2.1694595787873907</c:v>
                </c:pt>
                <c:pt idx="24">
                  <c:v>-0.43603707600120822</c:v>
                </c:pt>
                <c:pt idx="25">
                  <c:v>0.87336402628738485</c:v>
                </c:pt>
                <c:pt idx="26">
                  <c:v>0.20104859155023097</c:v>
                </c:pt>
                <c:pt idx="27">
                  <c:v>-0.12260767520571811</c:v>
                </c:pt>
                <c:pt idx="28">
                  <c:v>-7.2843259383690698E-2</c:v>
                </c:pt>
                <c:pt idx="29">
                  <c:v>-1.257768544267921</c:v>
                </c:pt>
                <c:pt idx="30">
                  <c:v>-0.14842302475327274</c:v>
                </c:pt>
                <c:pt idx="31">
                  <c:v>-0.68234468183761565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2-4818-A463-673720DDD368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</c:v>
              </c:pt>
            </c:numLit>
          </c:xVal>
          <c:yVal>
            <c:numLit>
              <c:formatCode>General</c:formatCode>
              <c:ptCount val="1"/>
              <c:pt idx="0">
                <c:v>-0.76256304387660578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842-4818-A463-673720DDD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89920"/>
        <c:axId val="1155791720"/>
      </c:scatterChart>
      <c:valAx>
        <c:axId val="1155789920"/>
        <c:scaling>
          <c:orientation val="minMax"/>
          <c:max val="10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91720"/>
        <c:crosses val="autoZero"/>
        <c:crossBetween val="midCat"/>
      </c:valAx>
      <c:valAx>
        <c:axId val="1155791720"/>
        <c:scaling>
          <c:orientation val="minMax"/>
          <c:max val="2.5"/>
          <c:min val="-1.5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899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Pred(Satisfaction)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5'!$D$122:$D$153</c:f>
              <c:numCache>
                <c:formatCode>0.000</c:formatCode>
                <c:ptCount val="32"/>
                <c:pt idx="0">
                  <c:v>8.8993214890685177</c:v>
                </c:pt>
                <c:pt idx="1">
                  <c:v>3.6155758311900899</c:v>
                </c:pt>
                <c:pt idx="2">
                  <c:v>5.0027593591400246</c:v>
                </c:pt>
                <c:pt idx="3">
                  <c:v>4.7467846555819788</c:v>
                </c:pt>
                <c:pt idx="4">
                  <c:v>10.123704612077816</c:v>
                </c:pt>
                <c:pt idx="5">
                  <c:v>8.3170063406481471</c:v>
                </c:pt>
                <c:pt idx="6">
                  <c:v>9.7774835127781738</c:v>
                </c:pt>
                <c:pt idx="7">
                  <c:v>6.3257444683722541</c:v>
                </c:pt>
                <c:pt idx="8">
                  <c:v>6.542044851021493</c:v>
                </c:pt>
                <c:pt idx="9">
                  <c:v>10.074244455035011</c:v>
                </c:pt>
                <c:pt idx="10">
                  <c:v>3.9639029504550609</c:v>
                </c:pt>
                <c:pt idx="11">
                  <c:v>8.2543712115321632</c:v>
                </c:pt>
                <c:pt idx="12">
                  <c:v>7.0897999910918372</c:v>
                </c:pt>
                <c:pt idx="13">
                  <c:v>8.3633249432812615</c:v>
                </c:pt>
                <c:pt idx="14">
                  <c:v>6.1175907544324062</c:v>
                </c:pt>
                <c:pt idx="15">
                  <c:v>4.6384585980789099</c:v>
                </c:pt>
                <c:pt idx="16">
                  <c:v>7.0601059509059194</c:v>
                </c:pt>
                <c:pt idx="17">
                  <c:v>8.2845465196752173</c:v>
                </c:pt>
                <c:pt idx="18">
                  <c:v>7.3767141945980388</c:v>
                </c:pt>
                <c:pt idx="19">
                  <c:v>6.6186453832113337</c:v>
                </c:pt>
                <c:pt idx="20">
                  <c:v>6.3391799258584971</c:v>
                </c:pt>
                <c:pt idx="21">
                  <c:v>4.0614637652212044</c:v>
                </c:pt>
                <c:pt idx="22">
                  <c:v>3.8301002937847288</c:v>
                </c:pt>
                <c:pt idx="23">
                  <c:v>7.2487128190001178</c:v>
                </c:pt>
                <c:pt idx="24">
                  <c:v>8.3519891078442736</c:v>
                </c:pt>
                <c:pt idx="25">
                  <c:v>4.2949805386839914</c:v>
                </c:pt>
                <c:pt idx="26">
                  <c:v>5.8377043644496931</c:v>
                </c:pt>
                <c:pt idx="27">
                  <c:v>10.098974533556412</c:v>
                </c:pt>
                <c:pt idx="28">
                  <c:v>9.0588024167992156</c:v>
                </c:pt>
                <c:pt idx="29">
                  <c:v>4.015328402418306</c:v>
                </c:pt>
                <c:pt idx="30">
                  <c:v>6.1198138666224526</c:v>
                </c:pt>
                <c:pt idx="31">
                  <c:v>8.5508198935854747</c:v>
                </c:pt>
              </c:numCache>
            </c:numRef>
          </c:xVal>
          <c:yVal>
            <c:numRef>
              <c:f>'Linear Regression Output 5'!$F$122:$F$153</c:f>
              <c:numCache>
                <c:formatCode>0.000</c:formatCode>
                <c:ptCount val="32"/>
                <c:pt idx="0">
                  <c:v>0.12471852834190875</c:v>
                </c:pt>
                <c:pt idx="1">
                  <c:v>-0.76256304387660578</c:v>
                </c:pt>
                <c:pt idx="2">
                  <c:v>-3.4182389859229098E-3</c:v>
                </c:pt>
                <c:pt idx="3">
                  <c:v>-0.92510191470640102</c:v>
                </c:pt>
                <c:pt idx="4">
                  <c:v>-0.15324280250779407</c:v>
                </c:pt>
                <c:pt idx="5">
                  <c:v>-0.39270112276092067</c:v>
                </c:pt>
                <c:pt idx="6">
                  <c:v>-0.96313104580761022</c:v>
                </c:pt>
                <c:pt idx="7">
                  <c:v>2.0740343102116459</c:v>
                </c:pt>
                <c:pt idx="8">
                  <c:v>0.5673056911426656</c:v>
                </c:pt>
                <c:pt idx="9">
                  <c:v>-9.1972547903646562E-2</c:v>
                </c:pt>
                <c:pt idx="10">
                  <c:v>4.4716303956795989E-2</c:v>
                </c:pt>
                <c:pt idx="11">
                  <c:v>0.92367004961323618</c:v>
                </c:pt>
                <c:pt idx="12">
                  <c:v>-0.11124243525723709</c:v>
                </c:pt>
                <c:pt idx="13">
                  <c:v>-0.45007968251323099</c:v>
                </c:pt>
                <c:pt idx="14">
                  <c:v>-0.14566907777773347</c:v>
                </c:pt>
                <c:pt idx="15">
                  <c:v>0.44787026710154604</c:v>
                </c:pt>
                <c:pt idx="16">
                  <c:v>-1.3132380769265262</c:v>
                </c:pt>
                <c:pt idx="17">
                  <c:v>-0.35249054490741255</c:v>
                </c:pt>
                <c:pt idx="18">
                  <c:v>-0.4666660196012406</c:v>
                </c:pt>
                <c:pt idx="19">
                  <c:v>1.711194507449866</c:v>
                </c:pt>
                <c:pt idx="20">
                  <c:v>0.81861070831499094</c:v>
                </c:pt>
                <c:pt idx="21">
                  <c:v>-7.6140084649823206E-2</c:v>
                </c:pt>
                <c:pt idx="22">
                  <c:v>-1.0283116631261566</c:v>
                </c:pt>
                <c:pt idx="23">
                  <c:v>2.1694595787873907</c:v>
                </c:pt>
                <c:pt idx="24">
                  <c:v>-0.43603707600120822</c:v>
                </c:pt>
                <c:pt idx="25">
                  <c:v>0.87336402628738485</c:v>
                </c:pt>
                <c:pt idx="26">
                  <c:v>0.20104859155023097</c:v>
                </c:pt>
                <c:pt idx="27">
                  <c:v>-0.12260767520571811</c:v>
                </c:pt>
                <c:pt idx="28">
                  <c:v>-7.2843259383690698E-2</c:v>
                </c:pt>
                <c:pt idx="29">
                  <c:v>-1.257768544267921</c:v>
                </c:pt>
                <c:pt idx="30">
                  <c:v>-0.14842302475327274</c:v>
                </c:pt>
                <c:pt idx="31">
                  <c:v>-0.68234468183761565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C-4289-B43B-72FA2ABBF310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3.6155758311900899</c:v>
              </c:pt>
            </c:numLit>
          </c:xVal>
          <c:yVal>
            <c:numLit>
              <c:formatCode>General</c:formatCode>
              <c:ptCount val="1"/>
              <c:pt idx="0">
                <c:v>-0.76256304387660578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68C-4289-B43B-72FA2ABB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94960"/>
        <c:axId val="1155795680"/>
      </c:scatterChart>
      <c:valAx>
        <c:axId val="1155794960"/>
        <c:scaling>
          <c:orientation val="minMax"/>
          <c:max val="11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Pred(Satisfaction)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795680"/>
        <c:crosses val="autoZero"/>
        <c:crossBetween val="midCat"/>
      </c:valAx>
      <c:valAx>
        <c:axId val="1155795680"/>
        <c:scaling>
          <c:orientation val="minMax"/>
          <c:max val="2.5"/>
          <c:min val="-1.5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949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Pred(Satisfaction) - Satisfaction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5'!$D$122:$D$153</c:f>
              <c:numCache>
                <c:formatCode>0.000</c:formatCode>
                <c:ptCount val="32"/>
                <c:pt idx="0">
                  <c:v>8.8993214890685177</c:v>
                </c:pt>
                <c:pt idx="1">
                  <c:v>3.6155758311900899</c:v>
                </c:pt>
                <c:pt idx="2">
                  <c:v>5.0027593591400246</c:v>
                </c:pt>
                <c:pt idx="3">
                  <c:v>4.7467846555819788</c:v>
                </c:pt>
                <c:pt idx="4">
                  <c:v>10.123704612077816</c:v>
                </c:pt>
                <c:pt idx="5">
                  <c:v>8.3170063406481471</c:v>
                </c:pt>
                <c:pt idx="6">
                  <c:v>9.7774835127781738</c:v>
                </c:pt>
                <c:pt idx="7">
                  <c:v>6.3257444683722541</c:v>
                </c:pt>
                <c:pt idx="8">
                  <c:v>6.542044851021493</c:v>
                </c:pt>
                <c:pt idx="9">
                  <c:v>10.074244455035011</c:v>
                </c:pt>
                <c:pt idx="10">
                  <c:v>3.9639029504550609</c:v>
                </c:pt>
                <c:pt idx="11">
                  <c:v>8.2543712115321632</c:v>
                </c:pt>
                <c:pt idx="12">
                  <c:v>7.0897999910918372</c:v>
                </c:pt>
                <c:pt idx="13">
                  <c:v>8.3633249432812615</c:v>
                </c:pt>
                <c:pt idx="14">
                  <c:v>6.1175907544324062</c:v>
                </c:pt>
                <c:pt idx="15">
                  <c:v>4.6384585980789099</c:v>
                </c:pt>
                <c:pt idx="16">
                  <c:v>7.0601059509059194</c:v>
                </c:pt>
                <c:pt idx="17">
                  <c:v>8.2845465196752173</c:v>
                </c:pt>
                <c:pt idx="18">
                  <c:v>7.3767141945980388</c:v>
                </c:pt>
                <c:pt idx="19">
                  <c:v>6.6186453832113337</c:v>
                </c:pt>
                <c:pt idx="20">
                  <c:v>6.3391799258584971</c:v>
                </c:pt>
                <c:pt idx="21">
                  <c:v>4.0614637652212044</c:v>
                </c:pt>
                <c:pt idx="22">
                  <c:v>3.8301002937847288</c:v>
                </c:pt>
                <c:pt idx="23">
                  <c:v>7.2487128190001178</c:v>
                </c:pt>
                <c:pt idx="24">
                  <c:v>8.3519891078442736</c:v>
                </c:pt>
                <c:pt idx="25">
                  <c:v>4.2949805386839914</c:v>
                </c:pt>
                <c:pt idx="26">
                  <c:v>5.8377043644496931</c:v>
                </c:pt>
                <c:pt idx="27">
                  <c:v>10.098974533556412</c:v>
                </c:pt>
                <c:pt idx="28">
                  <c:v>9.0588024167992156</c:v>
                </c:pt>
                <c:pt idx="29">
                  <c:v>4.015328402418306</c:v>
                </c:pt>
                <c:pt idx="30">
                  <c:v>6.1198138666224526</c:v>
                </c:pt>
                <c:pt idx="31">
                  <c:v>8.5508198935854747</c:v>
                </c:pt>
              </c:numCache>
            </c:numRef>
          </c:xVal>
          <c:yVal>
            <c:numRef>
              <c:f>'Linear Regression Output 5'!$C$122:$C$153</c:f>
              <c:numCache>
                <c:formatCode>0.000</c:formatCode>
                <c:ptCount val="32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4</c:v>
                </c:pt>
                <c:pt idx="11">
                  <c:v>9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9</c:v>
                </c:pt>
                <c:pt idx="24">
                  <c:v>8</c:v>
                </c:pt>
                <c:pt idx="25">
                  <c:v>5</c:v>
                </c:pt>
                <c:pt idx="26">
                  <c:v>6</c:v>
                </c:pt>
                <c:pt idx="27">
                  <c:v>10</c:v>
                </c:pt>
                <c:pt idx="28">
                  <c:v>9</c:v>
                </c:pt>
                <c:pt idx="29">
                  <c:v>3</c:v>
                </c:pt>
                <c:pt idx="30">
                  <c:v>6</c:v>
                </c:pt>
                <c:pt idx="3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2-41FB-B09D-33AEE85255DD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3.6155758311900899</c:v>
              </c:pt>
            </c:numLit>
          </c:xVal>
          <c:yVal>
            <c:numLit>
              <c:formatCode>General</c:formatCode>
              <c:ptCount val="1"/>
              <c:pt idx="0">
                <c:v>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A62-41FB-B09D-33AEE85255DD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Sheet2_HID!xdata1</c:f>
              <c:numCache>
                <c:formatCode>General</c:formatCode>
                <c:ptCount val="70"/>
                <c:pt idx="0">
                  <c:v>3.35525067995458</c:v>
                </c:pt>
                <c:pt idx="1">
                  <c:v>3.4826882865420989</c:v>
                </c:pt>
                <c:pt idx="2">
                  <c:v>3.6101258931296178</c:v>
                </c:pt>
                <c:pt idx="3">
                  <c:v>3.7375634997171368</c:v>
                </c:pt>
                <c:pt idx="4">
                  <c:v>3.8650011063046561</c:v>
                </c:pt>
                <c:pt idx="5">
                  <c:v>3.992438712892175</c:v>
                </c:pt>
                <c:pt idx="6">
                  <c:v>4.1198763194796939</c:v>
                </c:pt>
                <c:pt idx="7">
                  <c:v>4.2473139260672133</c:v>
                </c:pt>
                <c:pt idx="8">
                  <c:v>4.3747515326547317</c:v>
                </c:pt>
                <c:pt idx="9">
                  <c:v>4.5021891392422511</c:v>
                </c:pt>
                <c:pt idx="10">
                  <c:v>4.6296267458297695</c:v>
                </c:pt>
                <c:pt idx="11">
                  <c:v>4.7570643524172889</c:v>
                </c:pt>
                <c:pt idx="12">
                  <c:v>4.8845019590048082</c:v>
                </c:pt>
                <c:pt idx="13">
                  <c:v>5.0119395655923267</c:v>
                </c:pt>
                <c:pt idx="14">
                  <c:v>5.139377172179846</c:v>
                </c:pt>
                <c:pt idx="15">
                  <c:v>5.2668147787673654</c:v>
                </c:pt>
                <c:pt idx="16">
                  <c:v>5.3942523853548838</c:v>
                </c:pt>
                <c:pt idx="17">
                  <c:v>5.5216899919424023</c:v>
                </c:pt>
                <c:pt idx="18">
                  <c:v>5.6491275985299216</c:v>
                </c:pt>
                <c:pt idx="19">
                  <c:v>5.776565205117441</c:v>
                </c:pt>
                <c:pt idx="20">
                  <c:v>5.9040028117049594</c:v>
                </c:pt>
                <c:pt idx="21">
                  <c:v>6.0314404182924788</c:v>
                </c:pt>
                <c:pt idx="22">
                  <c:v>6.1588780248799981</c:v>
                </c:pt>
                <c:pt idx="23">
                  <c:v>6.2863156314675166</c:v>
                </c:pt>
                <c:pt idx="24">
                  <c:v>6.4137532380550351</c:v>
                </c:pt>
                <c:pt idx="25">
                  <c:v>6.5411908446425553</c:v>
                </c:pt>
                <c:pt idx="26">
                  <c:v>6.6686284512300738</c:v>
                </c:pt>
                <c:pt idx="27">
                  <c:v>6.7960660578175922</c:v>
                </c:pt>
                <c:pt idx="28">
                  <c:v>6.9235036644051116</c:v>
                </c:pt>
                <c:pt idx="29">
                  <c:v>7.0509412709926309</c:v>
                </c:pt>
                <c:pt idx="30">
                  <c:v>7.1783788775801494</c:v>
                </c:pt>
                <c:pt idx="31">
                  <c:v>7.3058164841676687</c:v>
                </c:pt>
                <c:pt idx="32">
                  <c:v>7.4332540907551881</c:v>
                </c:pt>
                <c:pt idx="33">
                  <c:v>7.5606916973427065</c:v>
                </c:pt>
                <c:pt idx="34">
                  <c:v>7.688129303930225</c:v>
                </c:pt>
                <c:pt idx="35">
                  <c:v>7.8155669105177452</c:v>
                </c:pt>
                <c:pt idx="36">
                  <c:v>7.9430045171052637</c:v>
                </c:pt>
                <c:pt idx="37">
                  <c:v>8.0704421236927821</c:v>
                </c:pt>
                <c:pt idx="38">
                  <c:v>8.1978797302803024</c:v>
                </c:pt>
                <c:pt idx="39">
                  <c:v>8.3253173368678208</c:v>
                </c:pt>
                <c:pt idx="40">
                  <c:v>8.4527549434553393</c:v>
                </c:pt>
                <c:pt idx="41">
                  <c:v>8.5801925500428577</c:v>
                </c:pt>
                <c:pt idx="42">
                  <c:v>8.707630156630378</c:v>
                </c:pt>
                <c:pt idx="43">
                  <c:v>8.8350677632178964</c:v>
                </c:pt>
                <c:pt idx="44">
                  <c:v>8.9625053698054149</c:v>
                </c:pt>
                <c:pt idx="45">
                  <c:v>9.0899429763929351</c:v>
                </c:pt>
                <c:pt idx="46">
                  <c:v>9.2173805829804536</c:v>
                </c:pt>
                <c:pt idx="47">
                  <c:v>9.3448181895679721</c:v>
                </c:pt>
                <c:pt idx="48">
                  <c:v>9.4722557961554905</c:v>
                </c:pt>
                <c:pt idx="49">
                  <c:v>9.5996934027430108</c:v>
                </c:pt>
                <c:pt idx="50">
                  <c:v>9.7271310093305292</c:v>
                </c:pt>
                <c:pt idx="51">
                  <c:v>9.8545686159180477</c:v>
                </c:pt>
                <c:pt idx="52">
                  <c:v>9.9820062225055679</c:v>
                </c:pt>
                <c:pt idx="53">
                  <c:v>10.109443829093086</c:v>
                </c:pt>
                <c:pt idx="54">
                  <c:v>10.236881435680605</c:v>
                </c:pt>
                <c:pt idx="55">
                  <c:v>10.364319042268125</c:v>
                </c:pt>
                <c:pt idx="56">
                  <c:v>10.491756648855644</c:v>
                </c:pt>
                <c:pt idx="57">
                  <c:v>10.619194255443162</c:v>
                </c:pt>
                <c:pt idx="58">
                  <c:v>10.74663186203068</c:v>
                </c:pt>
                <c:pt idx="59">
                  <c:v>10.874069468618201</c:v>
                </c:pt>
                <c:pt idx="60">
                  <c:v>11.001507075205719</c:v>
                </c:pt>
                <c:pt idx="61">
                  <c:v>11.128944681793238</c:v>
                </c:pt>
                <c:pt idx="62">
                  <c:v>11.256382288380758</c:v>
                </c:pt>
                <c:pt idx="63">
                  <c:v>11.383819894968276</c:v>
                </c:pt>
                <c:pt idx="64">
                  <c:v>11.511257501555795</c:v>
                </c:pt>
                <c:pt idx="65">
                  <c:v>11.638695108143313</c:v>
                </c:pt>
                <c:pt idx="66">
                  <c:v>11.766132714730833</c:v>
                </c:pt>
                <c:pt idx="67">
                  <c:v>11.893570321318352</c:v>
                </c:pt>
                <c:pt idx="68">
                  <c:v>12.02100792790587</c:v>
                </c:pt>
                <c:pt idx="69">
                  <c:v>12.148445534493389</c:v>
                </c:pt>
              </c:numCache>
            </c:numRef>
          </c:xVal>
          <c:yVal>
            <c:numRef>
              <c:f>Sheet2_HID!ydata1</c:f>
              <c:numCache>
                <c:formatCode>General</c:formatCode>
                <c:ptCount val="70"/>
                <c:pt idx="0">
                  <c:v>1.5837078077846614</c:v>
                </c:pt>
                <c:pt idx="1">
                  <c:v>1.71646961332299</c:v>
                </c:pt>
                <c:pt idx="2">
                  <c:v>1.8490485121440019</c:v>
                </c:pt>
                <c:pt idx="3">
                  <c:v>1.981442897790862</c:v>
                </c:pt>
                <c:pt idx="4">
                  <c:v>2.113651203601</c:v>
                </c:pt>
                <c:pt idx="5">
                  <c:v>2.2456719049324603</c:v>
                </c:pt>
                <c:pt idx="6">
                  <c:v>2.3775035213739342</c:v>
                </c:pt>
                <c:pt idx="7">
                  <c:v>2.5091446189318356</c:v>
                </c:pt>
                <c:pt idx="8">
                  <c:v>2.6405938121876682</c:v>
                </c:pt>
                <c:pt idx="9">
                  <c:v>2.7718497664188089</c:v>
                </c:pt>
                <c:pt idx="10">
                  <c:v>2.9029111996757466</c:v>
                </c:pt>
                <c:pt idx="11">
                  <c:v>3.0337768848088205</c:v>
                </c:pt>
                <c:pt idx="12">
                  <c:v>3.1644456514374397</c:v>
                </c:pt>
                <c:pt idx="13">
                  <c:v>3.2949163878548715</c:v>
                </c:pt>
                <c:pt idx="14">
                  <c:v>3.4251880428617212</c:v>
                </c:pt>
                <c:pt idx="15">
                  <c:v>3.5552596275213735</c:v>
                </c:pt>
                <c:pt idx="16">
                  <c:v>3.6851302168308164</c:v>
                </c:pt>
                <c:pt idx="17">
                  <c:v>3.8147989513005021</c:v>
                </c:pt>
                <c:pt idx="18">
                  <c:v>3.9442650384371065</c:v>
                </c:pt>
                <c:pt idx="19">
                  <c:v>4.0735277541233863</c:v>
                </c:pt>
                <c:pt idx="20">
                  <c:v>4.2025864438896372</c:v>
                </c:pt>
                <c:pt idx="21">
                  <c:v>4.3314405240716294</c:v>
                </c:pt>
                <c:pt idx="22">
                  <c:v>4.4600894828503028</c:v>
                </c:pt>
                <c:pt idx="23">
                  <c:v>4.5885328811689652</c:v>
                </c:pt>
                <c:pt idx="24">
                  <c:v>4.7167703535241658</c:v>
                </c:pt>
                <c:pt idx="25">
                  <c:v>4.8448016086269625</c:v>
                </c:pt>
                <c:pt idx="26">
                  <c:v>4.9726264299317844</c:v>
                </c:pt>
                <c:pt idx="27">
                  <c:v>5.1002446760306848</c:v>
                </c:pt>
                <c:pt idx="28">
                  <c:v>5.2276562809112752</c:v>
                </c:pt>
                <c:pt idx="29">
                  <c:v>5.354861254077278</c:v>
                </c:pt>
                <c:pt idx="30">
                  <c:v>5.481859680531163</c:v>
                </c:pt>
                <c:pt idx="31">
                  <c:v>5.6086517206189583</c:v>
                </c:pt>
                <c:pt idx="32">
                  <c:v>5.7352376097378741</c:v>
                </c:pt>
                <c:pt idx="33">
                  <c:v>5.8616176579080044</c:v>
                </c:pt>
                <c:pt idx="34">
                  <c:v>5.9877922492099129</c:v>
                </c:pt>
                <c:pt idx="35">
                  <c:v>6.1137618410904633</c:v>
                </c:pt>
                <c:pt idx="36">
                  <c:v>6.2395269635398201</c:v>
                </c:pt>
                <c:pt idx="37">
                  <c:v>6.3650882181430637</c:v>
                </c:pt>
                <c:pt idx="38">
                  <c:v>6.4904462770103049</c:v>
                </c:pt>
                <c:pt idx="39">
                  <c:v>6.615601881589722</c:v>
                </c:pt>
                <c:pt idx="40">
                  <c:v>6.7405558413683337</c:v>
                </c:pt>
                <c:pt idx="41">
                  <c:v>6.8653090324657153</c:v>
                </c:pt>
                <c:pt idx="42">
                  <c:v>6.9898623961262336</c:v>
                </c:pt>
                <c:pt idx="43">
                  <c:v>7.1142169371157173</c:v>
                </c:pt>
                <c:pt idx="44">
                  <c:v>7.238373722028733</c:v>
                </c:pt>
                <c:pt idx="45">
                  <c:v>7.3623338775128717</c:v>
                </c:pt>
                <c:pt idx="46">
                  <c:v>7.486098588416688</c:v>
                </c:pt>
                <c:pt idx="47">
                  <c:v>7.6096690958680515</c:v>
                </c:pt>
                <c:pt idx="48">
                  <c:v>7.7330466952897892</c:v>
                </c:pt>
                <c:pt idx="49">
                  <c:v>7.8562327343595886</c:v>
                </c:pt>
                <c:pt idx="50">
                  <c:v>7.979228610921135</c:v>
                </c:pt>
                <c:pt idx="51">
                  <c:v>8.1020357708534778</c:v>
                </c:pt>
                <c:pt idx="52">
                  <c:v>8.2246557059055405</c:v>
                </c:pt>
                <c:pt idx="53">
                  <c:v>8.3470899515026336</c:v>
                </c:pt>
                <c:pt idx="54">
                  <c:v>8.4693400845317033</c:v>
                </c:pt>
                <c:pt idx="55">
                  <c:v>8.5914077211118958</c:v>
                </c:pt>
                <c:pt idx="56">
                  <c:v>8.7132945143568428</c:v>
                </c:pt>
                <c:pt idx="57">
                  <c:v>8.8350021521348907</c:v>
                </c:pt>
                <c:pt idx="58">
                  <c:v>8.9565323548332145</c:v>
                </c:pt>
                <c:pt idx="59">
                  <c:v>9.0778868731315683</c:v>
                </c:pt>
                <c:pt idx="60">
                  <c:v>9.1990674857911294</c:v>
                </c:pt>
                <c:pt idx="61">
                  <c:v>9.3200759974636007</c:v>
                </c:pt>
                <c:pt idx="62">
                  <c:v>9.4409142365254546</c:v>
                </c:pt>
                <c:pt idx="63">
                  <c:v>9.5615840529418907</c:v>
                </c:pt>
                <c:pt idx="64">
                  <c:v>9.6820873161647825</c:v>
                </c:pt>
                <c:pt idx="65">
                  <c:v>9.8024259130685198</c:v>
                </c:pt>
                <c:pt idx="66">
                  <c:v>9.9226017459274001</c:v>
                </c:pt>
                <c:pt idx="67">
                  <c:v>10.042616730437835</c:v>
                </c:pt>
                <c:pt idx="68">
                  <c:v>10.162472793788385</c:v>
                </c:pt>
                <c:pt idx="69">
                  <c:v>10.282171872780248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62-41FB-B09D-33AEE85255DD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Sheet2_HID!xdata2</c:f>
              <c:numCache>
                <c:formatCode>General</c:formatCode>
                <c:ptCount val="70"/>
                <c:pt idx="0">
                  <c:v>2.8924606649520701</c:v>
                </c:pt>
                <c:pt idx="1">
                  <c:v>3.0266053732062921</c:v>
                </c:pt>
                <c:pt idx="2">
                  <c:v>3.1607500814605141</c:v>
                </c:pt>
                <c:pt idx="3">
                  <c:v>3.294894789714736</c:v>
                </c:pt>
                <c:pt idx="4">
                  <c:v>3.429039497968958</c:v>
                </c:pt>
                <c:pt idx="5">
                  <c:v>3.56318420622318</c:v>
                </c:pt>
                <c:pt idx="6">
                  <c:v>3.697328914477402</c:v>
                </c:pt>
                <c:pt idx="7">
                  <c:v>3.8314736227316244</c:v>
                </c:pt>
                <c:pt idx="8">
                  <c:v>3.9656183309858459</c:v>
                </c:pt>
                <c:pt idx="9">
                  <c:v>4.0997630392400684</c:v>
                </c:pt>
                <c:pt idx="10">
                  <c:v>4.2339077474942899</c:v>
                </c:pt>
                <c:pt idx="11">
                  <c:v>4.3680524557485123</c:v>
                </c:pt>
                <c:pt idx="12">
                  <c:v>4.5021971640027338</c:v>
                </c:pt>
                <c:pt idx="13">
                  <c:v>4.6363418722569563</c:v>
                </c:pt>
                <c:pt idx="14">
                  <c:v>4.7704865805111787</c:v>
                </c:pt>
                <c:pt idx="15">
                  <c:v>4.9046312887654002</c:v>
                </c:pt>
                <c:pt idx="16">
                  <c:v>5.0387759970196218</c:v>
                </c:pt>
                <c:pt idx="17">
                  <c:v>5.1729207052738442</c:v>
                </c:pt>
                <c:pt idx="18">
                  <c:v>5.3070654135280666</c:v>
                </c:pt>
                <c:pt idx="19">
                  <c:v>5.4412101217822881</c:v>
                </c:pt>
                <c:pt idx="20">
                  <c:v>5.5753548300365097</c:v>
                </c:pt>
                <c:pt idx="21">
                  <c:v>5.7094995382907321</c:v>
                </c:pt>
                <c:pt idx="22">
                  <c:v>5.8436442465449545</c:v>
                </c:pt>
                <c:pt idx="23">
                  <c:v>5.977788954799176</c:v>
                </c:pt>
                <c:pt idx="24">
                  <c:v>6.1119336630533985</c:v>
                </c:pt>
                <c:pt idx="25">
                  <c:v>6.24607837130762</c:v>
                </c:pt>
                <c:pt idx="26">
                  <c:v>6.3802230795618424</c:v>
                </c:pt>
                <c:pt idx="27">
                  <c:v>6.5143677878160648</c:v>
                </c:pt>
                <c:pt idx="28">
                  <c:v>6.6485124960702864</c:v>
                </c:pt>
                <c:pt idx="29">
                  <c:v>6.7826572043245079</c:v>
                </c:pt>
                <c:pt idx="30">
                  <c:v>6.9168019125787303</c:v>
                </c:pt>
                <c:pt idx="31">
                  <c:v>7.0509466208329519</c:v>
                </c:pt>
                <c:pt idx="32">
                  <c:v>7.1850913290871743</c:v>
                </c:pt>
                <c:pt idx="33">
                  <c:v>7.3192360373413967</c:v>
                </c:pt>
                <c:pt idx="34">
                  <c:v>7.4533807455956183</c:v>
                </c:pt>
                <c:pt idx="35">
                  <c:v>7.5875254538498407</c:v>
                </c:pt>
                <c:pt idx="36">
                  <c:v>7.7216701621040622</c:v>
                </c:pt>
                <c:pt idx="37">
                  <c:v>7.8558148703582846</c:v>
                </c:pt>
                <c:pt idx="38">
                  <c:v>7.9899595786125062</c:v>
                </c:pt>
                <c:pt idx="39">
                  <c:v>8.1241042868667286</c:v>
                </c:pt>
                <c:pt idx="40">
                  <c:v>8.258248995120951</c:v>
                </c:pt>
                <c:pt idx="41">
                  <c:v>8.3923937033751734</c:v>
                </c:pt>
                <c:pt idx="42">
                  <c:v>8.5265384116293941</c:v>
                </c:pt>
                <c:pt idx="43">
                  <c:v>8.6606831198836165</c:v>
                </c:pt>
                <c:pt idx="44">
                  <c:v>8.7948278281378371</c:v>
                </c:pt>
                <c:pt idx="45">
                  <c:v>8.9289725363920596</c:v>
                </c:pt>
                <c:pt idx="46">
                  <c:v>9.063117244646282</c:v>
                </c:pt>
                <c:pt idx="47">
                  <c:v>9.1972619529005044</c:v>
                </c:pt>
                <c:pt idx="48">
                  <c:v>9.3314066611547268</c:v>
                </c:pt>
                <c:pt idx="49">
                  <c:v>9.4655513694089493</c:v>
                </c:pt>
                <c:pt idx="50">
                  <c:v>9.5996960776631717</c:v>
                </c:pt>
                <c:pt idx="51">
                  <c:v>9.7338407859173923</c:v>
                </c:pt>
                <c:pt idx="52">
                  <c:v>9.8679854941716147</c:v>
                </c:pt>
                <c:pt idx="53">
                  <c:v>10.002130202425835</c:v>
                </c:pt>
                <c:pt idx="54">
                  <c:v>10.136274910680058</c:v>
                </c:pt>
                <c:pt idx="55">
                  <c:v>10.27041961893428</c:v>
                </c:pt>
                <c:pt idx="56">
                  <c:v>10.404564327188503</c:v>
                </c:pt>
                <c:pt idx="57">
                  <c:v>10.538709035442725</c:v>
                </c:pt>
                <c:pt idx="58">
                  <c:v>10.672853743696948</c:v>
                </c:pt>
                <c:pt idx="59">
                  <c:v>10.806998451951168</c:v>
                </c:pt>
                <c:pt idx="60">
                  <c:v>10.941143160205391</c:v>
                </c:pt>
                <c:pt idx="61">
                  <c:v>11.075287868459613</c:v>
                </c:pt>
                <c:pt idx="62">
                  <c:v>11.209432576713834</c:v>
                </c:pt>
                <c:pt idx="63">
                  <c:v>11.343577284968056</c:v>
                </c:pt>
                <c:pt idx="64">
                  <c:v>11.477721993222278</c:v>
                </c:pt>
                <c:pt idx="65">
                  <c:v>11.611866701476501</c:v>
                </c:pt>
                <c:pt idx="66">
                  <c:v>11.746011409730723</c:v>
                </c:pt>
                <c:pt idx="67">
                  <c:v>11.880156117984944</c:v>
                </c:pt>
                <c:pt idx="68">
                  <c:v>12.014300826239166</c:v>
                </c:pt>
                <c:pt idx="69">
                  <c:v>12.148445534493389</c:v>
                </c:pt>
              </c:numCache>
            </c:numRef>
          </c:xVal>
          <c:yVal>
            <c:numRef>
              <c:f>Sheet2_HID!ydata2</c:f>
              <c:numCache>
                <c:formatCode>General</c:formatCode>
                <c:ptCount val="70"/>
                <c:pt idx="0">
                  <c:v>4.6848502507303573</c:v>
                </c:pt>
                <c:pt idx="1">
                  <c:v>4.8127110619289208</c:v>
                </c:pt>
                <c:pt idx="2">
                  <c:v>4.9407678452139212</c:v>
                </c:pt>
                <c:pt idx="3">
                  <c:v>5.0690226180229159</c:v>
                </c:pt>
                <c:pt idx="4">
                  <c:v>5.1974773586207776</c:v>
                </c:pt>
                <c:pt idx="5">
                  <c:v>5.3261340032127427</c:v>
                </c:pt>
                <c:pt idx="6">
                  <c:v>5.4549944430503921</c:v>
                </c:pt>
                <c:pt idx="7">
                  <c:v>5.58406052153906</c:v>
                </c:pt>
                <c:pt idx="8">
                  <c:v>5.7133340313555125</c:v>
                </c:pt>
                <c:pt idx="9">
                  <c:v>5.8428167115850345</c:v>
                </c:pt>
                <c:pt idx="10">
                  <c:v>5.9725102448873484</c:v>
                </c:pt>
                <c:pt idx="11">
                  <c:v>6.1024162547010157</c:v>
                </c:pt>
                <c:pt idx="12">
                  <c:v>6.2325363024961122</c:v>
                </c:pt>
                <c:pt idx="13">
                  <c:v>6.3628718850851511</c:v>
                </c:pt>
                <c:pt idx="14">
                  <c:v>6.4934244320022056</c:v>
                </c:pt>
                <c:pt idx="15">
                  <c:v>6.6241953029602705</c:v>
                </c:pt>
                <c:pt idx="16">
                  <c:v>6.7551857853967761</c:v>
                </c:pt>
                <c:pt idx="17">
                  <c:v>6.8863970921170674</c:v>
                </c:pt>
                <c:pt idx="18">
                  <c:v>7.0178303590454743</c:v>
                </c:pt>
                <c:pt idx="19">
                  <c:v>7.1494866430933195</c:v>
                </c:pt>
                <c:pt idx="20">
                  <c:v>7.2813669201529105</c:v>
                </c:pt>
                <c:pt idx="21">
                  <c:v>7.4134720832261287</c:v>
                </c:pt>
                <c:pt idx="22">
                  <c:v>7.5458029406958147</c:v>
                </c:pt>
                <c:pt idx="23">
                  <c:v>7.6783602147476042</c:v>
                </c:pt>
                <c:pt idx="24">
                  <c:v>7.8111445399492823</c:v>
                </c:pt>
                <c:pt idx="25">
                  <c:v>7.9441564619940994</c:v>
                </c:pt>
                <c:pt idx="26">
                  <c:v>8.0773964366138173</c:v>
                </c:pt>
                <c:pt idx="27">
                  <c:v>8.2108648286664678</c:v>
                </c:pt>
                <c:pt idx="28">
                  <c:v>8.3445619114030904</c:v>
                </c:pt>
                <c:pt idx="29">
                  <c:v>8.4784878659168719</c:v>
                </c:pt>
                <c:pt idx="30">
                  <c:v>8.6126427807772501</c:v>
                </c:pt>
                <c:pt idx="31">
                  <c:v>8.7470266518507369</c:v>
                </c:pt>
                <c:pt idx="32">
                  <c:v>8.8816393823092881</c:v>
                </c:pt>
                <c:pt idx="33">
                  <c:v>9.0164807828261697</c:v>
                </c:pt>
                <c:pt idx="34">
                  <c:v>9.1515505719584187</c:v>
                </c:pt>
                <c:pt idx="35">
                  <c:v>9.2868483767141008</c:v>
                </c:pt>
                <c:pt idx="36">
                  <c:v>9.4223737333016615</c:v>
                </c:pt>
                <c:pt idx="37">
                  <c:v>9.5581260880579375</c:v>
                </c:pt>
                <c:pt idx="38">
                  <c:v>9.6941047985504518</c:v>
                </c:pt>
                <c:pt idx="39">
                  <c:v>9.8303091348489673</c:v>
                </c:pt>
                <c:pt idx="40">
                  <c:v>9.9667382809604366</c:v>
                </c:pt>
                <c:pt idx="41">
                  <c:v>10.103391336420877</c:v>
                </c:pt>
                <c:pt idx="42">
                  <c:v>10.240267318037043</c:v>
                </c:pt>
                <c:pt idx="43">
                  <c:v>10.37736516177017</c:v>
                </c:pt>
                <c:pt idx="44">
                  <c:v>10.514683724753564</c:v>
                </c:pt>
                <c:pt idx="45">
                  <c:v>10.652221787435405</c:v>
                </c:pt>
                <c:pt idx="46">
                  <c:v>10.789978055837643</c:v>
                </c:pt>
                <c:pt idx="47">
                  <c:v>10.927951163921652</c:v>
                </c:pt>
                <c:pt idx="48">
                  <c:v>11.066139676050961</c:v>
                </c:pt>
                <c:pt idx="49">
                  <c:v>11.204542089541299</c:v>
                </c:pt>
                <c:pt idx="50">
                  <c:v>11.343156837287932</c:v>
                </c:pt>
                <c:pt idx="51">
                  <c:v>11.481982290460357</c:v>
                </c:pt>
                <c:pt idx="52">
                  <c:v>11.621016761254321</c:v>
                </c:pt>
                <c:pt idx="53">
                  <c:v>11.760258505691251</c:v>
                </c:pt>
                <c:pt idx="54">
                  <c:v>11.899705726455299</c:v>
                </c:pt>
                <c:pt idx="55">
                  <c:v>12.039356575758349</c:v>
                </c:pt>
                <c:pt idx="56">
                  <c:v>12.179209158223642</c:v>
                </c:pt>
                <c:pt idx="57">
                  <c:v>12.319261533778832</c:v>
                </c:pt>
                <c:pt idx="58">
                  <c:v>12.459511720549719</c:v>
                </c:pt>
                <c:pt idx="59">
                  <c:v>12.599957697746172</c:v>
                </c:pt>
                <c:pt idx="60">
                  <c:v>12.740597408532203</c:v>
                </c:pt>
                <c:pt idx="61">
                  <c:v>12.881428762872478</c:v>
                </c:pt>
                <c:pt idx="62">
                  <c:v>13.022449640348114</c:v>
                </c:pt>
                <c:pt idx="63">
                  <c:v>13.163657892934939</c:v>
                </c:pt>
                <c:pt idx="64">
                  <c:v>13.305051347737933</c:v>
                </c:pt>
                <c:pt idx="65">
                  <c:v>13.446627809676034</c:v>
                </c:pt>
                <c:pt idx="66">
                  <c:v>13.588385064111947</c:v>
                </c:pt>
                <c:pt idx="67">
                  <c:v>13.730320879422134</c:v>
                </c:pt>
                <c:pt idx="68">
                  <c:v>13.872433009502597</c:v>
                </c:pt>
                <c:pt idx="69">
                  <c:v>14.01471919620653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62-41FB-B09D-33AEE85255DD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A62-41FB-B09D-33AEE8525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94600"/>
        <c:axId val="1155823760"/>
      </c:scatterChart>
      <c:valAx>
        <c:axId val="1155794600"/>
        <c:scaling>
          <c:orientation val="minMax"/>
          <c:max val="1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Pred(Satisfaction)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823760"/>
        <c:crosses val="autoZero"/>
        <c:crossBetween val="midCat"/>
      </c:valAx>
      <c:valAx>
        <c:axId val="1155823760"/>
        <c:scaling>
          <c:orientation val="minMax"/>
          <c:max val="16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79460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Satisfaction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5'!$A$122:$A$153</c:f>
              <c:strCache>
                <c:ptCount val="32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</c:strCache>
            </c:strRef>
          </c:cat>
          <c:val>
            <c:numRef>
              <c:f>'Linear Regression Output 5'!$F$122:$F$153</c:f>
              <c:numCache>
                <c:formatCode>0.000</c:formatCode>
                <c:ptCount val="32"/>
                <c:pt idx="0">
                  <c:v>0.12471852834190875</c:v>
                </c:pt>
                <c:pt idx="1">
                  <c:v>-0.76256304387660578</c:v>
                </c:pt>
                <c:pt idx="2">
                  <c:v>-3.4182389859229098E-3</c:v>
                </c:pt>
                <c:pt idx="3">
                  <c:v>-0.92510191470640102</c:v>
                </c:pt>
                <c:pt idx="4">
                  <c:v>-0.15324280250779407</c:v>
                </c:pt>
                <c:pt idx="5">
                  <c:v>-0.39270112276092067</c:v>
                </c:pt>
                <c:pt idx="6">
                  <c:v>-0.96313104580761022</c:v>
                </c:pt>
                <c:pt idx="7">
                  <c:v>2.0740343102116459</c:v>
                </c:pt>
                <c:pt idx="8">
                  <c:v>0.5673056911426656</c:v>
                </c:pt>
                <c:pt idx="9">
                  <c:v>-9.1972547903646562E-2</c:v>
                </c:pt>
                <c:pt idx="10">
                  <c:v>4.4716303956795989E-2</c:v>
                </c:pt>
                <c:pt idx="11">
                  <c:v>0.92367004961323618</c:v>
                </c:pt>
                <c:pt idx="12">
                  <c:v>-0.11124243525723709</c:v>
                </c:pt>
                <c:pt idx="13">
                  <c:v>-0.45007968251323099</c:v>
                </c:pt>
                <c:pt idx="14">
                  <c:v>-0.14566907777773347</c:v>
                </c:pt>
                <c:pt idx="15">
                  <c:v>0.44787026710154604</c:v>
                </c:pt>
                <c:pt idx="16">
                  <c:v>-1.3132380769265262</c:v>
                </c:pt>
                <c:pt idx="17">
                  <c:v>-0.35249054490741255</c:v>
                </c:pt>
                <c:pt idx="18">
                  <c:v>-0.4666660196012406</c:v>
                </c:pt>
                <c:pt idx="19">
                  <c:v>1.711194507449866</c:v>
                </c:pt>
                <c:pt idx="20">
                  <c:v>0.81861070831499094</c:v>
                </c:pt>
                <c:pt idx="21">
                  <c:v>-7.6140084649823206E-2</c:v>
                </c:pt>
                <c:pt idx="22">
                  <c:v>-1.0283116631261566</c:v>
                </c:pt>
                <c:pt idx="23">
                  <c:v>2.1694595787873907</c:v>
                </c:pt>
                <c:pt idx="24">
                  <c:v>-0.43603707600120822</c:v>
                </c:pt>
                <c:pt idx="25">
                  <c:v>0.87336402628738485</c:v>
                </c:pt>
                <c:pt idx="26">
                  <c:v>0.20104859155023097</c:v>
                </c:pt>
                <c:pt idx="27">
                  <c:v>-0.12260767520571811</c:v>
                </c:pt>
                <c:pt idx="28">
                  <c:v>-7.2843259383690698E-2</c:v>
                </c:pt>
                <c:pt idx="29">
                  <c:v>-1.257768544267921</c:v>
                </c:pt>
                <c:pt idx="30">
                  <c:v>-0.14842302475327274</c:v>
                </c:pt>
                <c:pt idx="31">
                  <c:v>-0.68234468183761565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7-436A-A720-4889306C8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155832760"/>
        <c:axId val="1155829160"/>
      </c:barChart>
      <c:catAx>
        <c:axId val="1155832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155829160"/>
        <c:crosses val="autoZero"/>
        <c:auto val="1"/>
        <c:lblAlgn val="ctr"/>
        <c:lblOffset val="100"/>
        <c:noMultiLvlLbl val="0"/>
      </c:catAx>
      <c:valAx>
        <c:axId val="1155829160"/>
        <c:scaling>
          <c:orientation val="minMax"/>
          <c:max val="2.5"/>
          <c:min val="-2.5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15583276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Satisfaction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1B-47CB-89B4-1885BF9BAE22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51B-47CB-89B4-1885BF9BAE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0.19867251525091845</c:v>
                </c:pt>
                <c:pt idx="1">
                  <c:v>0.19867251525091845</c:v>
                </c:pt>
              </c:numLit>
            </c:plus>
            <c:minus>
              <c:numLit>
                <c:formatCode>General</c:formatCode>
                <c:ptCount val="2"/>
                <c:pt idx="0">
                  <c:v>0.19867251525091845</c:v>
                </c:pt>
                <c:pt idx="1">
                  <c:v>0.1986725152509185</c:v>
                </c:pt>
              </c:numLit>
            </c:minus>
          </c:errBars>
          <c:cat>
            <c:strRef>
              <c:f>'Linear Regression Output 6'!$A$71:$A$72</c:f>
              <c:strCache>
                <c:ptCount val="2"/>
                <c:pt idx="0">
                  <c:v>Ideas</c:v>
                </c:pt>
                <c:pt idx="1">
                  <c:v>Training</c:v>
                </c:pt>
              </c:strCache>
            </c:strRef>
          </c:cat>
          <c:val>
            <c:numRef>
              <c:f>'Linear Regression Output 6'!$B$71:$B$72</c:f>
              <c:numCache>
                <c:formatCode>0.000</c:formatCode>
                <c:ptCount val="2"/>
                <c:pt idx="0">
                  <c:v>0.67117056527152008</c:v>
                </c:pt>
                <c:pt idx="1">
                  <c:v>0.33783717727978047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B-47CB-89B4-1885BF9BA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86841240"/>
        <c:axId val="1086841600"/>
      </c:barChart>
      <c:catAx>
        <c:axId val="1086841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6841600"/>
        <c:crosses val="autoZero"/>
        <c:auto val="1"/>
        <c:lblAlgn val="ctr"/>
        <c:lblOffset val="100"/>
        <c:noMultiLvlLbl val="0"/>
      </c:catAx>
      <c:valAx>
        <c:axId val="1086841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684124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Satisfaction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6'!$C$98:$C$129</c:f>
              <c:numCache>
                <c:formatCode>0.000</c:formatCode>
                <c:ptCount val="32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4</c:v>
                </c:pt>
                <c:pt idx="11">
                  <c:v>9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9</c:v>
                </c:pt>
                <c:pt idx="24">
                  <c:v>8</c:v>
                </c:pt>
                <c:pt idx="25">
                  <c:v>5</c:v>
                </c:pt>
                <c:pt idx="26">
                  <c:v>6</c:v>
                </c:pt>
                <c:pt idx="27">
                  <c:v>10</c:v>
                </c:pt>
                <c:pt idx="28">
                  <c:v>9</c:v>
                </c:pt>
                <c:pt idx="29">
                  <c:v>3</c:v>
                </c:pt>
                <c:pt idx="30">
                  <c:v>6</c:v>
                </c:pt>
                <c:pt idx="31">
                  <c:v>8</c:v>
                </c:pt>
              </c:numCache>
            </c:numRef>
          </c:xVal>
          <c:yVal>
            <c:numRef>
              <c:f>'Linear Regression Output 6'!$F$98:$F$129</c:f>
              <c:numCache>
                <c:formatCode>0.000</c:formatCode>
                <c:ptCount val="32"/>
                <c:pt idx="0">
                  <c:v>0.89776146259868095</c:v>
                </c:pt>
                <c:pt idx="1">
                  <c:v>-0.6600626138103366</c:v>
                </c:pt>
                <c:pt idx="2">
                  <c:v>-1.9840032322623709E-2</c:v>
                </c:pt>
                <c:pt idx="3">
                  <c:v>-1.02311172598614</c:v>
                </c:pt>
                <c:pt idx="4">
                  <c:v>0.53471235042287857</c:v>
                </c:pt>
                <c:pt idx="5">
                  <c:v>-1.4718310369041538</c:v>
                </c:pt>
                <c:pt idx="6">
                  <c:v>-0.46855934324063758</c:v>
                </c:pt>
                <c:pt idx="7">
                  <c:v>1.7304264877837847</c:v>
                </c:pt>
                <c:pt idx="8">
                  <c:v>0.72715479412026862</c:v>
                </c:pt>
                <c:pt idx="9">
                  <c:v>0.53471235042287857</c:v>
                </c:pt>
                <c:pt idx="10">
                  <c:v>-0.33995132306647974</c:v>
                </c:pt>
                <c:pt idx="11">
                  <c:v>0.89776146259868095</c:v>
                </c:pt>
                <c:pt idx="12">
                  <c:v>0.72715479412026862</c:v>
                </c:pt>
                <c:pt idx="13">
                  <c:v>0.47087792689964469</c:v>
                </c:pt>
                <c:pt idx="14">
                  <c:v>0.4070435033764126</c:v>
                </c:pt>
                <c:pt idx="15">
                  <c:v>-0.59622819028710361</c:v>
                </c:pt>
                <c:pt idx="16">
                  <c:v>-0.85250505750772754</c:v>
                </c:pt>
                <c:pt idx="17">
                  <c:v>0.47087792689964469</c:v>
                </c:pt>
                <c:pt idx="18">
                  <c:v>-1.7919423276480115</c:v>
                </c:pt>
                <c:pt idx="19">
                  <c:v>2.4135868907034448</c:v>
                </c:pt>
                <c:pt idx="20">
                  <c:v>0.83392703907544885</c:v>
                </c:pt>
                <c:pt idx="21">
                  <c:v>-0.91633948103095963</c:v>
                </c:pt>
                <c:pt idx="22">
                  <c:v>-0.6600626138103366</c:v>
                </c:pt>
                <c:pt idx="23">
                  <c:v>1.4741496205631608</c:v>
                </c:pt>
                <c:pt idx="24">
                  <c:v>-1.4718310369041538</c:v>
                </c:pt>
                <c:pt idx="25">
                  <c:v>-1.9840032322623709E-2</c:v>
                </c:pt>
                <c:pt idx="26">
                  <c:v>-0.85250505750772754</c:v>
                </c:pt>
                <c:pt idx="27">
                  <c:v>0.53471235042287857</c:v>
                </c:pt>
                <c:pt idx="28">
                  <c:v>-0.46855934324063758</c:v>
                </c:pt>
                <c:pt idx="29">
                  <c:v>-0.6600626138103366</c:v>
                </c:pt>
                <c:pt idx="30">
                  <c:v>-0.1693446545880673</c:v>
                </c:pt>
                <c:pt idx="31">
                  <c:v>-0.21228247602001549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56-47D4-B053-8E5964236C4F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</c:v>
              </c:pt>
            </c:numLit>
          </c:xVal>
          <c:yVal>
            <c:numLit>
              <c:formatCode>General</c:formatCode>
              <c:ptCount val="1"/>
              <c:pt idx="0">
                <c:v>-0.6600626138103366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256-47D4-B053-8E5964236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809208"/>
        <c:axId val="1086811008"/>
      </c:scatterChart>
      <c:valAx>
        <c:axId val="1086809208"/>
        <c:scaling>
          <c:orientation val="minMax"/>
          <c:max val="10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6811008"/>
        <c:crosses val="autoZero"/>
        <c:crossBetween val="midCat"/>
      </c:valAx>
      <c:valAx>
        <c:axId val="1086811008"/>
        <c:scaling>
          <c:orientation val="minMax"/>
          <c:max val="2.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680920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Pred(Satisfaction)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6'!$D$98:$D$129</c:f>
              <c:numCache>
                <c:formatCode>0.000</c:formatCode>
                <c:ptCount val="32"/>
                <c:pt idx="0">
                  <c:v>8.1051661596068332</c:v>
                </c:pt>
                <c:pt idx="1">
                  <c:v>3.6579101333957427</c:v>
                </c:pt>
                <c:pt idx="2">
                  <c:v>5.0197753334893527</c:v>
                </c:pt>
                <c:pt idx="3">
                  <c:v>5.0197753334893527</c:v>
                </c:pt>
                <c:pt idx="4">
                  <c:v>9.4670313597004423</c:v>
                </c:pt>
                <c:pt idx="5">
                  <c:v>9.4670313597004423</c:v>
                </c:pt>
                <c:pt idx="6">
                  <c:v>9.4670313597004423</c:v>
                </c:pt>
                <c:pt idx="7">
                  <c:v>6.2752164755441147</c:v>
                </c:pt>
                <c:pt idx="8">
                  <c:v>6.2752164755441147</c:v>
                </c:pt>
                <c:pt idx="9">
                  <c:v>9.4670313597004423</c:v>
                </c:pt>
                <c:pt idx="10">
                  <c:v>4.3388427334425472</c:v>
                </c:pt>
                <c:pt idx="11">
                  <c:v>8.1051661596068332</c:v>
                </c:pt>
                <c:pt idx="12">
                  <c:v>6.2752164755441147</c:v>
                </c:pt>
                <c:pt idx="13">
                  <c:v>7.5306576175988766</c:v>
                </c:pt>
                <c:pt idx="14">
                  <c:v>5.5942838754973092</c:v>
                </c:pt>
                <c:pt idx="15">
                  <c:v>5.5942838754973092</c:v>
                </c:pt>
                <c:pt idx="16">
                  <c:v>6.8497250175520712</c:v>
                </c:pt>
                <c:pt idx="17">
                  <c:v>7.5306576175988766</c:v>
                </c:pt>
                <c:pt idx="18">
                  <c:v>8.7860987596536386</c:v>
                </c:pt>
                <c:pt idx="19">
                  <c:v>5.5942838754973092</c:v>
                </c:pt>
                <c:pt idx="20">
                  <c:v>6.1687924175052657</c:v>
                </c:pt>
                <c:pt idx="21">
                  <c:v>4.9133512754505038</c:v>
                </c:pt>
                <c:pt idx="22">
                  <c:v>3.6579101333957427</c:v>
                </c:pt>
                <c:pt idx="23">
                  <c:v>7.5306576175988766</c:v>
                </c:pt>
                <c:pt idx="24">
                  <c:v>9.4670313597004423</c:v>
                </c:pt>
                <c:pt idx="25">
                  <c:v>5.0197753334893527</c:v>
                </c:pt>
                <c:pt idx="26">
                  <c:v>6.8497250175520712</c:v>
                </c:pt>
                <c:pt idx="27">
                  <c:v>9.4670313597004423</c:v>
                </c:pt>
                <c:pt idx="28">
                  <c:v>9.4670313597004423</c:v>
                </c:pt>
                <c:pt idx="29">
                  <c:v>3.6579101333957427</c:v>
                </c:pt>
                <c:pt idx="30">
                  <c:v>6.1687924175052657</c:v>
                </c:pt>
                <c:pt idx="31">
                  <c:v>8.2115902176456821</c:v>
                </c:pt>
              </c:numCache>
            </c:numRef>
          </c:xVal>
          <c:yVal>
            <c:numRef>
              <c:f>'Linear Regression Output 6'!$F$98:$F$129</c:f>
              <c:numCache>
                <c:formatCode>0.000</c:formatCode>
                <c:ptCount val="32"/>
                <c:pt idx="0">
                  <c:v>0.89776146259868095</c:v>
                </c:pt>
                <c:pt idx="1">
                  <c:v>-0.6600626138103366</c:v>
                </c:pt>
                <c:pt idx="2">
                  <c:v>-1.9840032322623709E-2</c:v>
                </c:pt>
                <c:pt idx="3">
                  <c:v>-1.02311172598614</c:v>
                </c:pt>
                <c:pt idx="4">
                  <c:v>0.53471235042287857</c:v>
                </c:pt>
                <c:pt idx="5">
                  <c:v>-1.4718310369041538</c:v>
                </c:pt>
                <c:pt idx="6">
                  <c:v>-0.46855934324063758</c:v>
                </c:pt>
                <c:pt idx="7">
                  <c:v>1.7304264877837847</c:v>
                </c:pt>
                <c:pt idx="8">
                  <c:v>0.72715479412026862</c:v>
                </c:pt>
                <c:pt idx="9">
                  <c:v>0.53471235042287857</c:v>
                </c:pt>
                <c:pt idx="10">
                  <c:v>-0.33995132306647974</c:v>
                </c:pt>
                <c:pt idx="11">
                  <c:v>0.89776146259868095</c:v>
                </c:pt>
                <c:pt idx="12">
                  <c:v>0.72715479412026862</c:v>
                </c:pt>
                <c:pt idx="13">
                  <c:v>0.47087792689964469</c:v>
                </c:pt>
                <c:pt idx="14">
                  <c:v>0.4070435033764126</c:v>
                </c:pt>
                <c:pt idx="15">
                  <c:v>-0.59622819028710361</c:v>
                </c:pt>
                <c:pt idx="16">
                  <c:v>-0.85250505750772754</c:v>
                </c:pt>
                <c:pt idx="17">
                  <c:v>0.47087792689964469</c:v>
                </c:pt>
                <c:pt idx="18">
                  <c:v>-1.7919423276480115</c:v>
                </c:pt>
                <c:pt idx="19">
                  <c:v>2.4135868907034448</c:v>
                </c:pt>
                <c:pt idx="20">
                  <c:v>0.83392703907544885</c:v>
                </c:pt>
                <c:pt idx="21">
                  <c:v>-0.91633948103095963</c:v>
                </c:pt>
                <c:pt idx="22">
                  <c:v>-0.6600626138103366</c:v>
                </c:pt>
                <c:pt idx="23">
                  <c:v>1.4741496205631608</c:v>
                </c:pt>
                <c:pt idx="24">
                  <c:v>-1.4718310369041538</c:v>
                </c:pt>
                <c:pt idx="25">
                  <c:v>-1.9840032322623709E-2</c:v>
                </c:pt>
                <c:pt idx="26">
                  <c:v>-0.85250505750772754</c:v>
                </c:pt>
                <c:pt idx="27">
                  <c:v>0.53471235042287857</c:v>
                </c:pt>
                <c:pt idx="28">
                  <c:v>-0.46855934324063758</c:v>
                </c:pt>
                <c:pt idx="29">
                  <c:v>-0.6600626138103366</c:v>
                </c:pt>
                <c:pt idx="30">
                  <c:v>-0.1693446545880673</c:v>
                </c:pt>
                <c:pt idx="31">
                  <c:v>-0.21228247602001549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7-4F2D-B0E0-020CDD7448BA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3.6579101333957427</c:v>
              </c:pt>
            </c:numLit>
          </c:xVal>
          <c:yVal>
            <c:numLit>
              <c:formatCode>General</c:formatCode>
              <c:ptCount val="1"/>
              <c:pt idx="0">
                <c:v>-0.6600626138103366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C47-4F2D-B0E0-020CDD74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849960"/>
        <c:axId val="1083857160"/>
      </c:scatterChart>
      <c:valAx>
        <c:axId val="1083849960"/>
        <c:scaling>
          <c:orientation val="minMax"/>
          <c:max val="10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Pred(Satisfaction)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3857160"/>
        <c:crosses val="autoZero"/>
        <c:crossBetween val="midCat"/>
      </c:valAx>
      <c:valAx>
        <c:axId val="1083857160"/>
        <c:scaling>
          <c:orientation val="minMax"/>
          <c:max val="2.5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38499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Pred(Satisfaction) - Satisfaction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6'!$D$98:$D$129</c:f>
              <c:numCache>
                <c:formatCode>0.000</c:formatCode>
                <c:ptCount val="32"/>
                <c:pt idx="0">
                  <c:v>8.1051661596068332</c:v>
                </c:pt>
                <c:pt idx="1">
                  <c:v>3.6579101333957427</c:v>
                </c:pt>
                <c:pt idx="2">
                  <c:v>5.0197753334893527</c:v>
                </c:pt>
                <c:pt idx="3">
                  <c:v>5.0197753334893527</c:v>
                </c:pt>
                <c:pt idx="4">
                  <c:v>9.4670313597004423</c:v>
                </c:pt>
                <c:pt idx="5">
                  <c:v>9.4670313597004423</c:v>
                </c:pt>
                <c:pt idx="6">
                  <c:v>9.4670313597004423</c:v>
                </c:pt>
                <c:pt idx="7">
                  <c:v>6.2752164755441147</c:v>
                </c:pt>
                <c:pt idx="8">
                  <c:v>6.2752164755441147</c:v>
                </c:pt>
                <c:pt idx="9">
                  <c:v>9.4670313597004423</c:v>
                </c:pt>
                <c:pt idx="10">
                  <c:v>4.3388427334425472</c:v>
                </c:pt>
                <c:pt idx="11">
                  <c:v>8.1051661596068332</c:v>
                </c:pt>
                <c:pt idx="12">
                  <c:v>6.2752164755441147</c:v>
                </c:pt>
                <c:pt idx="13">
                  <c:v>7.5306576175988766</c:v>
                </c:pt>
                <c:pt idx="14">
                  <c:v>5.5942838754973092</c:v>
                </c:pt>
                <c:pt idx="15">
                  <c:v>5.5942838754973092</c:v>
                </c:pt>
                <c:pt idx="16">
                  <c:v>6.8497250175520712</c:v>
                </c:pt>
                <c:pt idx="17">
                  <c:v>7.5306576175988766</c:v>
                </c:pt>
                <c:pt idx="18">
                  <c:v>8.7860987596536386</c:v>
                </c:pt>
                <c:pt idx="19">
                  <c:v>5.5942838754973092</c:v>
                </c:pt>
                <c:pt idx="20">
                  <c:v>6.1687924175052657</c:v>
                </c:pt>
                <c:pt idx="21">
                  <c:v>4.9133512754505038</c:v>
                </c:pt>
                <c:pt idx="22">
                  <c:v>3.6579101333957427</c:v>
                </c:pt>
                <c:pt idx="23">
                  <c:v>7.5306576175988766</c:v>
                </c:pt>
                <c:pt idx="24">
                  <c:v>9.4670313597004423</c:v>
                </c:pt>
                <c:pt idx="25">
                  <c:v>5.0197753334893527</c:v>
                </c:pt>
                <c:pt idx="26">
                  <c:v>6.8497250175520712</c:v>
                </c:pt>
                <c:pt idx="27">
                  <c:v>9.4670313597004423</c:v>
                </c:pt>
                <c:pt idx="28">
                  <c:v>9.4670313597004423</c:v>
                </c:pt>
                <c:pt idx="29">
                  <c:v>3.6579101333957427</c:v>
                </c:pt>
                <c:pt idx="30">
                  <c:v>6.1687924175052657</c:v>
                </c:pt>
                <c:pt idx="31">
                  <c:v>8.2115902176456821</c:v>
                </c:pt>
              </c:numCache>
            </c:numRef>
          </c:xVal>
          <c:yVal>
            <c:numRef>
              <c:f>'Linear Regression Output 6'!$C$98:$C$129</c:f>
              <c:numCache>
                <c:formatCode>0.000</c:formatCode>
                <c:ptCount val="32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4</c:v>
                </c:pt>
                <c:pt idx="11">
                  <c:v>9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9</c:v>
                </c:pt>
                <c:pt idx="24">
                  <c:v>8</c:v>
                </c:pt>
                <c:pt idx="25">
                  <c:v>5</c:v>
                </c:pt>
                <c:pt idx="26">
                  <c:v>6</c:v>
                </c:pt>
                <c:pt idx="27">
                  <c:v>10</c:v>
                </c:pt>
                <c:pt idx="28">
                  <c:v>9</c:v>
                </c:pt>
                <c:pt idx="29">
                  <c:v>3</c:v>
                </c:pt>
                <c:pt idx="30">
                  <c:v>6</c:v>
                </c:pt>
                <c:pt idx="3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6-4197-8660-4148817F4CD3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3.6579101333957427</c:v>
              </c:pt>
            </c:numLit>
          </c:xVal>
          <c:yVal>
            <c:numLit>
              <c:formatCode>General</c:formatCode>
              <c:ptCount val="1"/>
              <c:pt idx="0">
                <c:v>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B76-4197-8660-4148817F4CD3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Sheet3_HID!xdata1</c:f>
              <c:numCache>
                <c:formatCode>General</c:formatCode>
                <c:ptCount val="70"/>
                <c:pt idx="0">
                  <c:v>3.4255452843435501</c:v>
                </c:pt>
                <c:pt idx="1">
                  <c:v>3.540543724159448</c:v>
                </c:pt>
                <c:pt idx="2">
                  <c:v>3.6555421639753463</c:v>
                </c:pt>
                <c:pt idx="3">
                  <c:v>3.7705406037912441</c:v>
                </c:pt>
                <c:pt idx="4">
                  <c:v>3.885539043607142</c:v>
                </c:pt>
                <c:pt idx="5">
                  <c:v>4.0005374834230398</c:v>
                </c:pt>
                <c:pt idx="6">
                  <c:v>4.1155359232389381</c:v>
                </c:pt>
                <c:pt idx="7">
                  <c:v>4.2305343630548364</c:v>
                </c:pt>
                <c:pt idx="8">
                  <c:v>4.3455328028707338</c:v>
                </c:pt>
                <c:pt idx="9">
                  <c:v>4.4605312426866321</c:v>
                </c:pt>
                <c:pt idx="10">
                  <c:v>4.5755296825025304</c:v>
                </c:pt>
                <c:pt idx="11">
                  <c:v>4.6905281223184279</c:v>
                </c:pt>
                <c:pt idx="12">
                  <c:v>4.8055265621343262</c:v>
                </c:pt>
                <c:pt idx="13">
                  <c:v>4.9205250019502245</c:v>
                </c:pt>
                <c:pt idx="14">
                  <c:v>5.0355234417661219</c:v>
                </c:pt>
                <c:pt idx="15">
                  <c:v>5.1505218815820202</c:v>
                </c:pt>
                <c:pt idx="16">
                  <c:v>5.2655203213979185</c:v>
                </c:pt>
                <c:pt idx="17">
                  <c:v>5.3805187612138159</c:v>
                </c:pt>
                <c:pt idx="18">
                  <c:v>5.4955172010297142</c:v>
                </c:pt>
                <c:pt idx="19">
                  <c:v>5.6105156408456125</c:v>
                </c:pt>
                <c:pt idx="20">
                  <c:v>5.7255140806615099</c:v>
                </c:pt>
                <c:pt idx="21">
                  <c:v>5.8405125204774082</c:v>
                </c:pt>
                <c:pt idx="22">
                  <c:v>5.9555109602933065</c:v>
                </c:pt>
                <c:pt idx="23">
                  <c:v>6.0705094001092039</c:v>
                </c:pt>
                <c:pt idx="24">
                  <c:v>6.1855078399251022</c:v>
                </c:pt>
                <c:pt idx="25">
                  <c:v>6.3005062797410005</c:v>
                </c:pt>
                <c:pt idx="26">
                  <c:v>6.4155047195568979</c:v>
                </c:pt>
                <c:pt idx="27">
                  <c:v>6.5305031593727954</c:v>
                </c:pt>
                <c:pt idx="28">
                  <c:v>6.6455015991886945</c:v>
                </c:pt>
                <c:pt idx="29">
                  <c:v>6.760500039004592</c:v>
                </c:pt>
                <c:pt idx="30">
                  <c:v>6.8754984788204894</c:v>
                </c:pt>
                <c:pt idx="31">
                  <c:v>6.9904969186363886</c:v>
                </c:pt>
                <c:pt idx="32">
                  <c:v>7.105495358452286</c:v>
                </c:pt>
                <c:pt idx="33">
                  <c:v>7.2204937982681834</c:v>
                </c:pt>
                <c:pt idx="34">
                  <c:v>7.3354922380840826</c:v>
                </c:pt>
                <c:pt idx="35">
                  <c:v>7.45049067789998</c:v>
                </c:pt>
                <c:pt idx="36">
                  <c:v>7.5654891177158783</c:v>
                </c:pt>
                <c:pt idx="37">
                  <c:v>7.6804875575317757</c:v>
                </c:pt>
                <c:pt idx="38">
                  <c:v>7.795485997347674</c:v>
                </c:pt>
                <c:pt idx="39">
                  <c:v>7.9104844371635723</c:v>
                </c:pt>
                <c:pt idx="40">
                  <c:v>8.0254828769794706</c:v>
                </c:pt>
                <c:pt idx="41">
                  <c:v>8.140481316795368</c:v>
                </c:pt>
                <c:pt idx="42">
                  <c:v>8.2554797566112654</c:v>
                </c:pt>
                <c:pt idx="43">
                  <c:v>8.3704781964271646</c:v>
                </c:pt>
                <c:pt idx="44">
                  <c:v>8.485476636243062</c:v>
                </c:pt>
                <c:pt idx="45">
                  <c:v>8.6004750760589594</c:v>
                </c:pt>
                <c:pt idx="46">
                  <c:v>8.7154735158748586</c:v>
                </c:pt>
                <c:pt idx="47">
                  <c:v>8.830471955690756</c:v>
                </c:pt>
                <c:pt idx="48">
                  <c:v>8.9454703955066535</c:v>
                </c:pt>
                <c:pt idx="49">
                  <c:v>9.0604688353225526</c:v>
                </c:pt>
                <c:pt idx="50">
                  <c:v>9.1754672751384501</c:v>
                </c:pt>
                <c:pt idx="51">
                  <c:v>9.2904657149543475</c:v>
                </c:pt>
                <c:pt idx="52">
                  <c:v>9.4054641547702467</c:v>
                </c:pt>
                <c:pt idx="53">
                  <c:v>9.5204625945861441</c:v>
                </c:pt>
                <c:pt idx="54">
                  <c:v>9.6354610344020415</c:v>
                </c:pt>
                <c:pt idx="55">
                  <c:v>9.7504594742179407</c:v>
                </c:pt>
                <c:pt idx="56">
                  <c:v>9.8654579140338381</c:v>
                </c:pt>
                <c:pt idx="57">
                  <c:v>9.9804563538497355</c:v>
                </c:pt>
                <c:pt idx="58">
                  <c:v>10.095454793665635</c:v>
                </c:pt>
                <c:pt idx="59">
                  <c:v>10.210453233481532</c:v>
                </c:pt>
                <c:pt idx="60">
                  <c:v>10.32545167329743</c:v>
                </c:pt>
                <c:pt idx="61">
                  <c:v>10.440450113113329</c:v>
                </c:pt>
                <c:pt idx="62">
                  <c:v>10.555448552929226</c:v>
                </c:pt>
                <c:pt idx="63">
                  <c:v>10.670446992745124</c:v>
                </c:pt>
                <c:pt idx="64">
                  <c:v>10.785445432561023</c:v>
                </c:pt>
                <c:pt idx="65">
                  <c:v>10.90044387237692</c:v>
                </c:pt>
                <c:pt idx="66">
                  <c:v>11.015442312192818</c:v>
                </c:pt>
                <c:pt idx="67">
                  <c:v>11.130440752008717</c:v>
                </c:pt>
                <c:pt idx="68">
                  <c:v>11.245439191824614</c:v>
                </c:pt>
                <c:pt idx="69">
                  <c:v>11.360437631640512</c:v>
                </c:pt>
              </c:numCache>
            </c:numRef>
          </c:xVal>
          <c:yVal>
            <c:numRef>
              <c:f>Sheet3_HID!ydata1</c:f>
              <c:numCache>
                <c:formatCode>General</c:formatCode>
                <c:ptCount val="70"/>
                <c:pt idx="0">
                  <c:v>1.2561377751917342</c:v>
                </c:pt>
                <c:pt idx="1">
                  <c:v>1.3775606879005142</c:v>
                </c:pt>
                <c:pt idx="2">
                  <c:v>1.4987819303550429</c:v>
                </c:pt>
                <c:pt idx="3">
                  <c:v>1.6197997520589267</c:v>
                </c:pt>
                <c:pt idx="4">
                  <c:v>1.7406124404113674</c:v>
                </c:pt>
                <c:pt idx="5">
                  <c:v>1.8612183228754526</c:v>
                </c:pt>
                <c:pt idx="6">
                  <c:v>1.9816157691381657</c:v>
                </c:pt>
                <c:pt idx="7">
                  <c:v>2.1018031932564383</c:v>
                </c:pt>
                <c:pt idx="8">
                  <c:v>2.2217790557834194</c:v>
                </c:pt>
                <c:pt idx="9">
                  <c:v>2.3415418658690133</c:v>
                </c:pt>
                <c:pt idx="10">
                  <c:v>2.4610901833286261</c:v>
                </c:pt>
                <c:pt idx="11">
                  <c:v>2.5804226206740135</c:v>
                </c:pt>
                <c:pt idx="12">
                  <c:v>2.6995378451000636</c:v>
                </c:pt>
                <c:pt idx="13">
                  <c:v>2.8184345804213184</c:v>
                </c:pt>
                <c:pt idx="14">
                  <c:v>2.9371116089521037</c:v>
                </c:pt>
                <c:pt idx="15">
                  <c:v>3.0555677733241415</c:v>
                </c:pt>
                <c:pt idx="16">
                  <c:v>3.1738019782356277</c:v>
                </c:pt>
                <c:pt idx="17">
                  <c:v>3.2918131921258715</c:v>
                </c:pt>
                <c:pt idx="18">
                  <c:v>3.4096004487697513</c:v>
                </c:pt>
                <c:pt idx="19">
                  <c:v>3.5271628487864115</c:v>
                </c:pt>
                <c:pt idx="20">
                  <c:v>3.6444995610568665</c:v>
                </c:pt>
                <c:pt idx="21">
                  <c:v>3.7616098240454217</c:v>
                </c:pt>
                <c:pt idx="22">
                  <c:v>3.8784929470200988</c:v>
                </c:pt>
                <c:pt idx="23">
                  <c:v>3.995148311167585</c:v>
                </c:pt>
                <c:pt idx="24">
                  <c:v>4.1115753705985671</c:v>
                </c:pt>
                <c:pt idx="25">
                  <c:v>4.2277736532396606</c:v>
                </c:pt>
                <c:pt idx="26">
                  <c:v>4.3437427616085955</c:v>
                </c:pt>
                <c:pt idx="27">
                  <c:v>4.4594823734696742</c:v>
                </c:pt>
                <c:pt idx="28">
                  <c:v>4.5749922423670109</c:v>
                </c:pt>
                <c:pt idx="29">
                  <c:v>4.6902721980334912</c:v>
                </c:pt>
                <c:pt idx="30">
                  <c:v>4.8053221466738893</c:v>
                </c:pt>
                <c:pt idx="31">
                  <c:v>4.9201420711210186</c:v>
                </c:pt>
                <c:pt idx="32">
                  <c:v>5.0347320308643182</c:v>
                </c:pt>
                <c:pt idx="33">
                  <c:v>5.1490921619507937</c:v>
                </c:pt>
                <c:pt idx="34">
                  <c:v>5.2632226767586543</c:v>
                </c:pt>
                <c:pt idx="35">
                  <c:v>5.3771238636445364</c:v>
                </c:pt>
                <c:pt idx="36">
                  <c:v>5.4907960864657097</c:v>
                </c:pt>
                <c:pt idx="37">
                  <c:v>5.6042397839790574</c:v>
                </c:pt>
                <c:pt idx="38">
                  <c:v>5.7174554691191819</c:v>
                </c:pt>
                <c:pt idx="39">
                  <c:v>5.8304437281583583</c:v>
                </c:pt>
                <c:pt idx="40">
                  <c:v>5.9432052197515493</c:v>
                </c:pt>
                <c:pt idx="41">
                  <c:v>6.055740673870055</c:v>
                </c:pt>
                <c:pt idx="42">
                  <c:v>6.1680508906277911</c:v>
                </c:pt>
                <c:pt idx="43">
                  <c:v>6.2801367390045204</c:v>
                </c:pt>
                <c:pt idx="44">
                  <c:v>6.3919991554707103</c:v>
                </c:pt>
                <c:pt idx="45">
                  <c:v>6.5036391425189883</c:v>
                </c:pt>
                <c:pt idx="46">
                  <c:v>6.615057767107416</c:v>
                </c:pt>
                <c:pt idx="47">
                  <c:v>6.7262561590200569</c:v>
                </c:pt>
                <c:pt idx="48">
                  <c:v>6.8372355091505161</c:v>
                </c:pt>
                <c:pt idx="49">
                  <c:v>6.947997067714283</c:v>
                </c:pt>
                <c:pt idx="50">
                  <c:v>7.0585421423958437</c:v>
                </c:pt>
                <c:pt idx="51">
                  <c:v>7.1688720964366652</c:v>
                </c:pt>
                <c:pt idx="52">
                  <c:v>7.2789883466701486</c:v>
                </c:pt>
                <c:pt idx="53">
                  <c:v>7.3888923615097539</c:v>
                </c:pt>
                <c:pt idx="54">
                  <c:v>7.4985856588964719</c:v>
                </c:pt>
                <c:pt idx="55">
                  <c:v>7.608069804211766</c:v>
                </c:pt>
                <c:pt idx="56">
                  <c:v>7.7173464081620828</c:v>
                </c:pt>
                <c:pt idx="57">
                  <c:v>7.826417124640936</c:v>
                </c:pt>
                <c:pt idx="58">
                  <c:v>7.9352836485744369</c:v>
                </c:pt>
                <c:pt idx="59">
                  <c:v>8.0439477137560118</c:v>
                </c:pt>
                <c:pt idx="60">
                  <c:v>8.1524110906759155</c:v>
                </c:pt>
                <c:pt idx="61">
                  <c:v>8.2606755843509383</c:v>
                </c:pt>
                <c:pt idx="62">
                  <c:v>8.3687430321594718</c:v>
                </c:pt>
                <c:pt idx="63">
                  <c:v>8.4766153016870103</c:v>
                </c:pt>
                <c:pt idx="64">
                  <c:v>8.5842942885867526</c:v>
                </c:pt>
                <c:pt idx="65">
                  <c:v>8.6917819144598791</c:v>
                </c:pt>
                <c:pt idx="66">
                  <c:v>8.7990801247597705</c:v>
                </c:pt>
                <c:pt idx="67">
                  <c:v>8.9061908867241488</c:v>
                </c:pt>
                <c:pt idx="68">
                  <c:v>9.0131161873388841</c:v>
                </c:pt>
                <c:pt idx="69">
                  <c:v>9.1198580313369781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76-4197-8660-4148817F4CD3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Sheet3_HID!xdata2</c:f>
              <c:numCache>
                <c:formatCode>General</c:formatCode>
                <c:ptCount val="70"/>
                <c:pt idx="0">
                  <c:v>2.92632810671659</c:v>
                </c:pt>
                <c:pt idx="1">
                  <c:v>3.0485615780922992</c:v>
                </c:pt>
                <c:pt idx="2">
                  <c:v>3.1707950494680079</c:v>
                </c:pt>
                <c:pt idx="3">
                  <c:v>3.2930285208437171</c:v>
                </c:pt>
                <c:pt idx="4">
                  <c:v>3.4152619922194258</c:v>
                </c:pt>
                <c:pt idx="5">
                  <c:v>3.537495463595135</c:v>
                </c:pt>
                <c:pt idx="6">
                  <c:v>3.6597289349708442</c:v>
                </c:pt>
                <c:pt idx="7">
                  <c:v>3.7819624063465529</c:v>
                </c:pt>
                <c:pt idx="8">
                  <c:v>3.9041958777222621</c:v>
                </c:pt>
                <c:pt idx="9">
                  <c:v>4.0264293490979712</c:v>
                </c:pt>
                <c:pt idx="10">
                  <c:v>4.14866282047368</c:v>
                </c:pt>
                <c:pt idx="11">
                  <c:v>4.2708962918493896</c:v>
                </c:pt>
                <c:pt idx="12">
                  <c:v>4.3931297632250983</c:v>
                </c:pt>
                <c:pt idx="13">
                  <c:v>4.515363234600807</c:v>
                </c:pt>
                <c:pt idx="14">
                  <c:v>4.6375967059765166</c:v>
                </c:pt>
                <c:pt idx="15">
                  <c:v>4.7598301773522254</c:v>
                </c:pt>
                <c:pt idx="16">
                  <c:v>4.8820636487279341</c:v>
                </c:pt>
                <c:pt idx="17">
                  <c:v>5.0042971201036437</c:v>
                </c:pt>
                <c:pt idx="18">
                  <c:v>5.1265305914793515</c:v>
                </c:pt>
                <c:pt idx="19">
                  <c:v>5.2487640628550611</c:v>
                </c:pt>
                <c:pt idx="20">
                  <c:v>5.3709975342307699</c:v>
                </c:pt>
                <c:pt idx="21">
                  <c:v>5.4932310056064786</c:v>
                </c:pt>
                <c:pt idx="22">
                  <c:v>5.6154644769821882</c:v>
                </c:pt>
                <c:pt idx="23">
                  <c:v>5.7376979483578969</c:v>
                </c:pt>
                <c:pt idx="24">
                  <c:v>5.8599314197336057</c:v>
                </c:pt>
                <c:pt idx="25">
                  <c:v>5.9821648911093153</c:v>
                </c:pt>
                <c:pt idx="26">
                  <c:v>6.104398362485024</c:v>
                </c:pt>
                <c:pt idx="27">
                  <c:v>6.2266318338607327</c:v>
                </c:pt>
                <c:pt idx="28">
                  <c:v>6.3488653052364423</c:v>
                </c:pt>
                <c:pt idx="29">
                  <c:v>6.471098776612151</c:v>
                </c:pt>
                <c:pt idx="30">
                  <c:v>6.5933322479878598</c:v>
                </c:pt>
                <c:pt idx="31">
                  <c:v>6.7155657193635694</c:v>
                </c:pt>
                <c:pt idx="32">
                  <c:v>6.8377991907392781</c:v>
                </c:pt>
                <c:pt idx="33">
                  <c:v>6.9600326621149868</c:v>
                </c:pt>
                <c:pt idx="34">
                  <c:v>7.0822661334906964</c:v>
                </c:pt>
                <c:pt idx="35">
                  <c:v>7.2044996048664052</c:v>
                </c:pt>
                <c:pt idx="36">
                  <c:v>7.3267330762421139</c:v>
                </c:pt>
                <c:pt idx="37">
                  <c:v>7.4489665476178235</c:v>
                </c:pt>
                <c:pt idx="38">
                  <c:v>7.5712000189935322</c:v>
                </c:pt>
                <c:pt idx="39">
                  <c:v>7.693433490369241</c:v>
                </c:pt>
                <c:pt idx="40">
                  <c:v>7.8156669617449497</c:v>
                </c:pt>
                <c:pt idx="41">
                  <c:v>7.9379004331206593</c:v>
                </c:pt>
                <c:pt idx="42">
                  <c:v>8.060133904496368</c:v>
                </c:pt>
                <c:pt idx="43">
                  <c:v>8.1823673758720759</c:v>
                </c:pt>
                <c:pt idx="44">
                  <c:v>8.3046008472477872</c:v>
                </c:pt>
                <c:pt idx="45">
                  <c:v>8.4268343186234951</c:v>
                </c:pt>
                <c:pt idx="46">
                  <c:v>8.5490677899992029</c:v>
                </c:pt>
                <c:pt idx="47">
                  <c:v>8.6713012613749143</c:v>
                </c:pt>
                <c:pt idx="48">
                  <c:v>8.7935347327506221</c:v>
                </c:pt>
                <c:pt idx="49">
                  <c:v>8.91576820412633</c:v>
                </c:pt>
                <c:pt idx="50">
                  <c:v>9.0380016755020414</c:v>
                </c:pt>
                <c:pt idx="51">
                  <c:v>9.1602351468777492</c:v>
                </c:pt>
                <c:pt idx="52">
                  <c:v>9.282468618253457</c:v>
                </c:pt>
                <c:pt idx="53">
                  <c:v>9.4047020896291684</c:v>
                </c:pt>
                <c:pt idx="54">
                  <c:v>9.5269355610048763</c:v>
                </c:pt>
                <c:pt idx="55">
                  <c:v>9.6491690323805841</c:v>
                </c:pt>
                <c:pt idx="56">
                  <c:v>9.7714025037562955</c:v>
                </c:pt>
                <c:pt idx="57">
                  <c:v>9.8936359751320033</c:v>
                </c:pt>
                <c:pt idx="58">
                  <c:v>10.015869446507711</c:v>
                </c:pt>
                <c:pt idx="59">
                  <c:v>10.138102917883421</c:v>
                </c:pt>
                <c:pt idx="60">
                  <c:v>10.26033638925913</c:v>
                </c:pt>
                <c:pt idx="61">
                  <c:v>10.382569860634838</c:v>
                </c:pt>
                <c:pt idx="62">
                  <c:v>10.504803332010548</c:v>
                </c:pt>
                <c:pt idx="63">
                  <c:v>10.627036803386257</c:v>
                </c:pt>
                <c:pt idx="64">
                  <c:v>10.749270274761965</c:v>
                </c:pt>
                <c:pt idx="65">
                  <c:v>10.871503746137675</c:v>
                </c:pt>
                <c:pt idx="66">
                  <c:v>10.993737217513385</c:v>
                </c:pt>
                <c:pt idx="67">
                  <c:v>11.115970688889092</c:v>
                </c:pt>
                <c:pt idx="68">
                  <c:v>11.238204160264804</c:v>
                </c:pt>
                <c:pt idx="69">
                  <c:v>11.360437631640512</c:v>
                </c:pt>
              </c:numCache>
            </c:numRef>
          </c:xVal>
          <c:yVal>
            <c:numRef>
              <c:f>Sheet3_HID!ydata2</c:f>
              <c:numCache>
                <c:formatCode>General</c:formatCode>
                <c:ptCount val="70"/>
                <c:pt idx="0">
                  <c:v>5.1259182836402282</c:v>
                </c:pt>
                <c:pt idx="1">
                  <c:v>5.2404214561090843</c:v>
                </c:pt>
                <c:pt idx="2">
                  <c:v>5.355143586183388</c:v>
                </c:pt>
                <c:pt idx="3">
                  <c:v>5.4700869402233074</c:v>
                </c:pt>
                <c:pt idx="4">
                  <c:v>5.5852537478449085</c:v>
                </c:pt>
                <c:pt idx="5">
                  <c:v>5.7006461990094834</c:v>
                </c:pt>
                <c:pt idx="6">
                  <c:v>5.8162664410937452</c:v>
                </c:pt>
                <c:pt idx="7">
                  <c:v>5.932116575948351</c:v>
                </c:pt>
                <c:pt idx="8">
                  <c:v>6.0481986569525681</c:v>
                </c:pt>
                <c:pt idx="9">
                  <c:v>6.1645146860732352</c:v>
                </c:pt>
                <c:pt idx="10">
                  <c:v>6.2810666109364632</c:v>
                </c:pt>
                <c:pt idx="11">
                  <c:v>6.3978563219208384</c:v>
                </c:pt>
                <c:pt idx="12">
                  <c:v>6.5148856492810552</c:v>
                </c:pt>
                <c:pt idx="13">
                  <c:v>6.632156360311189</c:v>
                </c:pt>
                <c:pt idx="14">
                  <c:v>6.749670156556876</c:v>
                </c:pt>
                <c:pt idx="15">
                  <c:v>6.867428671085837</c:v>
                </c:pt>
                <c:pt idx="16">
                  <c:v>6.9854334658262083</c:v>
                </c:pt>
                <c:pt idx="17">
                  <c:v>7.1036860289821133</c:v>
                </c:pt>
                <c:pt idx="18">
                  <c:v>7.2221877725359054</c:v>
                </c:pt>
                <c:pt idx="19">
                  <c:v>7.3409400298463536</c:v>
                </c:pt>
                <c:pt idx="20">
                  <c:v>7.4599440533518457</c:v>
                </c:pt>
                <c:pt idx="21">
                  <c:v>7.5792010123875553</c:v>
                </c:pt>
                <c:pt idx="22">
                  <c:v>7.6987119911250694</c:v>
                </c:pt>
                <c:pt idx="23">
                  <c:v>7.8184779866427734</c:v>
                </c:pt>
                <c:pt idx="24">
                  <c:v>7.938499907134779</c:v>
                </c:pt>
                <c:pt idx="25">
                  <c:v>8.0587785702657584</c:v>
                </c:pt>
                <c:pt idx="26">
                  <c:v>8.1793147016785319</c:v>
                </c:pt>
                <c:pt idx="27">
                  <c:v>8.3001089336606757</c:v>
                </c:pt>
                <c:pt idx="28">
                  <c:v>8.4211618039758118</c:v>
                </c:pt>
                <c:pt idx="29">
                  <c:v>8.5424737548645648</c:v>
                </c:pt>
                <c:pt idx="30">
                  <c:v>8.6640451322195169</c:v>
                </c:pt>
                <c:pt idx="31">
                  <c:v>8.785876184937722</c:v>
                </c:pt>
                <c:pt idx="32">
                  <c:v>8.9079670644535831</c:v>
                </c:pt>
                <c:pt idx="33">
                  <c:v>9.0303178244541797</c:v>
                </c:pt>
                <c:pt idx="34">
                  <c:v>9.1529284207782453</c:v>
                </c:pt>
                <c:pt idx="35">
                  <c:v>9.2757987114992577</c:v>
                </c:pt>
                <c:pt idx="36">
                  <c:v>9.3989284571922962</c:v>
                </c:pt>
                <c:pt idx="37">
                  <c:v>9.5223173213834595</c:v>
                </c:pt>
                <c:pt idx="38">
                  <c:v>9.6459648711798991</c:v>
                </c:pt>
                <c:pt idx="39">
                  <c:v>9.7698705780777377</c:v>
                </c:pt>
                <c:pt idx="40">
                  <c:v>9.8940338189443331</c:v>
                </c:pt>
                <c:pt idx="41">
                  <c:v>10.018453877170682</c:v>
                </c:pt>
                <c:pt idx="42">
                  <c:v>10.143129943989013</c:v>
                </c:pt>
                <c:pt idx="43">
                  <c:v>10.268061119949991</c:v>
                </c:pt>
                <c:pt idx="44">
                  <c:v>10.393246416553293</c:v>
                </c:pt>
                <c:pt idx="45">
                  <c:v>10.518684758024783</c:v>
                </c:pt>
                <c:pt idx="46">
                  <c:v>10.644374983232996</c:v>
                </c:pt>
                <c:pt idx="47">
                  <c:v>10.770315847737109</c:v>
                </c:pt>
                <c:pt idx="48">
                  <c:v>10.896506025958235</c:v>
                </c:pt>
                <c:pt idx="49">
                  <c:v>11.022944113465515</c:v>
                </c:pt>
                <c:pt idx="50">
                  <c:v>11.149628629368092</c:v>
                </c:pt>
                <c:pt idx="51">
                  <c:v>11.276558018803929</c:v>
                </c:pt>
                <c:pt idx="52">
                  <c:v>11.403730655516227</c:v>
                </c:pt>
                <c:pt idx="53">
                  <c:v>11.531144844507981</c:v>
                </c:pt>
                <c:pt idx="54">
                  <c:v>11.658798824765256</c:v>
                </c:pt>
                <c:pt idx="55">
                  <c:v>11.786690772039762</c:v>
                </c:pt>
                <c:pt idx="56">
                  <c:v>11.914818801681221</c:v>
                </c:pt>
                <c:pt idx="57">
                  <c:v>12.043180971510276</c:v>
                </c:pt>
                <c:pt idx="58">
                  <c:v>12.171775284722733</c:v>
                </c:pt>
                <c:pt idx="59">
                  <c:v>12.300599692816142</c:v>
                </c:pt>
                <c:pt idx="60">
                  <c:v>12.429652098529983</c:v>
                </c:pt>
                <c:pt idx="61">
                  <c:v>12.558930358790935</c:v>
                </c:pt>
                <c:pt idx="62">
                  <c:v>12.68843228765509</c:v>
                </c:pt>
                <c:pt idx="63">
                  <c:v>12.818155659239212</c:v>
                </c:pt>
                <c:pt idx="64">
                  <c:v>12.948098210633601</c:v>
                </c:pt>
                <c:pt idx="65">
                  <c:v>13.078257644789435</c:v>
                </c:pt>
                <c:pt idx="66">
                  <c:v>13.208631633373887</c:v>
                </c:pt>
                <c:pt idx="67">
                  <c:v>13.339217819586759</c:v>
                </c:pt>
                <c:pt idx="68">
                  <c:v>13.470013820932765</c:v>
                </c:pt>
                <c:pt idx="69">
                  <c:v>13.601017231944045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76-4197-8660-4148817F4CD3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EB76-4197-8660-4148817F4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852480"/>
        <c:axId val="1083849240"/>
      </c:scatterChart>
      <c:valAx>
        <c:axId val="1083852480"/>
        <c:scaling>
          <c:orientation val="minMax"/>
          <c:max val="1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Pred(Satisfaction)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3849240"/>
        <c:crosses val="autoZero"/>
        <c:crossBetween val="midCat"/>
      </c:valAx>
      <c:valAx>
        <c:axId val="1083849240"/>
        <c:scaling>
          <c:orientation val="minMax"/>
          <c:max val="14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385248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Satisfaction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6'!$A$98:$A$129</c:f>
              <c:strCache>
                <c:ptCount val="32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</c:strCache>
            </c:strRef>
          </c:cat>
          <c:val>
            <c:numRef>
              <c:f>'Linear Regression Output 6'!$F$98:$F$129</c:f>
              <c:numCache>
                <c:formatCode>0.000</c:formatCode>
                <c:ptCount val="32"/>
                <c:pt idx="0">
                  <c:v>0.89776146259868095</c:v>
                </c:pt>
                <c:pt idx="1">
                  <c:v>-0.6600626138103366</c:v>
                </c:pt>
                <c:pt idx="2">
                  <c:v>-1.9840032322623709E-2</c:v>
                </c:pt>
                <c:pt idx="3">
                  <c:v>-1.02311172598614</c:v>
                </c:pt>
                <c:pt idx="4">
                  <c:v>0.53471235042287857</c:v>
                </c:pt>
                <c:pt idx="5">
                  <c:v>-1.4718310369041538</c:v>
                </c:pt>
                <c:pt idx="6">
                  <c:v>-0.46855934324063758</c:v>
                </c:pt>
                <c:pt idx="7">
                  <c:v>1.7304264877837847</c:v>
                </c:pt>
                <c:pt idx="8">
                  <c:v>0.72715479412026862</c:v>
                </c:pt>
                <c:pt idx="9">
                  <c:v>0.53471235042287857</c:v>
                </c:pt>
                <c:pt idx="10">
                  <c:v>-0.33995132306647974</c:v>
                </c:pt>
                <c:pt idx="11">
                  <c:v>0.89776146259868095</c:v>
                </c:pt>
                <c:pt idx="12">
                  <c:v>0.72715479412026862</c:v>
                </c:pt>
                <c:pt idx="13">
                  <c:v>0.47087792689964469</c:v>
                </c:pt>
                <c:pt idx="14">
                  <c:v>0.4070435033764126</c:v>
                </c:pt>
                <c:pt idx="15">
                  <c:v>-0.59622819028710361</c:v>
                </c:pt>
                <c:pt idx="16">
                  <c:v>-0.85250505750772754</c:v>
                </c:pt>
                <c:pt idx="17">
                  <c:v>0.47087792689964469</c:v>
                </c:pt>
                <c:pt idx="18">
                  <c:v>-1.7919423276480115</c:v>
                </c:pt>
                <c:pt idx="19">
                  <c:v>2.4135868907034448</c:v>
                </c:pt>
                <c:pt idx="20">
                  <c:v>0.83392703907544885</c:v>
                </c:pt>
                <c:pt idx="21">
                  <c:v>-0.91633948103095963</c:v>
                </c:pt>
                <c:pt idx="22">
                  <c:v>-0.6600626138103366</c:v>
                </c:pt>
                <c:pt idx="23">
                  <c:v>1.4741496205631608</c:v>
                </c:pt>
                <c:pt idx="24">
                  <c:v>-1.4718310369041538</c:v>
                </c:pt>
                <c:pt idx="25">
                  <c:v>-1.9840032322623709E-2</c:v>
                </c:pt>
                <c:pt idx="26">
                  <c:v>-0.85250505750772754</c:v>
                </c:pt>
                <c:pt idx="27">
                  <c:v>0.53471235042287857</c:v>
                </c:pt>
                <c:pt idx="28">
                  <c:v>-0.46855934324063758</c:v>
                </c:pt>
                <c:pt idx="29">
                  <c:v>-0.6600626138103366</c:v>
                </c:pt>
                <c:pt idx="30">
                  <c:v>-0.1693446545880673</c:v>
                </c:pt>
                <c:pt idx="31">
                  <c:v>-0.21228247602001549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0-43E3-86CF-5650AD2C3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671312792"/>
        <c:axId val="671313152"/>
      </c:barChart>
      <c:catAx>
        <c:axId val="671312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671313152"/>
        <c:crosses val="autoZero"/>
        <c:auto val="1"/>
        <c:lblAlgn val="ctr"/>
        <c:lblOffset val="100"/>
        <c:noMultiLvlLbl val="0"/>
      </c:catAx>
      <c:valAx>
        <c:axId val="671313152"/>
        <c:scaling>
          <c:orientation val="minMax"/>
          <c:max val="2.5"/>
          <c:min val="-2.5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671312792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Pred(Satisfaction) - Satisfaction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6'!$D$98:$D$129</c:f>
              <c:numCache>
                <c:formatCode>0.000</c:formatCode>
                <c:ptCount val="32"/>
                <c:pt idx="0">
                  <c:v>8.1051661596068332</c:v>
                </c:pt>
                <c:pt idx="1">
                  <c:v>3.6579101333957427</c:v>
                </c:pt>
                <c:pt idx="2">
                  <c:v>5.0197753334893527</c:v>
                </c:pt>
                <c:pt idx="3">
                  <c:v>5.0197753334893527</c:v>
                </c:pt>
                <c:pt idx="4">
                  <c:v>9.4670313597004423</c:v>
                </c:pt>
                <c:pt idx="5">
                  <c:v>9.4670313597004423</c:v>
                </c:pt>
                <c:pt idx="6">
                  <c:v>9.4670313597004423</c:v>
                </c:pt>
                <c:pt idx="7">
                  <c:v>6.2752164755441147</c:v>
                </c:pt>
                <c:pt idx="8">
                  <c:v>6.2752164755441147</c:v>
                </c:pt>
                <c:pt idx="9">
                  <c:v>9.4670313597004423</c:v>
                </c:pt>
                <c:pt idx="10">
                  <c:v>4.3388427334425472</c:v>
                </c:pt>
                <c:pt idx="11">
                  <c:v>8.1051661596068332</c:v>
                </c:pt>
                <c:pt idx="12">
                  <c:v>6.2752164755441147</c:v>
                </c:pt>
                <c:pt idx="13">
                  <c:v>7.5306576175988766</c:v>
                </c:pt>
                <c:pt idx="14">
                  <c:v>5.5942838754973092</c:v>
                </c:pt>
                <c:pt idx="15">
                  <c:v>5.5942838754973092</c:v>
                </c:pt>
                <c:pt idx="16">
                  <c:v>6.8497250175520712</c:v>
                </c:pt>
                <c:pt idx="17">
                  <c:v>7.5306576175988766</c:v>
                </c:pt>
                <c:pt idx="18">
                  <c:v>8.7860987596536386</c:v>
                </c:pt>
                <c:pt idx="19">
                  <c:v>5.5942838754973092</c:v>
                </c:pt>
                <c:pt idx="20">
                  <c:v>6.1687924175052657</c:v>
                </c:pt>
                <c:pt idx="21">
                  <c:v>4.9133512754505038</c:v>
                </c:pt>
                <c:pt idx="22">
                  <c:v>3.6579101333957427</c:v>
                </c:pt>
                <c:pt idx="23">
                  <c:v>7.5306576175988766</c:v>
                </c:pt>
                <c:pt idx="24">
                  <c:v>9.4670313597004423</c:v>
                </c:pt>
                <c:pt idx="25">
                  <c:v>5.0197753334893527</c:v>
                </c:pt>
                <c:pt idx="26">
                  <c:v>6.8497250175520712</c:v>
                </c:pt>
                <c:pt idx="27">
                  <c:v>9.4670313597004423</c:v>
                </c:pt>
                <c:pt idx="28">
                  <c:v>9.4670313597004423</c:v>
                </c:pt>
                <c:pt idx="29">
                  <c:v>3.6579101333957427</c:v>
                </c:pt>
                <c:pt idx="30">
                  <c:v>6.1687924175052657</c:v>
                </c:pt>
                <c:pt idx="31">
                  <c:v>8.2115902176456821</c:v>
                </c:pt>
              </c:numCache>
            </c:numRef>
          </c:xVal>
          <c:yVal>
            <c:numRef>
              <c:f>'Linear Regression Output 6'!$C$98:$C$129</c:f>
              <c:numCache>
                <c:formatCode>0.000</c:formatCode>
                <c:ptCount val="32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4</c:v>
                </c:pt>
                <c:pt idx="11">
                  <c:v>9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9</c:v>
                </c:pt>
                <c:pt idx="24">
                  <c:v>8</c:v>
                </c:pt>
                <c:pt idx="25">
                  <c:v>5</c:v>
                </c:pt>
                <c:pt idx="26">
                  <c:v>6</c:v>
                </c:pt>
                <c:pt idx="27">
                  <c:v>10</c:v>
                </c:pt>
                <c:pt idx="28">
                  <c:v>9</c:v>
                </c:pt>
                <c:pt idx="29">
                  <c:v>3</c:v>
                </c:pt>
                <c:pt idx="30">
                  <c:v>6</c:v>
                </c:pt>
                <c:pt idx="3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5-49FB-806B-ABC531297ADC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3.6579101333957427</c:v>
              </c:pt>
            </c:numLit>
          </c:xVal>
          <c:yVal>
            <c:numLit>
              <c:formatCode>General</c:formatCode>
              <c:ptCount val="1"/>
              <c:pt idx="0">
                <c:v>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AF5-49FB-806B-ABC531297ADC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Sheet3_HID!xdata1</c:f>
              <c:numCache>
                <c:formatCode>General</c:formatCode>
                <c:ptCount val="70"/>
                <c:pt idx="0">
                  <c:v>3.4255452843435501</c:v>
                </c:pt>
                <c:pt idx="1">
                  <c:v>3.540543724159448</c:v>
                </c:pt>
                <c:pt idx="2">
                  <c:v>3.6555421639753463</c:v>
                </c:pt>
                <c:pt idx="3">
                  <c:v>3.7705406037912441</c:v>
                </c:pt>
                <c:pt idx="4">
                  <c:v>3.885539043607142</c:v>
                </c:pt>
                <c:pt idx="5">
                  <c:v>4.0005374834230398</c:v>
                </c:pt>
                <c:pt idx="6">
                  <c:v>4.1155359232389381</c:v>
                </c:pt>
                <c:pt idx="7">
                  <c:v>4.2305343630548364</c:v>
                </c:pt>
                <c:pt idx="8">
                  <c:v>4.3455328028707338</c:v>
                </c:pt>
                <c:pt idx="9">
                  <c:v>4.4605312426866321</c:v>
                </c:pt>
                <c:pt idx="10">
                  <c:v>4.5755296825025304</c:v>
                </c:pt>
                <c:pt idx="11">
                  <c:v>4.6905281223184279</c:v>
                </c:pt>
                <c:pt idx="12">
                  <c:v>4.8055265621343262</c:v>
                </c:pt>
                <c:pt idx="13">
                  <c:v>4.9205250019502245</c:v>
                </c:pt>
                <c:pt idx="14">
                  <c:v>5.0355234417661219</c:v>
                </c:pt>
                <c:pt idx="15">
                  <c:v>5.1505218815820202</c:v>
                </c:pt>
                <c:pt idx="16">
                  <c:v>5.2655203213979185</c:v>
                </c:pt>
                <c:pt idx="17">
                  <c:v>5.3805187612138159</c:v>
                </c:pt>
                <c:pt idx="18">
                  <c:v>5.4955172010297142</c:v>
                </c:pt>
                <c:pt idx="19">
                  <c:v>5.6105156408456125</c:v>
                </c:pt>
                <c:pt idx="20">
                  <c:v>5.7255140806615099</c:v>
                </c:pt>
                <c:pt idx="21">
                  <c:v>5.8405125204774082</c:v>
                </c:pt>
                <c:pt idx="22">
                  <c:v>5.9555109602933065</c:v>
                </c:pt>
                <c:pt idx="23">
                  <c:v>6.0705094001092039</c:v>
                </c:pt>
                <c:pt idx="24">
                  <c:v>6.1855078399251022</c:v>
                </c:pt>
                <c:pt idx="25">
                  <c:v>6.3005062797410005</c:v>
                </c:pt>
                <c:pt idx="26">
                  <c:v>6.4155047195568979</c:v>
                </c:pt>
                <c:pt idx="27">
                  <c:v>6.5305031593727954</c:v>
                </c:pt>
                <c:pt idx="28">
                  <c:v>6.6455015991886945</c:v>
                </c:pt>
                <c:pt idx="29">
                  <c:v>6.760500039004592</c:v>
                </c:pt>
                <c:pt idx="30">
                  <c:v>6.8754984788204894</c:v>
                </c:pt>
                <c:pt idx="31">
                  <c:v>6.9904969186363886</c:v>
                </c:pt>
                <c:pt idx="32">
                  <c:v>7.105495358452286</c:v>
                </c:pt>
                <c:pt idx="33">
                  <c:v>7.2204937982681834</c:v>
                </c:pt>
                <c:pt idx="34">
                  <c:v>7.3354922380840826</c:v>
                </c:pt>
                <c:pt idx="35">
                  <c:v>7.45049067789998</c:v>
                </c:pt>
                <c:pt idx="36">
                  <c:v>7.5654891177158783</c:v>
                </c:pt>
                <c:pt idx="37">
                  <c:v>7.6804875575317757</c:v>
                </c:pt>
                <c:pt idx="38">
                  <c:v>7.795485997347674</c:v>
                </c:pt>
                <c:pt idx="39">
                  <c:v>7.9104844371635723</c:v>
                </c:pt>
                <c:pt idx="40">
                  <c:v>8.0254828769794706</c:v>
                </c:pt>
                <c:pt idx="41">
                  <c:v>8.140481316795368</c:v>
                </c:pt>
                <c:pt idx="42">
                  <c:v>8.2554797566112654</c:v>
                </c:pt>
                <c:pt idx="43">
                  <c:v>8.3704781964271646</c:v>
                </c:pt>
                <c:pt idx="44">
                  <c:v>8.485476636243062</c:v>
                </c:pt>
                <c:pt idx="45">
                  <c:v>8.6004750760589594</c:v>
                </c:pt>
                <c:pt idx="46">
                  <c:v>8.7154735158748586</c:v>
                </c:pt>
                <c:pt idx="47">
                  <c:v>8.830471955690756</c:v>
                </c:pt>
                <c:pt idx="48">
                  <c:v>8.9454703955066535</c:v>
                </c:pt>
                <c:pt idx="49">
                  <c:v>9.0604688353225526</c:v>
                </c:pt>
                <c:pt idx="50">
                  <c:v>9.1754672751384501</c:v>
                </c:pt>
                <c:pt idx="51">
                  <c:v>9.2904657149543475</c:v>
                </c:pt>
                <c:pt idx="52">
                  <c:v>9.4054641547702467</c:v>
                </c:pt>
                <c:pt idx="53">
                  <c:v>9.5204625945861441</c:v>
                </c:pt>
                <c:pt idx="54">
                  <c:v>9.6354610344020415</c:v>
                </c:pt>
                <c:pt idx="55">
                  <c:v>9.7504594742179407</c:v>
                </c:pt>
                <c:pt idx="56">
                  <c:v>9.8654579140338381</c:v>
                </c:pt>
                <c:pt idx="57">
                  <c:v>9.9804563538497355</c:v>
                </c:pt>
                <c:pt idx="58">
                  <c:v>10.095454793665635</c:v>
                </c:pt>
                <c:pt idx="59">
                  <c:v>10.210453233481532</c:v>
                </c:pt>
                <c:pt idx="60">
                  <c:v>10.32545167329743</c:v>
                </c:pt>
                <c:pt idx="61">
                  <c:v>10.440450113113329</c:v>
                </c:pt>
                <c:pt idx="62">
                  <c:v>10.555448552929226</c:v>
                </c:pt>
                <c:pt idx="63">
                  <c:v>10.670446992745124</c:v>
                </c:pt>
                <c:pt idx="64">
                  <c:v>10.785445432561023</c:v>
                </c:pt>
                <c:pt idx="65">
                  <c:v>10.90044387237692</c:v>
                </c:pt>
                <c:pt idx="66">
                  <c:v>11.015442312192818</c:v>
                </c:pt>
                <c:pt idx="67">
                  <c:v>11.130440752008717</c:v>
                </c:pt>
                <c:pt idx="68">
                  <c:v>11.245439191824614</c:v>
                </c:pt>
                <c:pt idx="69">
                  <c:v>11.360437631640512</c:v>
                </c:pt>
              </c:numCache>
            </c:numRef>
          </c:xVal>
          <c:yVal>
            <c:numRef>
              <c:f>Sheet3_HID!ydata1</c:f>
              <c:numCache>
                <c:formatCode>General</c:formatCode>
                <c:ptCount val="70"/>
                <c:pt idx="0">
                  <c:v>1.2561377751917342</c:v>
                </c:pt>
                <c:pt idx="1">
                  <c:v>1.3775606879005142</c:v>
                </c:pt>
                <c:pt idx="2">
                  <c:v>1.4987819303550429</c:v>
                </c:pt>
                <c:pt idx="3">
                  <c:v>1.6197997520589267</c:v>
                </c:pt>
                <c:pt idx="4">
                  <c:v>1.7406124404113674</c:v>
                </c:pt>
                <c:pt idx="5">
                  <c:v>1.8612183228754526</c:v>
                </c:pt>
                <c:pt idx="6">
                  <c:v>1.9816157691381657</c:v>
                </c:pt>
                <c:pt idx="7">
                  <c:v>2.1018031932564383</c:v>
                </c:pt>
                <c:pt idx="8">
                  <c:v>2.2217790557834194</c:v>
                </c:pt>
                <c:pt idx="9">
                  <c:v>2.3415418658690133</c:v>
                </c:pt>
                <c:pt idx="10">
                  <c:v>2.4610901833286261</c:v>
                </c:pt>
                <c:pt idx="11">
                  <c:v>2.5804226206740135</c:v>
                </c:pt>
                <c:pt idx="12">
                  <c:v>2.6995378451000636</c:v>
                </c:pt>
                <c:pt idx="13">
                  <c:v>2.8184345804213184</c:v>
                </c:pt>
                <c:pt idx="14">
                  <c:v>2.9371116089521037</c:v>
                </c:pt>
                <c:pt idx="15">
                  <c:v>3.0555677733241415</c:v>
                </c:pt>
                <c:pt idx="16">
                  <c:v>3.1738019782356277</c:v>
                </c:pt>
                <c:pt idx="17">
                  <c:v>3.2918131921258715</c:v>
                </c:pt>
                <c:pt idx="18">
                  <c:v>3.4096004487697513</c:v>
                </c:pt>
                <c:pt idx="19">
                  <c:v>3.5271628487864115</c:v>
                </c:pt>
                <c:pt idx="20">
                  <c:v>3.6444995610568665</c:v>
                </c:pt>
                <c:pt idx="21">
                  <c:v>3.7616098240454217</c:v>
                </c:pt>
                <c:pt idx="22">
                  <c:v>3.8784929470200988</c:v>
                </c:pt>
                <c:pt idx="23">
                  <c:v>3.995148311167585</c:v>
                </c:pt>
                <c:pt idx="24">
                  <c:v>4.1115753705985671</c:v>
                </c:pt>
                <c:pt idx="25">
                  <c:v>4.2277736532396606</c:v>
                </c:pt>
                <c:pt idx="26">
                  <c:v>4.3437427616085955</c:v>
                </c:pt>
                <c:pt idx="27">
                  <c:v>4.4594823734696742</c:v>
                </c:pt>
                <c:pt idx="28">
                  <c:v>4.5749922423670109</c:v>
                </c:pt>
                <c:pt idx="29">
                  <c:v>4.6902721980334912</c:v>
                </c:pt>
                <c:pt idx="30">
                  <c:v>4.8053221466738893</c:v>
                </c:pt>
                <c:pt idx="31">
                  <c:v>4.9201420711210186</c:v>
                </c:pt>
                <c:pt idx="32">
                  <c:v>5.0347320308643182</c:v>
                </c:pt>
                <c:pt idx="33">
                  <c:v>5.1490921619507937</c:v>
                </c:pt>
                <c:pt idx="34">
                  <c:v>5.2632226767586543</c:v>
                </c:pt>
                <c:pt idx="35">
                  <c:v>5.3771238636445364</c:v>
                </c:pt>
                <c:pt idx="36">
                  <c:v>5.4907960864657097</c:v>
                </c:pt>
                <c:pt idx="37">
                  <c:v>5.6042397839790574</c:v>
                </c:pt>
                <c:pt idx="38">
                  <c:v>5.7174554691191819</c:v>
                </c:pt>
                <c:pt idx="39">
                  <c:v>5.8304437281583583</c:v>
                </c:pt>
                <c:pt idx="40">
                  <c:v>5.9432052197515493</c:v>
                </c:pt>
                <c:pt idx="41">
                  <c:v>6.055740673870055</c:v>
                </c:pt>
                <c:pt idx="42">
                  <c:v>6.1680508906277911</c:v>
                </c:pt>
                <c:pt idx="43">
                  <c:v>6.2801367390045204</c:v>
                </c:pt>
                <c:pt idx="44">
                  <c:v>6.3919991554707103</c:v>
                </c:pt>
                <c:pt idx="45">
                  <c:v>6.5036391425189883</c:v>
                </c:pt>
                <c:pt idx="46">
                  <c:v>6.615057767107416</c:v>
                </c:pt>
                <c:pt idx="47">
                  <c:v>6.7262561590200569</c:v>
                </c:pt>
                <c:pt idx="48">
                  <c:v>6.8372355091505161</c:v>
                </c:pt>
                <c:pt idx="49">
                  <c:v>6.947997067714283</c:v>
                </c:pt>
                <c:pt idx="50">
                  <c:v>7.0585421423958437</c:v>
                </c:pt>
                <c:pt idx="51">
                  <c:v>7.1688720964366652</c:v>
                </c:pt>
                <c:pt idx="52">
                  <c:v>7.2789883466701486</c:v>
                </c:pt>
                <c:pt idx="53">
                  <c:v>7.3888923615097539</c:v>
                </c:pt>
                <c:pt idx="54">
                  <c:v>7.4985856588964719</c:v>
                </c:pt>
                <c:pt idx="55">
                  <c:v>7.608069804211766</c:v>
                </c:pt>
                <c:pt idx="56">
                  <c:v>7.7173464081620828</c:v>
                </c:pt>
                <c:pt idx="57">
                  <c:v>7.826417124640936</c:v>
                </c:pt>
                <c:pt idx="58">
                  <c:v>7.9352836485744369</c:v>
                </c:pt>
                <c:pt idx="59">
                  <c:v>8.0439477137560118</c:v>
                </c:pt>
                <c:pt idx="60">
                  <c:v>8.1524110906759155</c:v>
                </c:pt>
                <c:pt idx="61">
                  <c:v>8.2606755843509383</c:v>
                </c:pt>
                <c:pt idx="62">
                  <c:v>8.3687430321594718</c:v>
                </c:pt>
                <c:pt idx="63">
                  <c:v>8.4766153016870103</c:v>
                </c:pt>
                <c:pt idx="64">
                  <c:v>8.5842942885867526</c:v>
                </c:pt>
                <c:pt idx="65">
                  <c:v>8.6917819144598791</c:v>
                </c:pt>
                <c:pt idx="66">
                  <c:v>8.7990801247597705</c:v>
                </c:pt>
                <c:pt idx="67">
                  <c:v>8.9061908867241488</c:v>
                </c:pt>
                <c:pt idx="68">
                  <c:v>9.0131161873388841</c:v>
                </c:pt>
                <c:pt idx="69">
                  <c:v>9.1198580313369781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F5-49FB-806B-ABC531297ADC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Sheet3_HID!xdata2</c:f>
              <c:numCache>
                <c:formatCode>General</c:formatCode>
                <c:ptCount val="70"/>
                <c:pt idx="0">
                  <c:v>2.92632810671659</c:v>
                </c:pt>
                <c:pt idx="1">
                  <c:v>3.0485615780922992</c:v>
                </c:pt>
                <c:pt idx="2">
                  <c:v>3.1707950494680079</c:v>
                </c:pt>
                <c:pt idx="3">
                  <c:v>3.2930285208437171</c:v>
                </c:pt>
                <c:pt idx="4">
                  <c:v>3.4152619922194258</c:v>
                </c:pt>
                <c:pt idx="5">
                  <c:v>3.537495463595135</c:v>
                </c:pt>
                <c:pt idx="6">
                  <c:v>3.6597289349708442</c:v>
                </c:pt>
                <c:pt idx="7">
                  <c:v>3.7819624063465529</c:v>
                </c:pt>
                <c:pt idx="8">
                  <c:v>3.9041958777222621</c:v>
                </c:pt>
                <c:pt idx="9">
                  <c:v>4.0264293490979712</c:v>
                </c:pt>
                <c:pt idx="10">
                  <c:v>4.14866282047368</c:v>
                </c:pt>
                <c:pt idx="11">
                  <c:v>4.2708962918493896</c:v>
                </c:pt>
                <c:pt idx="12">
                  <c:v>4.3931297632250983</c:v>
                </c:pt>
                <c:pt idx="13">
                  <c:v>4.515363234600807</c:v>
                </c:pt>
                <c:pt idx="14">
                  <c:v>4.6375967059765166</c:v>
                </c:pt>
                <c:pt idx="15">
                  <c:v>4.7598301773522254</c:v>
                </c:pt>
                <c:pt idx="16">
                  <c:v>4.8820636487279341</c:v>
                </c:pt>
                <c:pt idx="17">
                  <c:v>5.0042971201036437</c:v>
                </c:pt>
                <c:pt idx="18">
                  <c:v>5.1265305914793515</c:v>
                </c:pt>
                <c:pt idx="19">
                  <c:v>5.2487640628550611</c:v>
                </c:pt>
                <c:pt idx="20">
                  <c:v>5.3709975342307699</c:v>
                </c:pt>
                <c:pt idx="21">
                  <c:v>5.4932310056064786</c:v>
                </c:pt>
                <c:pt idx="22">
                  <c:v>5.6154644769821882</c:v>
                </c:pt>
                <c:pt idx="23">
                  <c:v>5.7376979483578969</c:v>
                </c:pt>
                <c:pt idx="24">
                  <c:v>5.8599314197336057</c:v>
                </c:pt>
                <c:pt idx="25">
                  <c:v>5.9821648911093153</c:v>
                </c:pt>
                <c:pt idx="26">
                  <c:v>6.104398362485024</c:v>
                </c:pt>
                <c:pt idx="27">
                  <c:v>6.2266318338607327</c:v>
                </c:pt>
                <c:pt idx="28">
                  <c:v>6.3488653052364423</c:v>
                </c:pt>
                <c:pt idx="29">
                  <c:v>6.471098776612151</c:v>
                </c:pt>
                <c:pt idx="30">
                  <c:v>6.5933322479878598</c:v>
                </c:pt>
                <c:pt idx="31">
                  <c:v>6.7155657193635694</c:v>
                </c:pt>
                <c:pt idx="32">
                  <c:v>6.8377991907392781</c:v>
                </c:pt>
                <c:pt idx="33">
                  <c:v>6.9600326621149868</c:v>
                </c:pt>
                <c:pt idx="34">
                  <c:v>7.0822661334906964</c:v>
                </c:pt>
                <c:pt idx="35">
                  <c:v>7.2044996048664052</c:v>
                </c:pt>
                <c:pt idx="36">
                  <c:v>7.3267330762421139</c:v>
                </c:pt>
                <c:pt idx="37">
                  <c:v>7.4489665476178235</c:v>
                </c:pt>
                <c:pt idx="38">
                  <c:v>7.5712000189935322</c:v>
                </c:pt>
                <c:pt idx="39">
                  <c:v>7.693433490369241</c:v>
                </c:pt>
                <c:pt idx="40">
                  <c:v>7.8156669617449497</c:v>
                </c:pt>
                <c:pt idx="41">
                  <c:v>7.9379004331206593</c:v>
                </c:pt>
                <c:pt idx="42">
                  <c:v>8.060133904496368</c:v>
                </c:pt>
                <c:pt idx="43">
                  <c:v>8.1823673758720759</c:v>
                </c:pt>
                <c:pt idx="44">
                  <c:v>8.3046008472477872</c:v>
                </c:pt>
                <c:pt idx="45">
                  <c:v>8.4268343186234951</c:v>
                </c:pt>
                <c:pt idx="46">
                  <c:v>8.5490677899992029</c:v>
                </c:pt>
                <c:pt idx="47">
                  <c:v>8.6713012613749143</c:v>
                </c:pt>
                <c:pt idx="48">
                  <c:v>8.7935347327506221</c:v>
                </c:pt>
                <c:pt idx="49">
                  <c:v>8.91576820412633</c:v>
                </c:pt>
                <c:pt idx="50">
                  <c:v>9.0380016755020414</c:v>
                </c:pt>
                <c:pt idx="51">
                  <c:v>9.1602351468777492</c:v>
                </c:pt>
                <c:pt idx="52">
                  <c:v>9.282468618253457</c:v>
                </c:pt>
                <c:pt idx="53">
                  <c:v>9.4047020896291684</c:v>
                </c:pt>
                <c:pt idx="54">
                  <c:v>9.5269355610048763</c:v>
                </c:pt>
                <c:pt idx="55">
                  <c:v>9.6491690323805841</c:v>
                </c:pt>
                <c:pt idx="56">
                  <c:v>9.7714025037562955</c:v>
                </c:pt>
                <c:pt idx="57">
                  <c:v>9.8936359751320033</c:v>
                </c:pt>
                <c:pt idx="58">
                  <c:v>10.015869446507711</c:v>
                </c:pt>
                <c:pt idx="59">
                  <c:v>10.138102917883421</c:v>
                </c:pt>
                <c:pt idx="60">
                  <c:v>10.26033638925913</c:v>
                </c:pt>
                <c:pt idx="61">
                  <c:v>10.382569860634838</c:v>
                </c:pt>
                <c:pt idx="62">
                  <c:v>10.504803332010548</c:v>
                </c:pt>
                <c:pt idx="63">
                  <c:v>10.627036803386257</c:v>
                </c:pt>
                <c:pt idx="64">
                  <c:v>10.749270274761965</c:v>
                </c:pt>
                <c:pt idx="65">
                  <c:v>10.871503746137675</c:v>
                </c:pt>
                <c:pt idx="66">
                  <c:v>10.993737217513385</c:v>
                </c:pt>
                <c:pt idx="67">
                  <c:v>11.115970688889092</c:v>
                </c:pt>
                <c:pt idx="68">
                  <c:v>11.238204160264804</c:v>
                </c:pt>
                <c:pt idx="69">
                  <c:v>11.360437631640512</c:v>
                </c:pt>
              </c:numCache>
            </c:numRef>
          </c:xVal>
          <c:yVal>
            <c:numRef>
              <c:f>Sheet3_HID!ydata2</c:f>
              <c:numCache>
                <c:formatCode>General</c:formatCode>
                <c:ptCount val="70"/>
                <c:pt idx="0">
                  <c:v>5.1259182836402282</c:v>
                </c:pt>
                <c:pt idx="1">
                  <c:v>5.2404214561090843</c:v>
                </c:pt>
                <c:pt idx="2">
                  <c:v>5.355143586183388</c:v>
                </c:pt>
                <c:pt idx="3">
                  <c:v>5.4700869402233074</c:v>
                </c:pt>
                <c:pt idx="4">
                  <c:v>5.5852537478449085</c:v>
                </c:pt>
                <c:pt idx="5">
                  <c:v>5.7006461990094834</c:v>
                </c:pt>
                <c:pt idx="6">
                  <c:v>5.8162664410937452</c:v>
                </c:pt>
                <c:pt idx="7">
                  <c:v>5.932116575948351</c:v>
                </c:pt>
                <c:pt idx="8">
                  <c:v>6.0481986569525681</c:v>
                </c:pt>
                <c:pt idx="9">
                  <c:v>6.1645146860732352</c:v>
                </c:pt>
                <c:pt idx="10">
                  <c:v>6.2810666109364632</c:v>
                </c:pt>
                <c:pt idx="11">
                  <c:v>6.3978563219208384</c:v>
                </c:pt>
                <c:pt idx="12">
                  <c:v>6.5148856492810552</c:v>
                </c:pt>
                <c:pt idx="13">
                  <c:v>6.632156360311189</c:v>
                </c:pt>
                <c:pt idx="14">
                  <c:v>6.749670156556876</c:v>
                </c:pt>
                <c:pt idx="15">
                  <c:v>6.867428671085837</c:v>
                </c:pt>
                <c:pt idx="16">
                  <c:v>6.9854334658262083</c:v>
                </c:pt>
                <c:pt idx="17">
                  <c:v>7.1036860289821133</c:v>
                </c:pt>
                <c:pt idx="18">
                  <c:v>7.2221877725359054</c:v>
                </c:pt>
                <c:pt idx="19">
                  <c:v>7.3409400298463536</c:v>
                </c:pt>
                <c:pt idx="20">
                  <c:v>7.4599440533518457</c:v>
                </c:pt>
                <c:pt idx="21">
                  <c:v>7.5792010123875553</c:v>
                </c:pt>
                <c:pt idx="22">
                  <c:v>7.6987119911250694</c:v>
                </c:pt>
                <c:pt idx="23">
                  <c:v>7.8184779866427734</c:v>
                </c:pt>
                <c:pt idx="24">
                  <c:v>7.938499907134779</c:v>
                </c:pt>
                <c:pt idx="25">
                  <c:v>8.0587785702657584</c:v>
                </c:pt>
                <c:pt idx="26">
                  <c:v>8.1793147016785319</c:v>
                </c:pt>
                <c:pt idx="27">
                  <c:v>8.3001089336606757</c:v>
                </c:pt>
                <c:pt idx="28">
                  <c:v>8.4211618039758118</c:v>
                </c:pt>
                <c:pt idx="29">
                  <c:v>8.5424737548645648</c:v>
                </c:pt>
                <c:pt idx="30">
                  <c:v>8.6640451322195169</c:v>
                </c:pt>
                <c:pt idx="31">
                  <c:v>8.785876184937722</c:v>
                </c:pt>
                <c:pt idx="32">
                  <c:v>8.9079670644535831</c:v>
                </c:pt>
                <c:pt idx="33">
                  <c:v>9.0303178244541797</c:v>
                </c:pt>
                <c:pt idx="34">
                  <c:v>9.1529284207782453</c:v>
                </c:pt>
                <c:pt idx="35">
                  <c:v>9.2757987114992577</c:v>
                </c:pt>
                <c:pt idx="36">
                  <c:v>9.3989284571922962</c:v>
                </c:pt>
                <c:pt idx="37">
                  <c:v>9.5223173213834595</c:v>
                </c:pt>
                <c:pt idx="38">
                  <c:v>9.6459648711798991</c:v>
                </c:pt>
                <c:pt idx="39">
                  <c:v>9.7698705780777377</c:v>
                </c:pt>
                <c:pt idx="40">
                  <c:v>9.8940338189443331</c:v>
                </c:pt>
                <c:pt idx="41">
                  <c:v>10.018453877170682</c:v>
                </c:pt>
                <c:pt idx="42">
                  <c:v>10.143129943989013</c:v>
                </c:pt>
                <c:pt idx="43">
                  <c:v>10.268061119949991</c:v>
                </c:pt>
                <c:pt idx="44">
                  <c:v>10.393246416553293</c:v>
                </c:pt>
                <c:pt idx="45">
                  <c:v>10.518684758024783</c:v>
                </c:pt>
                <c:pt idx="46">
                  <c:v>10.644374983232996</c:v>
                </c:pt>
                <c:pt idx="47">
                  <c:v>10.770315847737109</c:v>
                </c:pt>
                <c:pt idx="48">
                  <c:v>10.896506025958235</c:v>
                </c:pt>
                <c:pt idx="49">
                  <c:v>11.022944113465515</c:v>
                </c:pt>
                <c:pt idx="50">
                  <c:v>11.149628629368092</c:v>
                </c:pt>
                <c:pt idx="51">
                  <c:v>11.276558018803929</c:v>
                </c:pt>
                <c:pt idx="52">
                  <c:v>11.403730655516227</c:v>
                </c:pt>
                <c:pt idx="53">
                  <c:v>11.531144844507981</c:v>
                </c:pt>
                <c:pt idx="54">
                  <c:v>11.658798824765256</c:v>
                </c:pt>
                <c:pt idx="55">
                  <c:v>11.786690772039762</c:v>
                </c:pt>
                <c:pt idx="56">
                  <c:v>11.914818801681221</c:v>
                </c:pt>
                <c:pt idx="57">
                  <c:v>12.043180971510276</c:v>
                </c:pt>
                <c:pt idx="58">
                  <c:v>12.171775284722733</c:v>
                </c:pt>
                <c:pt idx="59">
                  <c:v>12.300599692816142</c:v>
                </c:pt>
                <c:pt idx="60">
                  <c:v>12.429652098529983</c:v>
                </c:pt>
                <c:pt idx="61">
                  <c:v>12.558930358790935</c:v>
                </c:pt>
                <c:pt idx="62">
                  <c:v>12.68843228765509</c:v>
                </c:pt>
                <c:pt idx="63">
                  <c:v>12.818155659239212</c:v>
                </c:pt>
                <c:pt idx="64">
                  <c:v>12.948098210633601</c:v>
                </c:pt>
                <c:pt idx="65">
                  <c:v>13.078257644789435</c:v>
                </c:pt>
                <c:pt idx="66">
                  <c:v>13.208631633373887</c:v>
                </c:pt>
                <c:pt idx="67">
                  <c:v>13.339217819586759</c:v>
                </c:pt>
                <c:pt idx="68">
                  <c:v>13.470013820932765</c:v>
                </c:pt>
                <c:pt idx="69">
                  <c:v>13.601017231944045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F5-49FB-806B-ABC531297ADC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FAF5-49FB-806B-ABC531297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852480"/>
        <c:axId val="1083849240"/>
      </c:scatterChart>
      <c:valAx>
        <c:axId val="1083852480"/>
        <c:scaling>
          <c:orientation val="minMax"/>
          <c:max val="1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Pred(Satisfaction)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3849240"/>
        <c:crosses val="autoZero"/>
        <c:crossBetween val="midCat"/>
      </c:valAx>
      <c:valAx>
        <c:axId val="1083849240"/>
        <c:scaling>
          <c:orientation val="minMax"/>
          <c:max val="14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385248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Calories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5E-4019-A8DC-F47E034AA3BE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15E-4019-A8DC-F47E034AA3BE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5E-4019-A8DC-F47E034AA3BE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15E-4019-A8DC-F47E034AA3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4"/>
                <c:pt idx="0">
                  <c:v>0.18998753404044744</c:v>
                </c:pt>
                <c:pt idx="1">
                  <c:v>0.17047005633872436</c:v>
                </c:pt>
                <c:pt idx="2">
                  <c:v>0.16012965771160659</c:v>
                </c:pt>
                <c:pt idx="3">
                  <c:v>0.13964220706610905</c:v>
                </c:pt>
              </c:numLit>
            </c:plus>
            <c:minus>
              <c:numLit>
                <c:formatCode>General</c:formatCode>
                <c:ptCount val="4"/>
                <c:pt idx="0">
                  <c:v>0.18998753404044744</c:v>
                </c:pt>
                <c:pt idx="1">
                  <c:v>0.17047005633872436</c:v>
                </c:pt>
                <c:pt idx="2">
                  <c:v>0.16012965771160656</c:v>
                </c:pt>
                <c:pt idx="3">
                  <c:v>0.13964220706610905</c:v>
                </c:pt>
              </c:numLit>
            </c:minus>
          </c:errBars>
          <c:cat>
            <c:strRef>
              <c:f>'Linear Regression Output 7'!$A$77:$A$80</c:f>
              <c:strCache>
                <c:ptCount val="4"/>
                <c:pt idx="0">
                  <c:v>Carbs</c:v>
                </c:pt>
                <c:pt idx="1">
                  <c:v>Sugars</c:v>
                </c:pt>
                <c:pt idx="2">
                  <c:v>Fiber</c:v>
                </c:pt>
                <c:pt idx="3">
                  <c:v>Sodium</c:v>
                </c:pt>
              </c:strCache>
            </c:strRef>
          </c:cat>
          <c:val>
            <c:numRef>
              <c:f>'Linear Regression Output 7'!$B$77:$B$80</c:f>
              <c:numCache>
                <c:formatCode>0.000</c:formatCode>
                <c:ptCount val="4"/>
                <c:pt idx="0">
                  <c:v>0.7059236260617231</c:v>
                </c:pt>
                <c:pt idx="1">
                  <c:v>0.9256542967522482</c:v>
                </c:pt>
                <c:pt idx="2">
                  <c:v>8.799134570640578E-2</c:v>
                </c:pt>
                <c:pt idx="3">
                  <c:v>0.10446596989954182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E-4019-A8DC-F47E034AA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83865800"/>
        <c:axId val="1083866160"/>
      </c:barChart>
      <c:catAx>
        <c:axId val="108386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3866160"/>
        <c:crosses val="autoZero"/>
        <c:auto val="1"/>
        <c:lblAlgn val="ctr"/>
        <c:lblOffset val="100"/>
        <c:noMultiLvlLbl val="0"/>
      </c:catAx>
      <c:valAx>
        <c:axId val="1083866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386580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Calories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7'!$C$106:$C$172</c:f>
              <c:numCache>
                <c:formatCode>0.000</c:formatCode>
                <c:ptCount val="67"/>
                <c:pt idx="0">
                  <c:v>70</c:v>
                </c:pt>
                <c:pt idx="1">
                  <c:v>70</c:v>
                </c:pt>
                <c:pt idx="2">
                  <c:v>50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130</c:v>
                </c:pt>
                <c:pt idx="7">
                  <c:v>90</c:v>
                </c:pt>
                <c:pt idx="8">
                  <c:v>90</c:v>
                </c:pt>
                <c:pt idx="9">
                  <c:v>120</c:v>
                </c:pt>
                <c:pt idx="10">
                  <c:v>110</c:v>
                </c:pt>
                <c:pt idx="11">
                  <c:v>120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100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100</c:v>
                </c:pt>
                <c:pt idx="20">
                  <c:v>110</c:v>
                </c:pt>
                <c:pt idx="21">
                  <c:v>100</c:v>
                </c:pt>
                <c:pt idx="22">
                  <c:v>100</c:v>
                </c:pt>
                <c:pt idx="23">
                  <c:v>110</c:v>
                </c:pt>
                <c:pt idx="24">
                  <c:v>110</c:v>
                </c:pt>
                <c:pt idx="25">
                  <c:v>100</c:v>
                </c:pt>
                <c:pt idx="26">
                  <c:v>120</c:v>
                </c:pt>
                <c:pt idx="27">
                  <c:v>120</c:v>
                </c:pt>
                <c:pt idx="28">
                  <c:v>110</c:v>
                </c:pt>
                <c:pt idx="29">
                  <c:v>110</c:v>
                </c:pt>
                <c:pt idx="30">
                  <c:v>100</c:v>
                </c:pt>
                <c:pt idx="31">
                  <c:v>110</c:v>
                </c:pt>
                <c:pt idx="32">
                  <c:v>120</c:v>
                </c:pt>
                <c:pt idx="33">
                  <c:v>110</c:v>
                </c:pt>
                <c:pt idx="34">
                  <c:v>120</c:v>
                </c:pt>
                <c:pt idx="35">
                  <c:v>110</c:v>
                </c:pt>
                <c:pt idx="36">
                  <c:v>110</c:v>
                </c:pt>
                <c:pt idx="37">
                  <c:v>140</c:v>
                </c:pt>
                <c:pt idx="38">
                  <c:v>110</c:v>
                </c:pt>
                <c:pt idx="39">
                  <c:v>100</c:v>
                </c:pt>
                <c:pt idx="40">
                  <c:v>110</c:v>
                </c:pt>
                <c:pt idx="41">
                  <c:v>160</c:v>
                </c:pt>
                <c:pt idx="42">
                  <c:v>100</c:v>
                </c:pt>
                <c:pt idx="43">
                  <c:v>120</c:v>
                </c:pt>
                <c:pt idx="44">
                  <c:v>130</c:v>
                </c:pt>
                <c:pt idx="45">
                  <c:v>120</c:v>
                </c:pt>
                <c:pt idx="46">
                  <c:v>100</c:v>
                </c:pt>
                <c:pt idx="47">
                  <c:v>50</c:v>
                </c:pt>
                <c:pt idx="48">
                  <c:v>50</c:v>
                </c:pt>
                <c:pt idx="49">
                  <c:v>100</c:v>
                </c:pt>
                <c:pt idx="50">
                  <c:v>120</c:v>
                </c:pt>
                <c:pt idx="51">
                  <c:v>90</c:v>
                </c:pt>
                <c:pt idx="52">
                  <c:v>110</c:v>
                </c:pt>
                <c:pt idx="53">
                  <c:v>110</c:v>
                </c:pt>
                <c:pt idx="54">
                  <c:v>90</c:v>
                </c:pt>
                <c:pt idx="55">
                  <c:v>80</c:v>
                </c:pt>
                <c:pt idx="56">
                  <c:v>90</c:v>
                </c:pt>
                <c:pt idx="57">
                  <c:v>110</c:v>
                </c:pt>
                <c:pt idx="58">
                  <c:v>110</c:v>
                </c:pt>
                <c:pt idx="59">
                  <c:v>90</c:v>
                </c:pt>
                <c:pt idx="60">
                  <c:v>110</c:v>
                </c:pt>
                <c:pt idx="61">
                  <c:v>140</c:v>
                </c:pt>
                <c:pt idx="62">
                  <c:v>100</c:v>
                </c:pt>
                <c:pt idx="63">
                  <c:v>110</c:v>
                </c:pt>
                <c:pt idx="64">
                  <c:v>100</c:v>
                </c:pt>
                <c:pt idx="65">
                  <c:v>100</c:v>
                </c:pt>
                <c:pt idx="66">
                  <c:v>110</c:v>
                </c:pt>
              </c:numCache>
            </c:numRef>
          </c:xVal>
          <c:yVal>
            <c:numRef>
              <c:f>'Linear Regression Output 7'!$F$106:$F$172</c:f>
              <c:numCache>
                <c:formatCode>0.000</c:formatCode>
                <c:ptCount val="67"/>
                <c:pt idx="0">
                  <c:v>-0.25028259753766413</c:v>
                </c:pt>
                <c:pt idx="1">
                  <c:v>-0.80258080662353526</c:v>
                </c:pt>
                <c:pt idx="2">
                  <c:v>-1.219887115196836</c:v>
                </c:pt>
                <c:pt idx="3">
                  <c:v>0.30368455739018446</c:v>
                </c:pt>
                <c:pt idx="4">
                  <c:v>0.74017943141060438</c:v>
                </c:pt>
                <c:pt idx="5">
                  <c:v>-0.86828072946669788</c:v>
                </c:pt>
                <c:pt idx="6">
                  <c:v>0.84928284106168717</c:v>
                </c:pt>
                <c:pt idx="7">
                  <c:v>-1.4791940377293977</c:v>
                </c:pt>
                <c:pt idx="8">
                  <c:v>-0.47167526024442452</c:v>
                </c:pt>
                <c:pt idx="9">
                  <c:v>0.43329091956695198</c:v>
                </c:pt>
                <c:pt idx="10">
                  <c:v>1.7723528343592596</c:v>
                </c:pt>
                <c:pt idx="11">
                  <c:v>1.3114580372165796</c:v>
                </c:pt>
                <c:pt idx="12">
                  <c:v>1.135251403024538</c:v>
                </c:pt>
                <c:pt idx="13">
                  <c:v>-0.88571508303041258</c:v>
                </c:pt>
                <c:pt idx="14">
                  <c:v>-0.61665702414214874</c:v>
                </c:pt>
                <c:pt idx="15">
                  <c:v>-0.97549608274603339</c:v>
                </c:pt>
                <c:pt idx="16">
                  <c:v>-0.67833011215845906</c:v>
                </c:pt>
                <c:pt idx="17">
                  <c:v>-0.88571508303041258</c:v>
                </c:pt>
                <c:pt idx="18">
                  <c:v>2.0488180750027452</c:v>
                </c:pt>
                <c:pt idx="19">
                  <c:v>0.34606361175678796</c:v>
                </c:pt>
                <c:pt idx="20">
                  <c:v>-0.18596828792808665</c:v>
                </c:pt>
                <c:pt idx="21">
                  <c:v>-0.38608149011111842</c:v>
                </c:pt>
                <c:pt idx="22">
                  <c:v>-0.8829456751917687</c:v>
                </c:pt>
                <c:pt idx="23">
                  <c:v>-0.46740262004640354</c:v>
                </c:pt>
                <c:pt idx="24">
                  <c:v>-0.89894977087069716</c:v>
                </c:pt>
                <c:pt idx="25">
                  <c:v>4.8382917759233098E-2</c:v>
                </c:pt>
                <c:pt idx="26">
                  <c:v>1.0483309190784882</c:v>
                </c:pt>
                <c:pt idx="27">
                  <c:v>-0.64988518558567288</c:v>
                </c:pt>
                <c:pt idx="28">
                  <c:v>-0.7226702716110005</c:v>
                </c:pt>
                <c:pt idx="29">
                  <c:v>-0.57738738116438437</c:v>
                </c:pt>
                <c:pt idx="30">
                  <c:v>0.1543837290869694</c:v>
                </c:pt>
                <c:pt idx="31">
                  <c:v>1.2005808734220116</c:v>
                </c:pt>
                <c:pt idx="32">
                  <c:v>3.4488690626756697</c:v>
                </c:pt>
                <c:pt idx="33">
                  <c:v>-0.78239837833254544</c:v>
                </c:pt>
                <c:pt idx="34">
                  <c:v>0.76712272936930848</c:v>
                </c:pt>
                <c:pt idx="35">
                  <c:v>0.21769184911849962</c:v>
                </c:pt>
                <c:pt idx="36">
                  <c:v>0.1320391443970072</c:v>
                </c:pt>
                <c:pt idx="37">
                  <c:v>0.86611348235659247</c:v>
                </c:pt>
                <c:pt idx="38">
                  <c:v>-0.21793217415057348</c:v>
                </c:pt>
                <c:pt idx="39">
                  <c:v>0.84345864403858983</c:v>
                </c:pt>
                <c:pt idx="40">
                  <c:v>-0.48483697361011824</c:v>
                </c:pt>
                <c:pt idx="41">
                  <c:v>2.3269952672267666</c:v>
                </c:pt>
                <c:pt idx="42">
                  <c:v>-0.37746845239623794</c:v>
                </c:pt>
                <c:pt idx="43">
                  <c:v>0.66252361599406906</c:v>
                </c:pt>
                <c:pt idx="44">
                  <c:v>1.7515488646916204</c:v>
                </c:pt>
                <c:pt idx="45">
                  <c:v>-0.37201824698969171</c:v>
                </c:pt>
                <c:pt idx="46">
                  <c:v>-1.1014120744752862</c:v>
                </c:pt>
                <c:pt idx="47">
                  <c:v>-1.6808020554610161</c:v>
                </c:pt>
                <c:pt idx="48">
                  <c:v>-0.70018908386487178</c:v>
                </c:pt>
                <c:pt idx="49">
                  <c:v>0.18214794958602756</c:v>
                </c:pt>
                <c:pt idx="50">
                  <c:v>-0.57562754620535428</c:v>
                </c:pt>
                <c:pt idx="51">
                  <c:v>-0.85005050929139403</c:v>
                </c:pt>
                <c:pt idx="52">
                  <c:v>-0.46598848595278974</c:v>
                </c:pt>
                <c:pt idx="53">
                  <c:v>-0.64140957060225501</c:v>
                </c:pt>
                <c:pt idx="54">
                  <c:v>-0.25792693774437475</c:v>
                </c:pt>
                <c:pt idx="55">
                  <c:v>0.12181401152357338</c:v>
                </c:pt>
                <c:pt idx="56">
                  <c:v>2.4246519709048838E-2</c:v>
                </c:pt>
                <c:pt idx="57">
                  <c:v>-0.43458031921368379</c:v>
                </c:pt>
                <c:pt idx="58">
                  <c:v>1.5353779509686116</c:v>
                </c:pt>
                <c:pt idx="59">
                  <c:v>-0.55334751917919678</c:v>
                </c:pt>
                <c:pt idx="60">
                  <c:v>-6.9416895389936381E-2</c:v>
                </c:pt>
                <c:pt idx="61">
                  <c:v>0.42422402845583856</c:v>
                </c:pt>
                <c:pt idx="62">
                  <c:v>0.45840491209555662</c:v>
                </c:pt>
                <c:pt idx="63">
                  <c:v>-0.73504654484105358</c:v>
                </c:pt>
                <c:pt idx="64">
                  <c:v>3.4927515643876583E-2</c:v>
                </c:pt>
                <c:pt idx="65">
                  <c:v>0.10918515502419512</c:v>
                </c:pt>
                <c:pt idx="66">
                  <c:v>-1.0931944708952601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2-4CB0-B1A0-E9FF220FE908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70</c:v>
              </c:pt>
            </c:numLit>
          </c:xVal>
          <c:yVal>
            <c:numLit>
              <c:formatCode>General</c:formatCode>
              <c:ptCount val="1"/>
              <c:pt idx="0">
                <c:v>-0.80258080662353526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FF2-4CB0-B1A0-E9FF220FE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946720"/>
        <c:axId val="836947080"/>
      </c:scatterChart>
      <c:valAx>
        <c:axId val="836946720"/>
        <c:scaling>
          <c:orientation val="minMax"/>
          <c:max val="160"/>
          <c:min val="4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Calories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36947080"/>
        <c:crosses val="autoZero"/>
        <c:crossBetween val="midCat"/>
      </c:valAx>
      <c:valAx>
        <c:axId val="836947080"/>
        <c:scaling>
          <c:orientation val="minMax"/>
          <c:max val="4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369467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Pred(Calories)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7'!$D$106:$D$172</c:f>
              <c:numCache>
                <c:formatCode>0.000</c:formatCode>
                <c:ptCount val="67"/>
                <c:pt idx="0">
                  <c:v>72.460655074278847</c:v>
                </c:pt>
                <c:pt idx="1">
                  <c:v>77.890578704897052</c:v>
                </c:pt>
                <c:pt idx="2">
                  <c:v>61.993328539770971</c:v>
                </c:pt>
                <c:pt idx="3">
                  <c:v>107.01432319116861</c:v>
                </c:pt>
                <c:pt idx="4">
                  <c:v>102.72292084349472</c:v>
                </c:pt>
                <c:pt idx="5">
                  <c:v>118.53650794693885</c:v>
                </c:pt>
                <c:pt idx="6">
                  <c:v>121.65026992321386</c:v>
                </c:pt>
                <c:pt idx="7">
                  <c:v>104.54270632713136</c:v>
                </c:pt>
                <c:pt idx="8">
                  <c:v>94.637278556123263</c:v>
                </c:pt>
                <c:pt idx="9">
                  <c:v>115.74009735251001</c:v>
                </c:pt>
                <c:pt idx="10">
                  <c:v>92.575100953144315</c:v>
                </c:pt>
                <c:pt idx="11">
                  <c:v>107.10639131234393</c:v>
                </c:pt>
                <c:pt idx="12">
                  <c:v>98.838768044933161</c:v>
                </c:pt>
                <c:pt idx="13">
                  <c:v>118.70791391357571</c:v>
                </c:pt>
                <c:pt idx="14">
                  <c:v>116.06266776225513</c:v>
                </c:pt>
                <c:pt idx="15">
                  <c:v>109.59059642805147</c:v>
                </c:pt>
                <c:pt idx="16">
                  <c:v>116.6690071500783</c:v>
                </c:pt>
                <c:pt idx="17">
                  <c:v>118.70791391357571</c:v>
                </c:pt>
                <c:pt idx="18">
                  <c:v>89.857031043594404</c:v>
                </c:pt>
                <c:pt idx="19">
                  <c:v>96.597673227502526</c:v>
                </c:pt>
                <c:pt idx="20">
                  <c:v>111.8283484982464</c:v>
                </c:pt>
                <c:pt idx="21">
                  <c:v>103.79576281800455</c:v>
                </c:pt>
                <c:pt idx="22">
                  <c:v>108.68068646141583</c:v>
                </c:pt>
                <c:pt idx="23">
                  <c:v>114.59527206471211</c:v>
                </c:pt>
                <c:pt idx="24">
                  <c:v>118.83803083784885</c:v>
                </c:pt>
                <c:pt idx="25">
                  <c:v>99.524323012211198</c:v>
                </c:pt>
                <c:pt idx="26">
                  <c:v>109.69332737900126</c:v>
                </c:pt>
                <c:pt idx="27">
                  <c:v>126.38935065938568</c:v>
                </c:pt>
                <c:pt idx="28">
                  <c:v>117.10493773184722</c:v>
                </c:pt>
                <c:pt idx="29">
                  <c:v>115.67658799798461</c:v>
                </c:pt>
                <c:pt idx="30">
                  <c:v>98.482175308625784</c:v>
                </c:pt>
                <c:pt idx="31">
                  <c:v>98.196480908651935</c:v>
                </c:pt>
                <c:pt idx="32">
                  <c:v>86.092420155903497</c:v>
                </c:pt>
                <c:pt idx="33">
                  <c:v>117.69215502273106</c:v>
                </c:pt>
                <c:pt idx="34">
                  <c:v>112.45802762482052</c:v>
                </c:pt>
                <c:pt idx="35">
                  <c:v>107.85976109233096</c:v>
                </c:pt>
                <c:pt idx="36">
                  <c:v>108.70185624625763</c:v>
                </c:pt>
                <c:pt idx="37">
                  <c:v>131.48479935788842</c:v>
                </c:pt>
                <c:pt idx="38">
                  <c:v>112.14260166487017</c:v>
                </c:pt>
                <c:pt idx="39">
                  <c:v>91.707530556192253</c:v>
                </c:pt>
                <c:pt idx="40">
                  <c:v>114.76667803134896</c:v>
                </c:pt>
                <c:pt idx="41">
                  <c:v>137.12213007033887</c:v>
                </c:pt>
                <c:pt idx="42">
                  <c:v>103.71108367863735</c:v>
                </c:pt>
                <c:pt idx="43">
                  <c:v>113.48639452537228</c:v>
                </c:pt>
                <c:pt idx="44">
                  <c:v>112.77963532361774</c:v>
                </c:pt>
                <c:pt idx="45">
                  <c:v>123.65749994680213</c:v>
                </c:pt>
                <c:pt idx="46">
                  <c:v>110.82854036434458</c:v>
                </c:pt>
                <c:pt idx="47">
                  <c:v>66.52481693620777</c:v>
                </c:pt>
                <c:pt idx="48">
                  <c:v>56.88391378033176</c:v>
                </c:pt>
                <c:pt idx="49">
                  <c:v>98.209211184365714</c:v>
                </c:pt>
                <c:pt idx="50">
                  <c:v>125.65928616851491</c:v>
                </c:pt>
                <c:pt idx="51">
                  <c:v>98.357277412251634</c:v>
                </c:pt>
                <c:pt idx="52">
                  <c:v>114.58136899567177</c:v>
                </c:pt>
                <c:pt idx="53">
                  <c:v>116.30602259254539</c:v>
                </c:pt>
                <c:pt idx="54">
                  <c:v>92.535810457450566</c:v>
                </c:pt>
                <c:pt idx="55">
                  <c:v>78.802384710232857</c:v>
                </c:pt>
                <c:pt idx="56">
                  <c:v>89.761620175183396</c:v>
                </c:pt>
                <c:pt idx="57">
                  <c:v>114.27257938896031</c:v>
                </c:pt>
                <c:pt idx="58">
                  <c:v>94.904921144514532</c:v>
                </c:pt>
                <c:pt idx="59">
                  <c:v>95.440239929997531</c:v>
                </c:pt>
                <c:pt idx="60">
                  <c:v>110.68247268312862</c:v>
                </c:pt>
                <c:pt idx="61">
                  <c:v>135.82923855465506</c:v>
                </c:pt>
                <c:pt idx="62">
                  <c:v>95.493188962718293</c:v>
                </c:pt>
                <c:pt idx="63">
                  <c:v>117.22661514699234</c:v>
                </c:pt>
                <c:pt idx="64">
                  <c:v>99.656609890393497</c:v>
                </c:pt>
                <c:pt idx="65">
                  <c:v>98.926545399522723</c:v>
                </c:pt>
                <c:pt idx="66">
                  <c:v>120.74774893838632</c:v>
                </c:pt>
              </c:numCache>
            </c:numRef>
          </c:xVal>
          <c:yVal>
            <c:numRef>
              <c:f>'Linear Regression Output 7'!$F$106:$F$172</c:f>
              <c:numCache>
                <c:formatCode>0.000</c:formatCode>
                <c:ptCount val="67"/>
                <c:pt idx="0">
                  <c:v>-0.25028259753766413</c:v>
                </c:pt>
                <c:pt idx="1">
                  <c:v>-0.80258080662353526</c:v>
                </c:pt>
                <c:pt idx="2">
                  <c:v>-1.219887115196836</c:v>
                </c:pt>
                <c:pt idx="3">
                  <c:v>0.30368455739018446</c:v>
                </c:pt>
                <c:pt idx="4">
                  <c:v>0.74017943141060438</c:v>
                </c:pt>
                <c:pt idx="5">
                  <c:v>-0.86828072946669788</c:v>
                </c:pt>
                <c:pt idx="6">
                  <c:v>0.84928284106168717</c:v>
                </c:pt>
                <c:pt idx="7">
                  <c:v>-1.4791940377293977</c:v>
                </c:pt>
                <c:pt idx="8">
                  <c:v>-0.47167526024442452</c:v>
                </c:pt>
                <c:pt idx="9">
                  <c:v>0.43329091956695198</c:v>
                </c:pt>
                <c:pt idx="10">
                  <c:v>1.7723528343592596</c:v>
                </c:pt>
                <c:pt idx="11">
                  <c:v>1.3114580372165796</c:v>
                </c:pt>
                <c:pt idx="12">
                  <c:v>1.135251403024538</c:v>
                </c:pt>
                <c:pt idx="13">
                  <c:v>-0.88571508303041258</c:v>
                </c:pt>
                <c:pt idx="14">
                  <c:v>-0.61665702414214874</c:v>
                </c:pt>
                <c:pt idx="15">
                  <c:v>-0.97549608274603339</c:v>
                </c:pt>
                <c:pt idx="16">
                  <c:v>-0.67833011215845906</c:v>
                </c:pt>
                <c:pt idx="17">
                  <c:v>-0.88571508303041258</c:v>
                </c:pt>
                <c:pt idx="18">
                  <c:v>2.0488180750027452</c:v>
                </c:pt>
                <c:pt idx="19">
                  <c:v>0.34606361175678796</c:v>
                </c:pt>
                <c:pt idx="20">
                  <c:v>-0.18596828792808665</c:v>
                </c:pt>
                <c:pt idx="21">
                  <c:v>-0.38608149011111842</c:v>
                </c:pt>
                <c:pt idx="22">
                  <c:v>-0.8829456751917687</c:v>
                </c:pt>
                <c:pt idx="23">
                  <c:v>-0.46740262004640354</c:v>
                </c:pt>
                <c:pt idx="24">
                  <c:v>-0.89894977087069716</c:v>
                </c:pt>
                <c:pt idx="25">
                  <c:v>4.8382917759233098E-2</c:v>
                </c:pt>
                <c:pt idx="26">
                  <c:v>1.0483309190784882</c:v>
                </c:pt>
                <c:pt idx="27">
                  <c:v>-0.64988518558567288</c:v>
                </c:pt>
                <c:pt idx="28">
                  <c:v>-0.7226702716110005</c:v>
                </c:pt>
                <c:pt idx="29">
                  <c:v>-0.57738738116438437</c:v>
                </c:pt>
                <c:pt idx="30">
                  <c:v>0.1543837290869694</c:v>
                </c:pt>
                <c:pt idx="31">
                  <c:v>1.2005808734220116</c:v>
                </c:pt>
                <c:pt idx="32">
                  <c:v>3.4488690626756697</c:v>
                </c:pt>
                <c:pt idx="33">
                  <c:v>-0.78239837833254544</c:v>
                </c:pt>
                <c:pt idx="34">
                  <c:v>0.76712272936930848</c:v>
                </c:pt>
                <c:pt idx="35">
                  <c:v>0.21769184911849962</c:v>
                </c:pt>
                <c:pt idx="36">
                  <c:v>0.1320391443970072</c:v>
                </c:pt>
                <c:pt idx="37">
                  <c:v>0.86611348235659247</c:v>
                </c:pt>
                <c:pt idx="38">
                  <c:v>-0.21793217415057348</c:v>
                </c:pt>
                <c:pt idx="39">
                  <c:v>0.84345864403858983</c:v>
                </c:pt>
                <c:pt idx="40">
                  <c:v>-0.48483697361011824</c:v>
                </c:pt>
                <c:pt idx="41">
                  <c:v>2.3269952672267666</c:v>
                </c:pt>
                <c:pt idx="42">
                  <c:v>-0.37746845239623794</c:v>
                </c:pt>
                <c:pt idx="43">
                  <c:v>0.66252361599406906</c:v>
                </c:pt>
                <c:pt idx="44">
                  <c:v>1.7515488646916204</c:v>
                </c:pt>
                <c:pt idx="45">
                  <c:v>-0.37201824698969171</c:v>
                </c:pt>
                <c:pt idx="46">
                  <c:v>-1.1014120744752862</c:v>
                </c:pt>
                <c:pt idx="47">
                  <c:v>-1.6808020554610161</c:v>
                </c:pt>
                <c:pt idx="48">
                  <c:v>-0.70018908386487178</c:v>
                </c:pt>
                <c:pt idx="49">
                  <c:v>0.18214794958602756</c:v>
                </c:pt>
                <c:pt idx="50">
                  <c:v>-0.57562754620535428</c:v>
                </c:pt>
                <c:pt idx="51">
                  <c:v>-0.85005050929139403</c:v>
                </c:pt>
                <c:pt idx="52">
                  <c:v>-0.46598848595278974</c:v>
                </c:pt>
                <c:pt idx="53">
                  <c:v>-0.64140957060225501</c:v>
                </c:pt>
                <c:pt idx="54">
                  <c:v>-0.25792693774437475</c:v>
                </c:pt>
                <c:pt idx="55">
                  <c:v>0.12181401152357338</c:v>
                </c:pt>
                <c:pt idx="56">
                  <c:v>2.4246519709048838E-2</c:v>
                </c:pt>
                <c:pt idx="57">
                  <c:v>-0.43458031921368379</c:v>
                </c:pt>
                <c:pt idx="58">
                  <c:v>1.5353779509686116</c:v>
                </c:pt>
                <c:pt idx="59">
                  <c:v>-0.55334751917919678</c:v>
                </c:pt>
                <c:pt idx="60">
                  <c:v>-6.9416895389936381E-2</c:v>
                </c:pt>
                <c:pt idx="61">
                  <c:v>0.42422402845583856</c:v>
                </c:pt>
                <c:pt idx="62">
                  <c:v>0.45840491209555662</c:v>
                </c:pt>
                <c:pt idx="63">
                  <c:v>-0.73504654484105358</c:v>
                </c:pt>
                <c:pt idx="64">
                  <c:v>3.4927515643876583E-2</c:v>
                </c:pt>
                <c:pt idx="65">
                  <c:v>0.10918515502419512</c:v>
                </c:pt>
                <c:pt idx="66">
                  <c:v>-1.0931944708952601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2-403B-943C-911152A5160E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77.890578704897052</c:v>
              </c:pt>
            </c:numLit>
          </c:xVal>
          <c:yVal>
            <c:numLit>
              <c:formatCode>General</c:formatCode>
              <c:ptCount val="1"/>
              <c:pt idx="0">
                <c:v>-0.80258080662353526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72-403B-943C-911152A5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284672"/>
        <c:axId val="812282152"/>
      </c:scatterChart>
      <c:valAx>
        <c:axId val="812284672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Pred(Calories)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12282152"/>
        <c:crosses val="autoZero"/>
        <c:crossBetween val="midCat"/>
      </c:valAx>
      <c:valAx>
        <c:axId val="812282152"/>
        <c:scaling>
          <c:orientation val="minMax"/>
          <c:max val="4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1228467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Pred(Calories) - Calories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7'!$D$106:$D$172</c:f>
              <c:numCache>
                <c:formatCode>0.000</c:formatCode>
                <c:ptCount val="67"/>
                <c:pt idx="0">
                  <c:v>72.460655074278847</c:v>
                </c:pt>
                <c:pt idx="1">
                  <c:v>77.890578704897052</c:v>
                </c:pt>
                <c:pt idx="2">
                  <c:v>61.993328539770971</c:v>
                </c:pt>
                <c:pt idx="3">
                  <c:v>107.01432319116861</c:v>
                </c:pt>
                <c:pt idx="4">
                  <c:v>102.72292084349472</c:v>
                </c:pt>
                <c:pt idx="5">
                  <c:v>118.53650794693885</c:v>
                </c:pt>
                <c:pt idx="6">
                  <c:v>121.65026992321386</c:v>
                </c:pt>
                <c:pt idx="7">
                  <c:v>104.54270632713136</c:v>
                </c:pt>
                <c:pt idx="8">
                  <c:v>94.637278556123263</c:v>
                </c:pt>
                <c:pt idx="9">
                  <c:v>115.74009735251001</c:v>
                </c:pt>
                <c:pt idx="10">
                  <c:v>92.575100953144315</c:v>
                </c:pt>
                <c:pt idx="11">
                  <c:v>107.10639131234393</c:v>
                </c:pt>
                <c:pt idx="12">
                  <c:v>98.838768044933161</c:v>
                </c:pt>
                <c:pt idx="13">
                  <c:v>118.70791391357571</c:v>
                </c:pt>
                <c:pt idx="14">
                  <c:v>116.06266776225513</c:v>
                </c:pt>
                <c:pt idx="15">
                  <c:v>109.59059642805147</c:v>
                </c:pt>
                <c:pt idx="16">
                  <c:v>116.6690071500783</c:v>
                </c:pt>
                <c:pt idx="17">
                  <c:v>118.70791391357571</c:v>
                </c:pt>
                <c:pt idx="18">
                  <c:v>89.857031043594404</c:v>
                </c:pt>
                <c:pt idx="19">
                  <c:v>96.597673227502526</c:v>
                </c:pt>
                <c:pt idx="20">
                  <c:v>111.8283484982464</c:v>
                </c:pt>
                <c:pt idx="21">
                  <c:v>103.79576281800455</c:v>
                </c:pt>
                <c:pt idx="22">
                  <c:v>108.68068646141583</c:v>
                </c:pt>
                <c:pt idx="23">
                  <c:v>114.59527206471211</c:v>
                </c:pt>
                <c:pt idx="24">
                  <c:v>118.83803083784885</c:v>
                </c:pt>
                <c:pt idx="25">
                  <c:v>99.524323012211198</c:v>
                </c:pt>
                <c:pt idx="26">
                  <c:v>109.69332737900126</c:v>
                </c:pt>
                <c:pt idx="27">
                  <c:v>126.38935065938568</c:v>
                </c:pt>
                <c:pt idx="28">
                  <c:v>117.10493773184722</c:v>
                </c:pt>
                <c:pt idx="29">
                  <c:v>115.67658799798461</c:v>
                </c:pt>
                <c:pt idx="30">
                  <c:v>98.482175308625784</c:v>
                </c:pt>
                <c:pt idx="31">
                  <c:v>98.196480908651935</c:v>
                </c:pt>
                <c:pt idx="32">
                  <c:v>86.092420155903497</c:v>
                </c:pt>
                <c:pt idx="33">
                  <c:v>117.69215502273106</c:v>
                </c:pt>
                <c:pt idx="34">
                  <c:v>112.45802762482052</c:v>
                </c:pt>
                <c:pt idx="35">
                  <c:v>107.85976109233096</c:v>
                </c:pt>
                <c:pt idx="36">
                  <c:v>108.70185624625763</c:v>
                </c:pt>
                <c:pt idx="37">
                  <c:v>131.48479935788842</c:v>
                </c:pt>
                <c:pt idx="38">
                  <c:v>112.14260166487017</c:v>
                </c:pt>
                <c:pt idx="39">
                  <c:v>91.707530556192253</c:v>
                </c:pt>
                <c:pt idx="40">
                  <c:v>114.76667803134896</c:v>
                </c:pt>
                <c:pt idx="41">
                  <c:v>137.12213007033887</c:v>
                </c:pt>
                <c:pt idx="42">
                  <c:v>103.71108367863735</c:v>
                </c:pt>
                <c:pt idx="43">
                  <c:v>113.48639452537228</c:v>
                </c:pt>
                <c:pt idx="44">
                  <c:v>112.77963532361774</c:v>
                </c:pt>
                <c:pt idx="45">
                  <c:v>123.65749994680213</c:v>
                </c:pt>
                <c:pt idx="46">
                  <c:v>110.82854036434458</c:v>
                </c:pt>
                <c:pt idx="47">
                  <c:v>66.52481693620777</c:v>
                </c:pt>
                <c:pt idx="48">
                  <c:v>56.88391378033176</c:v>
                </c:pt>
                <c:pt idx="49">
                  <c:v>98.209211184365714</c:v>
                </c:pt>
                <c:pt idx="50">
                  <c:v>125.65928616851491</c:v>
                </c:pt>
                <c:pt idx="51">
                  <c:v>98.357277412251634</c:v>
                </c:pt>
                <c:pt idx="52">
                  <c:v>114.58136899567177</c:v>
                </c:pt>
                <c:pt idx="53">
                  <c:v>116.30602259254539</c:v>
                </c:pt>
                <c:pt idx="54">
                  <c:v>92.535810457450566</c:v>
                </c:pt>
                <c:pt idx="55">
                  <c:v>78.802384710232857</c:v>
                </c:pt>
                <c:pt idx="56">
                  <c:v>89.761620175183396</c:v>
                </c:pt>
                <c:pt idx="57">
                  <c:v>114.27257938896031</c:v>
                </c:pt>
                <c:pt idx="58">
                  <c:v>94.904921144514532</c:v>
                </c:pt>
                <c:pt idx="59">
                  <c:v>95.440239929997531</c:v>
                </c:pt>
                <c:pt idx="60">
                  <c:v>110.68247268312862</c:v>
                </c:pt>
                <c:pt idx="61">
                  <c:v>135.82923855465506</c:v>
                </c:pt>
                <c:pt idx="62">
                  <c:v>95.493188962718293</c:v>
                </c:pt>
                <c:pt idx="63">
                  <c:v>117.22661514699234</c:v>
                </c:pt>
                <c:pt idx="64">
                  <c:v>99.656609890393497</c:v>
                </c:pt>
                <c:pt idx="65">
                  <c:v>98.926545399522723</c:v>
                </c:pt>
                <c:pt idx="66">
                  <c:v>120.74774893838632</c:v>
                </c:pt>
              </c:numCache>
            </c:numRef>
          </c:xVal>
          <c:yVal>
            <c:numRef>
              <c:f>'Linear Regression Output 7'!$C$106:$C$172</c:f>
              <c:numCache>
                <c:formatCode>0.000</c:formatCode>
                <c:ptCount val="67"/>
                <c:pt idx="0">
                  <c:v>70</c:v>
                </c:pt>
                <c:pt idx="1">
                  <c:v>70</c:v>
                </c:pt>
                <c:pt idx="2">
                  <c:v>50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130</c:v>
                </c:pt>
                <c:pt idx="7">
                  <c:v>90</c:v>
                </c:pt>
                <c:pt idx="8">
                  <c:v>90</c:v>
                </c:pt>
                <c:pt idx="9">
                  <c:v>120</c:v>
                </c:pt>
                <c:pt idx="10">
                  <c:v>110</c:v>
                </c:pt>
                <c:pt idx="11">
                  <c:v>120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100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100</c:v>
                </c:pt>
                <c:pt idx="20">
                  <c:v>110</c:v>
                </c:pt>
                <c:pt idx="21">
                  <c:v>100</c:v>
                </c:pt>
                <c:pt idx="22">
                  <c:v>100</c:v>
                </c:pt>
                <c:pt idx="23">
                  <c:v>110</c:v>
                </c:pt>
                <c:pt idx="24">
                  <c:v>110</c:v>
                </c:pt>
                <c:pt idx="25">
                  <c:v>100</c:v>
                </c:pt>
                <c:pt idx="26">
                  <c:v>120</c:v>
                </c:pt>
                <c:pt idx="27">
                  <c:v>120</c:v>
                </c:pt>
                <c:pt idx="28">
                  <c:v>110</c:v>
                </c:pt>
                <c:pt idx="29">
                  <c:v>110</c:v>
                </c:pt>
                <c:pt idx="30">
                  <c:v>100</c:v>
                </c:pt>
                <c:pt idx="31">
                  <c:v>110</c:v>
                </c:pt>
                <c:pt idx="32">
                  <c:v>120</c:v>
                </c:pt>
                <c:pt idx="33">
                  <c:v>110</c:v>
                </c:pt>
                <c:pt idx="34">
                  <c:v>120</c:v>
                </c:pt>
                <c:pt idx="35">
                  <c:v>110</c:v>
                </c:pt>
                <c:pt idx="36">
                  <c:v>110</c:v>
                </c:pt>
                <c:pt idx="37">
                  <c:v>140</c:v>
                </c:pt>
                <c:pt idx="38">
                  <c:v>110</c:v>
                </c:pt>
                <c:pt idx="39">
                  <c:v>100</c:v>
                </c:pt>
                <c:pt idx="40">
                  <c:v>110</c:v>
                </c:pt>
                <c:pt idx="41">
                  <c:v>160</c:v>
                </c:pt>
                <c:pt idx="42">
                  <c:v>100</c:v>
                </c:pt>
                <c:pt idx="43">
                  <c:v>120</c:v>
                </c:pt>
                <c:pt idx="44">
                  <c:v>130</c:v>
                </c:pt>
                <c:pt idx="45">
                  <c:v>120</c:v>
                </c:pt>
                <c:pt idx="46">
                  <c:v>100</c:v>
                </c:pt>
                <c:pt idx="47">
                  <c:v>50</c:v>
                </c:pt>
                <c:pt idx="48">
                  <c:v>50</c:v>
                </c:pt>
                <c:pt idx="49">
                  <c:v>100</c:v>
                </c:pt>
                <c:pt idx="50">
                  <c:v>120</c:v>
                </c:pt>
                <c:pt idx="51">
                  <c:v>90</c:v>
                </c:pt>
                <c:pt idx="52">
                  <c:v>110</c:v>
                </c:pt>
                <c:pt idx="53">
                  <c:v>110</c:v>
                </c:pt>
                <c:pt idx="54">
                  <c:v>90</c:v>
                </c:pt>
                <c:pt idx="55">
                  <c:v>80</c:v>
                </c:pt>
                <c:pt idx="56">
                  <c:v>90</c:v>
                </c:pt>
                <c:pt idx="57">
                  <c:v>110</c:v>
                </c:pt>
                <c:pt idx="58">
                  <c:v>110</c:v>
                </c:pt>
                <c:pt idx="59">
                  <c:v>90</c:v>
                </c:pt>
                <c:pt idx="60">
                  <c:v>110</c:v>
                </c:pt>
                <c:pt idx="61">
                  <c:v>140</c:v>
                </c:pt>
                <c:pt idx="62">
                  <c:v>100</c:v>
                </c:pt>
                <c:pt idx="63">
                  <c:v>110</c:v>
                </c:pt>
                <c:pt idx="64">
                  <c:v>100</c:v>
                </c:pt>
                <c:pt idx="65">
                  <c:v>100</c:v>
                </c:pt>
                <c:pt idx="6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27-4005-A3ED-C06409FC9E26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77.890578704897052</c:v>
              </c:pt>
            </c:numLit>
          </c:xVal>
          <c:yVal>
            <c:numLit>
              <c:formatCode>General</c:formatCode>
              <c:ptCount val="1"/>
              <c:pt idx="0">
                <c:v>70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027-4005-A3ED-C06409FC9E26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Sheet16_HID!xdata1</c:f>
              <c:numCache>
                <c:formatCode>General</c:formatCode>
                <c:ptCount val="70"/>
                <c:pt idx="0">
                  <c:v>53.674385128731501</c:v>
                </c:pt>
                <c:pt idx="1">
                  <c:v>55.281228186060133</c:v>
                </c:pt>
                <c:pt idx="2">
                  <c:v>56.888071243388758</c:v>
                </c:pt>
                <c:pt idx="3">
                  <c:v>58.49491430071739</c:v>
                </c:pt>
                <c:pt idx="4">
                  <c:v>60.101757358046022</c:v>
                </c:pt>
                <c:pt idx="5">
                  <c:v>61.708600415374647</c:v>
                </c:pt>
                <c:pt idx="6">
                  <c:v>63.315443472703279</c:v>
                </c:pt>
                <c:pt idx="7">
                  <c:v>64.922286530031911</c:v>
                </c:pt>
                <c:pt idx="8">
                  <c:v>66.529129587360543</c:v>
                </c:pt>
                <c:pt idx="9">
                  <c:v>68.135972644689176</c:v>
                </c:pt>
                <c:pt idx="10">
                  <c:v>69.742815702017793</c:v>
                </c:pt>
                <c:pt idx="11">
                  <c:v>71.349658759346426</c:v>
                </c:pt>
                <c:pt idx="12">
                  <c:v>72.956501816675058</c:v>
                </c:pt>
                <c:pt idx="13">
                  <c:v>74.56334487400369</c:v>
                </c:pt>
                <c:pt idx="14">
                  <c:v>76.170187931332322</c:v>
                </c:pt>
                <c:pt idx="15">
                  <c:v>77.777030988660954</c:v>
                </c:pt>
                <c:pt idx="16">
                  <c:v>79.383874045989586</c:v>
                </c:pt>
                <c:pt idx="17">
                  <c:v>80.990717103318218</c:v>
                </c:pt>
                <c:pt idx="18">
                  <c:v>82.59756016064685</c:v>
                </c:pt>
                <c:pt idx="19">
                  <c:v>84.204403217975468</c:v>
                </c:pt>
                <c:pt idx="20">
                  <c:v>85.8112462753041</c:v>
                </c:pt>
                <c:pt idx="21">
                  <c:v>87.418089332632732</c:v>
                </c:pt>
                <c:pt idx="22">
                  <c:v>89.024932389961364</c:v>
                </c:pt>
                <c:pt idx="23">
                  <c:v>90.631775447289996</c:v>
                </c:pt>
                <c:pt idx="24">
                  <c:v>92.238618504618614</c:v>
                </c:pt>
                <c:pt idx="25">
                  <c:v>93.845461561947246</c:v>
                </c:pt>
                <c:pt idx="26">
                  <c:v>95.452304619275878</c:v>
                </c:pt>
                <c:pt idx="27">
                  <c:v>97.05914767660451</c:v>
                </c:pt>
                <c:pt idx="28">
                  <c:v>98.665990733933143</c:v>
                </c:pt>
                <c:pt idx="29">
                  <c:v>100.27283379126177</c:v>
                </c:pt>
                <c:pt idx="30">
                  <c:v>101.87967684859041</c:v>
                </c:pt>
                <c:pt idx="31">
                  <c:v>103.48651990591904</c:v>
                </c:pt>
                <c:pt idx="32">
                  <c:v>105.09336296324767</c:v>
                </c:pt>
                <c:pt idx="33">
                  <c:v>106.7002060205763</c:v>
                </c:pt>
                <c:pt idx="34">
                  <c:v>108.30704907790492</c:v>
                </c:pt>
                <c:pt idx="35">
                  <c:v>109.91389213523355</c:v>
                </c:pt>
                <c:pt idx="36">
                  <c:v>111.52073519256219</c:v>
                </c:pt>
                <c:pt idx="37">
                  <c:v>113.12757824989082</c:v>
                </c:pt>
                <c:pt idx="38">
                  <c:v>114.73442130721943</c:v>
                </c:pt>
                <c:pt idx="39">
                  <c:v>116.34126436454807</c:v>
                </c:pt>
                <c:pt idx="40">
                  <c:v>117.9481074218767</c:v>
                </c:pt>
                <c:pt idx="41">
                  <c:v>119.55495047920533</c:v>
                </c:pt>
                <c:pt idx="42">
                  <c:v>121.16179353653396</c:v>
                </c:pt>
                <c:pt idx="43">
                  <c:v>122.7686365938626</c:v>
                </c:pt>
                <c:pt idx="44">
                  <c:v>124.37547965119123</c:v>
                </c:pt>
                <c:pt idx="45">
                  <c:v>125.98232270851986</c:v>
                </c:pt>
                <c:pt idx="46">
                  <c:v>127.58916576584849</c:v>
                </c:pt>
                <c:pt idx="47">
                  <c:v>129.19600882317712</c:v>
                </c:pt>
                <c:pt idx="48">
                  <c:v>130.80285188050573</c:v>
                </c:pt>
                <c:pt idx="49">
                  <c:v>132.40969493783439</c:v>
                </c:pt>
                <c:pt idx="50">
                  <c:v>134.01653799516299</c:v>
                </c:pt>
                <c:pt idx="51">
                  <c:v>135.62338105249165</c:v>
                </c:pt>
                <c:pt idx="52">
                  <c:v>137.23022410982026</c:v>
                </c:pt>
                <c:pt idx="53">
                  <c:v>138.83706716714892</c:v>
                </c:pt>
                <c:pt idx="54">
                  <c:v>140.44391022447752</c:v>
                </c:pt>
                <c:pt idx="55">
                  <c:v>142.05075328180615</c:v>
                </c:pt>
                <c:pt idx="56">
                  <c:v>143.65759633913478</c:v>
                </c:pt>
                <c:pt idx="57">
                  <c:v>145.26443939646342</c:v>
                </c:pt>
                <c:pt idx="58">
                  <c:v>146.87128245379205</c:v>
                </c:pt>
                <c:pt idx="59">
                  <c:v>148.47812551112068</c:v>
                </c:pt>
                <c:pt idx="60">
                  <c:v>150.08496856844931</c:v>
                </c:pt>
                <c:pt idx="61">
                  <c:v>151.69181162577792</c:v>
                </c:pt>
                <c:pt idx="62">
                  <c:v>153.29865468310658</c:v>
                </c:pt>
                <c:pt idx="63">
                  <c:v>154.90549774043518</c:v>
                </c:pt>
                <c:pt idx="64">
                  <c:v>156.51234079776384</c:v>
                </c:pt>
                <c:pt idx="65">
                  <c:v>158.11918385509244</c:v>
                </c:pt>
                <c:pt idx="66">
                  <c:v>159.7260269124211</c:v>
                </c:pt>
                <c:pt idx="67">
                  <c:v>161.33286996974971</c:v>
                </c:pt>
                <c:pt idx="68">
                  <c:v>162.93971302707834</c:v>
                </c:pt>
                <c:pt idx="69">
                  <c:v>164.54655608440697</c:v>
                </c:pt>
              </c:numCache>
            </c:numRef>
          </c:xVal>
          <c:yVal>
            <c:numRef>
              <c:f>Sheet16_HID!ydata1</c:f>
              <c:numCache>
                <c:formatCode>General</c:formatCode>
                <c:ptCount val="70"/>
                <c:pt idx="0">
                  <c:v>32.410720702244198</c:v>
                </c:pt>
                <c:pt idx="1">
                  <c:v>34.104037403101039</c:v>
                </c:pt>
                <c:pt idx="2">
                  <c:v>35.794969924342595</c:v>
                </c:pt>
                <c:pt idx="3">
                  <c:v>37.483489640895769</c:v>
                </c:pt>
                <c:pt idx="4">
                  <c:v>39.169568308706573</c:v>
                </c:pt>
                <c:pt idx="5">
                  <c:v>40.853178105065837</c:v>
                </c:pt>
                <c:pt idx="6">
                  <c:v>42.534291669507191</c:v>
                </c:pt>
                <c:pt idx="7">
                  <c:v>44.212882145169779</c:v>
                </c:pt>
                <c:pt idx="8">
                  <c:v>45.888923220511217</c:v>
                </c:pt>
                <c:pt idx="9">
                  <c:v>47.562389171248739</c:v>
                </c:pt>
                <c:pt idx="10">
                  <c:v>49.23325490239975</c:v>
                </c:pt>
                <c:pt idx="11">
                  <c:v>50.901495990286946</c:v>
                </c:pt>
                <c:pt idx="12">
                  <c:v>52.567088724366961</c:v>
                </c:pt>
                <c:pt idx="13">
                  <c:v>54.23001014873708</c:v>
                </c:pt>
                <c:pt idx="14">
                  <c:v>55.890238103169665</c:v>
                </c:pt>
                <c:pt idx="15">
                  <c:v>57.547751263520723</c:v>
                </c:pt>
                <c:pt idx="16">
                  <c:v>59.202529181356347</c:v>
                </c:pt>
                <c:pt idx="17">
                  <c:v>60.854552322639137</c:v>
                </c:pt>
                <c:pt idx="18">
                  <c:v>62.503802105315927</c:v>
                </c:pt>
                <c:pt idx="19">
                  <c:v>64.150260935648731</c:v>
                </c:pt>
                <c:pt idx="20">
                  <c:v>65.793912243132183</c:v>
                </c:pt>
                <c:pt idx="21">
                  <c:v>67.434740513843522</c:v>
                </c:pt>
                <c:pt idx="22">
                  <c:v>69.072731322074787</c:v>
                </c:pt>
                <c:pt idx="23">
                  <c:v>70.707871360102232</c:v>
                </c:pt>
                <c:pt idx="24">
                  <c:v>72.34014846595349</c:v>
                </c:pt>
                <c:pt idx="25">
                  <c:v>73.969551649041023</c:v>
                </c:pt>
                <c:pt idx="26">
                  <c:v>75.596071113537988</c:v>
                </c:pt>
                <c:pt idx="27">
                  <c:v>77.219698279382698</c:v>
                </c:pt>
                <c:pt idx="28">
                  <c:v>78.840425800807623</c:v>
                </c:pt>
                <c:pt idx="29">
                  <c:v>80.458247582300956</c:v>
                </c:pt>
                <c:pt idx="30">
                  <c:v>82.073158791919809</c:v>
                </c:pt>
                <c:pt idx="31">
                  <c:v>83.685155871888213</c:v>
                </c:pt>
                <c:pt idx="32">
                  <c:v>85.294236546425282</c:v>
                </c:pt>
                <c:pt idx="33">
                  <c:v>86.900399826763874</c:v>
                </c:pt>
                <c:pt idx="34">
                  <c:v>88.503646013333807</c:v>
                </c:pt>
                <c:pt idx="35">
                  <c:v>90.103976695098268</c:v>
                </c:pt>
                <c:pt idx="36">
                  <c:v>91.701394746047086</c:v>
                </c:pt>
                <c:pt idx="37">
                  <c:v>93.295904318864686</c:v>
                </c:pt>
                <c:pt idx="38">
                  <c:v>94.887510835805315</c:v>
                </c:pt>
                <c:pt idx="39">
                  <c:v>96.476220976822304</c:v>
                </c:pt>
                <c:pt idx="40">
                  <c:v>98.062042665011404</c:v>
                </c:pt>
                <c:pt idx="41">
                  <c:v>99.644985049442113</c:v>
                </c:pt>
                <c:pt idx="42">
                  <c:v>101.22505848546288</c:v>
                </c:pt>
                <c:pt idx="43">
                  <c:v>102.80227451257798</c:v>
                </c:pt>
                <c:pt idx="44">
                  <c:v>104.37664583000488</c:v>
                </c:pt>
                <c:pt idx="45">
                  <c:v>105.94818627003049</c:v>
                </c:pt>
                <c:pt idx="46">
                  <c:v>107.51691076929413</c:v>
                </c:pt>
                <c:pt idx="47">
                  <c:v>109.08283533813233</c:v>
                </c:pt>
                <c:pt idx="48">
                  <c:v>110.64597702812769</c:v>
                </c:pt>
                <c:pt idx="49">
                  <c:v>112.2063538980097</c:v>
                </c:pt>
                <c:pt idx="50">
                  <c:v>113.76398497805887</c:v>
                </c:pt>
                <c:pt idx="51">
                  <c:v>115.31889023317105</c:v>
                </c:pt>
                <c:pt idx="52">
                  <c:v>116.87109052473737</c:v>
                </c:pt>
                <c:pt idx="53">
                  <c:v>118.42060757150064</c:v>
                </c:pt>
                <c:pt idx="54">
                  <c:v>119.96746390954434</c:v>
                </c:pt>
                <c:pt idx="55">
                  <c:v>121.51168285157352</c:v>
                </c:pt>
                <c:pt idx="56">
                  <c:v>123.05328844564112</c:v>
                </c:pt>
                <c:pt idx="57">
                  <c:v>124.59230543347284</c:v>
                </c:pt>
                <c:pt idx="58">
                  <c:v>126.12875920853848</c:v>
                </c:pt>
                <c:pt idx="59">
                  <c:v>127.66267577401305</c:v>
                </c:pt>
                <c:pt idx="60">
                  <c:v>129.19408170076613</c:v>
                </c:pt>
                <c:pt idx="61">
                  <c:v>130.72300408551149</c:v>
                </c:pt>
                <c:pt idx="62">
                  <c:v>132.24947050924263</c:v>
                </c:pt>
                <c:pt idx="63">
                  <c:v>133.77350899607256</c:v>
                </c:pt>
                <c:pt idx="64">
                  <c:v>135.29514797259006</c:v>
                </c:pt>
                <c:pt idx="65">
                  <c:v>136.81441622783453</c:v>
                </c:pt>
                <c:pt idx="66">
                  <c:v>138.33134287398715</c:v>
                </c:pt>
                <c:pt idx="67">
                  <c:v>139.84595730786413</c:v>
                </c:pt>
                <c:pt idx="68">
                  <c:v>141.35828917329405</c:v>
                </c:pt>
                <c:pt idx="69">
                  <c:v>142.86836832444894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27-4005-A3ED-C06409FC9E2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Sheet16_HID!xdata2</c:f>
              <c:numCache>
                <c:formatCode>General</c:formatCode>
                <c:ptCount val="70"/>
                <c:pt idx="0">
                  <c:v>45.507131024265398</c:v>
                </c:pt>
                <c:pt idx="1">
                  <c:v>47.232340083108028</c:v>
                </c:pt>
                <c:pt idx="2">
                  <c:v>48.957549141950658</c:v>
                </c:pt>
                <c:pt idx="3">
                  <c:v>50.682758200793288</c:v>
                </c:pt>
                <c:pt idx="4">
                  <c:v>52.407967259635917</c:v>
                </c:pt>
                <c:pt idx="5">
                  <c:v>54.133176318478547</c:v>
                </c:pt>
                <c:pt idx="6">
                  <c:v>55.858385377321177</c:v>
                </c:pt>
                <c:pt idx="7">
                  <c:v>57.583594436163807</c:v>
                </c:pt>
                <c:pt idx="8">
                  <c:v>59.308803495006437</c:v>
                </c:pt>
                <c:pt idx="9">
                  <c:v>61.034012553849067</c:v>
                </c:pt>
                <c:pt idx="10">
                  <c:v>62.759221612691704</c:v>
                </c:pt>
                <c:pt idx="11">
                  <c:v>64.484430671534327</c:v>
                </c:pt>
                <c:pt idx="12">
                  <c:v>66.209639730376963</c:v>
                </c:pt>
                <c:pt idx="13">
                  <c:v>67.934848789219586</c:v>
                </c:pt>
                <c:pt idx="14">
                  <c:v>69.660057848062223</c:v>
                </c:pt>
                <c:pt idx="15">
                  <c:v>71.385266906904846</c:v>
                </c:pt>
                <c:pt idx="16">
                  <c:v>73.110475965747483</c:v>
                </c:pt>
                <c:pt idx="17">
                  <c:v>74.835685024590106</c:v>
                </c:pt>
                <c:pt idx="18">
                  <c:v>76.560894083432743</c:v>
                </c:pt>
                <c:pt idx="19">
                  <c:v>78.28610314227538</c:v>
                </c:pt>
                <c:pt idx="20">
                  <c:v>80.011312201118002</c:v>
                </c:pt>
                <c:pt idx="21">
                  <c:v>81.736521259960625</c:v>
                </c:pt>
                <c:pt idx="22">
                  <c:v>83.461730318803262</c:v>
                </c:pt>
                <c:pt idx="23">
                  <c:v>85.186939377645899</c:v>
                </c:pt>
                <c:pt idx="24">
                  <c:v>86.912148436488522</c:v>
                </c:pt>
                <c:pt idx="25">
                  <c:v>88.637357495331145</c:v>
                </c:pt>
                <c:pt idx="26">
                  <c:v>90.362566554173782</c:v>
                </c:pt>
                <c:pt idx="27">
                  <c:v>92.087775613016419</c:v>
                </c:pt>
                <c:pt idx="28">
                  <c:v>93.812984671859041</c:v>
                </c:pt>
                <c:pt idx="29">
                  <c:v>95.538193730701664</c:v>
                </c:pt>
                <c:pt idx="30">
                  <c:v>97.263402789544301</c:v>
                </c:pt>
                <c:pt idx="31">
                  <c:v>98.988611848386938</c:v>
                </c:pt>
                <c:pt idx="32">
                  <c:v>100.71382090722956</c:v>
                </c:pt>
                <c:pt idx="33">
                  <c:v>102.43902996607218</c:v>
                </c:pt>
                <c:pt idx="34">
                  <c:v>104.16423902491482</c:v>
                </c:pt>
                <c:pt idx="35">
                  <c:v>105.88944808375746</c:v>
                </c:pt>
                <c:pt idx="36">
                  <c:v>107.61465714260008</c:v>
                </c:pt>
                <c:pt idx="37">
                  <c:v>109.3398662014427</c:v>
                </c:pt>
                <c:pt idx="38">
                  <c:v>111.06507526028534</c:v>
                </c:pt>
                <c:pt idx="39">
                  <c:v>112.79028431912798</c:v>
                </c:pt>
                <c:pt idx="40">
                  <c:v>114.51549337797061</c:v>
                </c:pt>
                <c:pt idx="41">
                  <c:v>116.24070243681322</c:v>
                </c:pt>
                <c:pt idx="42">
                  <c:v>117.96591149565586</c:v>
                </c:pt>
                <c:pt idx="43">
                  <c:v>119.6911205544985</c:v>
                </c:pt>
                <c:pt idx="44">
                  <c:v>121.41632961334113</c:v>
                </c:pt>
                <c:pt idx="45">
                  <c:v>123.14153867218374</c:v>
                </c:pt>
                <c:pt idx="46">
                  <c:v>124.86674773102638</c:v>
                </c:pt>
                <c:pt idx="47">
                  <c:v>126.59195678986902</c:v>
                </c:pt>
                <c:pt idx="48">
                  <c:v>128.31716584871165</c:v>
                </c:pt>
                <c:pt idx="49">
                  <c:v>130.04237490755426</c:v>
                </c:pt>
                <c:pt idx="50">
                  <c:v>131.7675839663969</c:v>
                </c:pt>
                <c:pt idx="51">
                  <c:v>133.49279302523954</c:v>
                </c:pt>
                <c:pt idx="52">
                  <c:v>135.21800208408217</c:v>
                </c:pt>
                <c:pt idx="53">
                  <c:v>136.94321114292478</c:v>
                </c:pt>
                <c:pt idx="54">
                  <c:v>138.66842020176742</c:v>
                </c:pt>
                <c:pt idx="55">
                  <c:v>140.39362926061006</c:v>
                </c:pt>
                <c:pt idx="56">
                  <c:v>142.11883831945269</c:v>
                </c:pt>
                <c:pt idx="57">
                  <c:v>143.8440473782953</c:v>
                </c:pt>
                <c:pt idx="58">
                  <c:v>145.56925643713794</c:v>
                </c:pt>
                <c:pt idx="59">
                  <c:v>147.29446549598057</c:v>
                </c:pt>
                <c:pt idx="60">
                  <c:v>149.01967455482321</c:v>
                </c:pt>
                <c:pt idx="61">
                  <c:v>150.74488361366582</c:v>
                </c:pt>
                <c:pt idx="62">
                  <c:v>152.47009267250846</c:v>
                </c:pt>
                <c:pt idx="63">
                  <c:v>154.19530173135109</c:v>
                </c:pt>
                <c:pt idx="64">
                  <c:v>155.92051079019373</c:v>
                </c:pt>
                <c:pt idx="65">
                  <c:v>157.64571984903637</c:v>
                </c:pt>
                <c:pt idx="66">
                  <c:v>159.37092890787898</c:v>
                </c:pt>
                <c:pt idx="67">
                  <c:v>161.09613796672161</c:v>
                </c:pt>
                <c:pt idx="68">
                  <c:v>162.82134702556425</c:v>
                </c:pt>
                <c:pt idx="69">
                  <c:v>164.54655608440689</c:v>
                </c:pt>
              </c:numCache>
            </c:numRef>
          </c:xVal>
          <c:yVal>
            <c:numRef>
              <c:f>Sheet16_HID!ydata2</c:f>
              <c:numCache>
                <c:formatCode>General</c:formatCode>
                <c:ptCount val="70"/>
                <c:pt idx="0">
                  <c:v>67.246112230205895</c:v>
                </c:pt>
                <c:pt idx="1">
                  <c:v>68.866041635872932</c:v>
                </c:pt>
                <c:pt idx="2">
                  <c:v>70.488549085573496</c:v>
                </c:pt>
                <c:pt idx="3">
                  <c:v>72.113671642986688</c:v>
                </c:pt>
                <c:pt idx="4">
                  <c:v>73.741446114656242</c:v>
                </c:pt>
                <c:pt idx="5">
                  <c:v>75.371908998295581</c:v>
                </c:pt>
                <c:pt idx="6">
                  <c:v>77.005096429590552</c:v>
                </c:pt>
                <c:pt idx="7">
                  <c:v>78.641044127613398</c:v>
                </c:pt>
                <c:pt idx="8">
                  <c:v>80.279787338975311</c:v>
                </c:pt>
                <c:pt idx="9">
                  <c:v>81.921360780859402</c:v>
                </c:pt>
                <c:pt idx="10">
                  <c:v>83.565798583089673</c:v>
                </c:pt>
                <c:pt idx="11">
                  <c:v>85.213134229405796</c:v>
                </c:pt>
                <c:pt idx="12">
                  <c:v>86.863400498126907</c:v>
                </c:pt>
                <c:pt idx="13">
                  <c:v>88.516629402400127</c:v>
                </c:pt>
                <c:pt idx="14">
                  <c:v>90.172852130242745</c:v>
                </c:pt>
                <c:pt idx="15">
                  <c:v>91.832098984596868</c:v>
                </c:pt>
                <c:pt idx="16">
                  <c:v>93.494399323627547</c:v>
                </c:pt>
                <c:pt idx="17">
                  <c:v>95.159781501502337</c:v>
                </c:pt>
                <c:pt idx="18">
                  <c:v>96.828272809900028</c:v>
                </c:pt>
                <c:pt idx="19">
                  <c:v>98.499899420500711</c:v>
                </c:pt>
                <c:pt idx="20">
                  <c:v>100.17468632871501</c:v>
                </c:pt>
                <c:pt idx="21">
                  <c:v>101.85265729891245</c:v>
                </c:pt>
                <c:pt idx="22">
                  <c:v>103.53383481140938</c:v>
                </c:pt>
                <c:pt idx="23">
                  <c:v>105.21824001147634</c:v>
                </c:pt>
                <c:pt idx="24">
                  <c:v>106.90589266062042</c:v>
                </c:pt>
                <c:pt idx="25">
                  <c:v>108.59681109039317</c:v>
                </c:pt>
                <c:pt idx="26">
                  <c:v>110.29101215896637</c:v>
                </c:pt>
                <c:pt idx="27">
                  <c:v>111.98851121070813</c:v>
                </c:pt>
                <c:pt idx="28">
                  <c:v>113.68932203897991</c:v>
                </c:pt>
                <c:pt idx="29">
                  <c:v>115.39345685236017</c:v>
                </c:pt>
                <c:pt idx="30">
                  <c:v>117.10092624448428</c:v>
                </c:pt>
                <c:pt idx="31">
                  <c:v>118.81173916767263</c:v>
                </c:pt>
                <c:pt idx="32">
                  <c:v>120.52590291049822</c:v>
                </c:pt>
                <c:pt idx="33">
                  <c:v>122.24342307942429</c:v>
                </c:pt>
                <c:pt idx="34">
                  <c:v>123.9643035846189</c:v>
                </c:pt>
                <c:pt idx="35">
                  <c:v>125.68854663003036</c:v>
                </c:pt>
                <c:pt idx="36">
                  <c:v>127.41615270778195</c:v>
                </c:pt>
                <c:pt idx="37">
                  <c:v>129.14712059691919</c:v>
                </c:pt>
                <c:pt idx="38">
                  <c:v>130.88144736651719</c:v>
                </c:pt>
                <c:pt idx="39">
                  <c:v>132.61912838312929</c:v>
                </c:pt>
                <c:pt idx="40">
                  <c:v>134.36015732253341</c:v>
                </c:pt>
                <c:pt idx="41">
                  <c:v>136.1045261857065</c:v>
                </c:pt>
                <c:pt idx="42">
                  <c:v>137.85222531893334</c:v>
                </c:pt>
                <c:pt idx="43">
                  <c:v>139.60324343793241</c:v>
                </c:pt>
                <c:pt idx="44">
                  <c:v>141.35756765585955</c:v>
                </c:pt>
                <c:pt idx="45">
                  <c:v>143.11518351502875</c:v>
                </c:pt>
                <c:pt idx="46">
                  <c:v>144.87607502217111</c:v>
                </c:pt>
                <c:pt idx="47">
                  <c:v>146.64022468703422</c:v>
                </c:pt>
                <c:pt idx="48">
                  <c:v>148.40761356411051</c:v>
                </c:pt>
                <c:pt idx="49">
                  <c:v>150.17822129726829</c:v>
                </c:pt>
                <c:pt idx="50">
                  <c:v>151.95202616704887</c:v>
                </c:pt>
                <c:pt idx="51">
                  <c:v>153.7290051403829</c:v>
                </c:pt>
                <c:pt idx="52">
                  <c:v>155.50913392247415</c:v>
                </c:pt>
                <c:pt idx="53">
                  <c:v>157.29238701059199</c:v>
                </c:pt>
                <c:pt idx="54">
                  <c:v>159.07873774951295</c:v>
                </c:pt>
                <c:pt idx="55">
                  <c:v>160.86815838835031</c:v>
                </c:pt>
                <c:pt idx="56">
                  <c:v>162.66062013851291</c:v>
                </c:pt>
                <c:pt idx="57">
                  <c:v>164.45609323253737</c:v>
                </c:pt>
                <c:pt idx="58">
                  <c:v>166.25454698354307</c:v>
                </c:pt>
                <c:pt idx="59">
                  <c:v>168.05594984506629</c:v>
                </c:pt>
                <c:pt idx="60">
                  <c:v>169.86026947103855</c:v>
                </c:pt>
                <c:pt idx="61">
                  <c:v>171.66747277568265</c:v>
                </c:pt>
                <c:pt idx="62">
                  <c:v>173.47752599311247</c:v>
                </c:pt>
                <c:pt idx="63">
                  <c:v>175.29039473643209</c:v>
                </c:pt>
                <c:pt idx="64">
                  <c:v>177.10604405614498</c:v>
                </c:pt>
                <c:pt idx="65">
                  <c:v>178.92443849769447</c:v>
                </c:pt>
                <c:pt idx="66">
                  <c:v>180.74554215797286</c:v>
                </c:pt>
                <c:pt idx="67">
                  <c:v>182.5693187406485</c:v>
                </c:pt>
                <c:pt idx="68">
                  <c:v>184.39573161017549</c:v>
                </c:pt>
                <c:pt idx="69">
                  <c:v>186.22474384436492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27-4005-A3ED-C06409FC9E26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20</c:v>
              </c:pt>
              <c:pt idx="1">
                <c:v>200</c:v>
              </c:pt>
            </c:numLit>
          </c:xVal>
          <c:yVal>
            <c:numLit>
              <c:formatCode>General</c:formatCode>
              <c:ptCount val="2"/>
              <c:pt idx="0">
                <c:v>20</c:v>
              </c:pt>
              <c:pt idx="1">
                <c:v>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027-4005-A3ED-C06409FC9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791336"/>
        <c:axId val="811791696"/>
      </c:scatterChart>
      <c:valAx>
        <c:axId val="811791336"/>
        <c:scaling>
          <c:orientation val="minMax"/>
          <c:max val="20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Pred(Calories)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11791696"/>
        <c:crosses val="autoZero"/>
        <c:crossBetween val="midCat"/>
      </c:valAx>
      <c:valAx>
        <c:axId val="811791696"/>
        <c:scaling>
          <c:orientation val="minMax"/>
          <c:max val="20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Calories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1179133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Calories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7'!$A$106:$A$172</c:f>
              <c:strCache>
                <c:ptCount val="67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</c:strCache>
            </c:strRef>
          </c:cat>
          <c:val>
            <c:numRef>
              <c:f>'Linear Regression Output 7'!$F$106:$F$172</c:f>
              <c:numCache>
                <c:formatCode>0.000</c:formatCode>
                <c:ptCount val="67"/>
                <c:pt idx="0">
                  <c:v>-0.25028259753766413</c:v>
                </c:pt>
                <c:pt idx="1">
                  <c:v>-0.80258080662353526</c:v>
                </c:pt>
                <c:pt idx="2">
                  <c:v>-1.219887115196836</c:v>
                </c:pt>
                <c:pt idx="3">
                  <c:v>0.30368455739018446</c:v>
                </c:pt>
                <c:pt idx="4">
                  <c:v>0.74017943141060438</c:v>
                </c:pt>
                <c:pt idx="5">
                  <c:v>-0.86828072946669788</c:v>
                </c:pt>
                <c:pt idx="6">
                  <c:v>0.84928284106168717</c:v>
                </c:pt>
                <c:pt idx="7">
                  <c:v>-1.4791940377293977</c:v>
                </c:pt>
                <c:pt idx="8">
                  <c:v>-0.47167526024442452</c:v>
                </c:pt>
                <c:pt idx="9">
                  <c:v>0.43329091956695198</c:v>
                </c:pt>
                <c:pt idx="10">
                  <c:v>1.7723528343592596</c:v>
                </c:pt>
                <c:pt idx="11">
                  <c:v>1.3114580372165796</c:v>
                </c:pt>
                <c:pt idx="12">
                  <c:v>1.135251403024538</c:v>
                </c:pt>
                <c:pt idx="13">
                  <c:v>-0.88571508303041258</c:v>
                </c:pt>
                <c:pt idx="14">
                  <c:v>-0.61665702414214874</c:v>
                </c:pt>
                <c:pt idx="15">
                  <c:v>-0.97549608274603339</c:v>
                </c:pt>
                <c:pt idx="16">
                  <c:v>-0.67833011215845906</c:v>
                </c:pt>
                <c:pt idx="17">
                  <c:v>-0.88571508303041258</c:v>
                </c:pt>
                <c:pt idx="18">
                  <c:v>2.0488180750027452</c:v>
                </c:pt>
                <c:pt idx="19">
                  <c:v>0.34606361175678796</c:v>
                </c:pt>
                <c:pt idx="20">
                  <c:v>-0.18596828792808665</c:v>
                </c:pt>
                <c:pt idx="21">
                  <c:v>-0.38608149011111842</c:v>
                </c:pt>
                <c:pt idx="22">
                  <c:v>-0.8829456751917687</c:v>
                </c:pt>
                <c:pt idx="23">
                  <c:v>-0.46740262004640354</c:v>
                </c:pt>
                <c:pt idx="24">
                  <c:v>-0.89894977087069716</c:v>
                </c:pt>
                <c:pt idx="25">
                  <c:v>4.8382917759233098E-2</c:v>
                </c:pt>
                <c:pt idx="26">
                  <c:v>1.0483309190784882</c:v>
                </c:pt>
                <c:pt idx="27">
                  <c:v>-0.64988518558567288</c:v>
                </c:pt>
                <c:pt idx="28">
                  <c:v>-0.7226702716110005</c:v>
                </c:pt>
                <c:pt idx="29">
                  <c:v>-0.57738738116438437</c:v>
                </c:pt>
                <c:pt idx="30">
                  <c:v>0.1543837290869694</c:v>
                </c:pt>
                <c:pt idx="31">
                  <c:v>1.2005808734220116</c:v>
                </c:pt>
                <c:pt idx="32">
                  <c:v>3.4488690626756697</c:v>
                </c:pt>
                <c:pt idx="33">
                  <c:v>-0.78239837833254544</c:v>
                </c:pt>
                <c:pt idx="34">
                  <c:v>0.76712272936930848</c:v>
                </c:pt>
                <c:pt idx="35">
                  <c:v>0.21769184911849962</c:v>
                </c:pt>
                <c:pt idx="36">
                  <c:v>0.1320391443970072</c:v>
                </c:pt>
                <c:pt idx="37">
                  <c:v>0.86611348235659247</c:v>
                </c:pt>
                <c:pt idx="38">
                  <c:v>-0.21793217415057348</c:v>
                </c:pt>
                <c:pt idx="39">
                  <c:v>0.84345864403858983</c:v>
                </c:pt>
                <c:pt idx="40">
                  <c:v>-0.48483697361011824</c:v>
                </c:pt>
                <c:pt idx="41">
                  <c:v>2.3269952672267666</c:v>
                </c:pt>
                <c:pt idx="42">
                  <c:v>-0.37746845239623794</c:v>
                </c:pt>
                <c:pt idx="43">
                  <c:v>0.66252361599406906</c:v>
                </c:pt>
                <c:pt idx="44">
                  <c:v>1.7515488646916204</c:v>
                </c:pt>
                <c:pt idx="45">
                  <c:v>-0.37201824698969171</c:v>
                </c:pt>
                <c:pt idx="46">
                  <c:v>-1.1014120744752862</c:v>
                </c:pt>
                <c:pt idx="47">
                  <c:v>-1.6808020554610161</c:v>
                </c:pt>
                <c:pt idx="48">
                  <c:v>-0.70018908386487178</c:v>
                </c:pt>
                <c:pt idx="49">
                  <c:v>0.18214794958602756</c:v>
                </c:pt>
                <c:pt idx="50">
                  <c:v>-0.57562754620535428</c:v>
                </c:pt>
                <c:pt idx="51">
                  <c:v>-0.85005050929139403</c:v>
                </c:pt>
                <c:pt idx="52">
                  <c:v>-0.46598848595278974</c:v>
                </c:pt>
                <c:pt idx="53">
                  <c:v>-0.64140957060225501</c:v>
                </c:pt>
                <c:pt idx="54">
                  <c:v>-0.25792693774437475</c:v>
                </c:pt>
                <c:pt idx="55">
                  <c:v>0.12181401152357338</c:v>
                </c:pt>
                <c:pt idx="56">
                  <c:v>2.4246519709048838E-2</c:v>
                </c:pt>
                <c:pt idx="57">
                  <c:v>-0.43458031921368379</c:v>
                </c:pt>
                <c:pt idx="58">
                  <c:v>1.5353779509686116</c:v>
                </c:pt>
                <c:pt idx="59">
                  <c:v>-0.55334751917919678</c:v>
                </c:pt>
                <c:pt idx="60">
                  <c:v>-6.9416895389936381E-2</c:v>
                </c:pt>
                <c:pt idx="61">
                  <c:v>0.42422402845583856</c:v>
                </c:pt>
                <c:pt idx="62">
                  <c:v>0.45840491209555662</c:v>
                </c:pt>
                <c:pt idx="63">
                  <c:v>-0.73504654484105358</c:v>
                </c:pt>
                <c:pt idx="64">
                  <c:v>3.4927515643876583E-2</c:v>
                </c:pt>
                <c:pt idx="65">
                  <c:v>0.10918515502419512</c:v>
                </c:pt>
                <c:pt idx="66">
                  <c:v>-1.0931944708952601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9-4923-8A18-73EA895F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275782496"/>
        <c:axId val="1275777456"/>
      </c:barChart>
      <c:catAx>
        <c:axId val="1275782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75777456"/>
        <c:crosses val="autoZero"/>
        <c:auto val="1"/>
        <c:lblAlgn val="ctr"/>
        <c:lblOffset val="100"/>
        <c:noMultiLvlLbl val="0"/>
      </c:catAx>
      <c:valAx>
        <c:axId val="1275777456"/>
        <c:scaling>
          <c:orientation val="minMax"/>
          <c:max val="4"/>
          <c:min val="-4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7578249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Calories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53-4684-A5F9-9193E009232D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953-4684-A5F9-9193E00923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0.14793521587235536</c:v>
                </c:pt>
                <c:pt idx="1">
                  <c:v>0.14793521587235525</c:v>
                </c:pt>
              </c:numLit>
            </c:plus>
            <c:minus>
              <c:numLit>
                <c:formatCode>General</c:formatCode>
                <c:ptCount val="2"/>
                <c:pt idx="0">
                  <c:v>0.14793521587235536</c:v>
                </c:pt>
                <c:pt idx="1">
                  <c:v>0.14793521587235536</c:v>
                </c:pt>
              </c:numLit>
            </c:minus>
          </c:errBars>
          <c:cat>
            <c:strRef>
              <c:f>'Linear Regression Output 8'!$A$71:$A$72</c:f>
              <c:strCache>
                <c:ptCount val="2"/>
                <c:pt idx="0">
                  <c:v>Carbs</c:v>
                </c:pt>
                <c:pt idx="1">
                  <c:v>Sugars</c:v>
                </c:pt>
              </c:strCache>
            </c:strRef>
          </c:cat>
          <c:val>
            <c:numRef>
              <c:f>'Linear Regression Output 8'!$B$71:$B$72</c:f>
              <c:numCache>
                <c:formatCode>0.000</c:formatCode>
                <c:ptCount val="2"/>
                <c:pt idx="0">
                  <c:v>0.69049699954151</c:v>
                </c:pt>
                <c:pt idx="1">
                  <c:v>0.91728109563952365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3-4684-A5F9-9193E0092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12283952"/>
        <c:axId val="812281432"/>
      </c:barChart>
      <c:catAx>
        <c:axId val="81228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12281432"/>
        <c:crosses val="autoZero"/>
        <c:auto val="1"/>
        <c:lblAlgn val="ctr"/>
        <c:lblOffset val="100"/>
        <c:noMultiLvlLbl val="0"/>
      </c:catAx>
      <c:valAx>
        <c:axId val="812281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12283952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Calories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8'!$C$98:$C$164</c:f>
              <c:numCache>
                <c:formatCode>0.000</c:formatCode>
                <c:ptCount val="67"/>
                <c:pt idx="0">
                  <c:v>70</c:v>
                </c:pt>
                <c:pt idx="1">
                  <c:v>70</c:v>
                </c:pt>
                <c:pt idx="2">
                  <c:v>50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130</c:v>
                </c:pt>
                <c:pt idx="7">
                  <c:v>90</c:v>
                </c:pt>
                <c:pt idx="8">
                  <c:v>90</c:v>
                </c:pt>
                <c:pt idx="9">
                  <c:v>120</c:v>
                </c:pt>
                <c:pt idx="10">
                  <c:v>110</c:v>
                </c:pt>
                <c:pt idx="11">
                  <c:v>120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100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100</c:v>
                </c:pt>
                <c:pt idx="20">
                  <c:v>110</c:v>
                </c:pt>
                <c:pt idx="21">
                  <c:v>100</c:v>
                </c:pt>
                <c:pt idx="22">
                  <c:v>100</c:v>
                </c:pt>
                <c:pt idx="23">
                  <c:v>110</c:v>
                </c:pt>
                <c:pt idx="24">
                  <c:v>110</c:v>
                </c:pt>
                <c:pt idx="25">
                  <c:v>100</c:v>
                </c:pt>
                <c:pt idx="26">
                  <c:v>120</c:v>
                </c:pt>
                <c:pt idx="27">
                  <c:v>120</c:v>
                </c:pt>
                <c:pt idx="28">
                  <c:v>110</c:v>
                </c:pt>
                <c:pt idx="29">
                  <c:v>110</c:v>
                </c:pt>
                <c:pt idx="30">
                  <c:v>100</c:v>
                </c:pt>
                <c:pt idx="31">
                  <c:v>110</c:v>
                </c:pt>
                <c:pt idx="32">
                  <c:v>120</c:v>
                </c:pt>
                <c:pt idx="33">
                  <c:v>110</c:v>
                </c:pt>
                <c:pt idx="34">
                  <c:v>120</c:v>
                </c:pt>
                <c:pt idx="35">
                  <c:v>110</c:v>
                </c:pt>
                <c:pt idx="36">
                  <c:v>110</c:v>
                </c:pt>
                <c:pt idx="37">
                  <c:v>140</c:v>
                </c:pt>
                <c:pt idx="38">
                  <c:v>110</c:v>
                </c:pt>
                <c:pt idx="39">
                  <c:v>100</c:v>
                </c:pt>
                <c:pt idx="40">
                  <c:v>110</c:v>
                </c:pt>
                <c:pt idx="41">
                  <c:v>160</c:v>
                </c:pt>
                <c:pt idx="42">
                  <c:v>100</c:v>
                </c:pt>
                <c:pt idx="43">
                  <c:v>120</c:v>
                </c:pt>
                <c:pt idx="44">
                  <c:v>130</c:v>
                </c:pt>
                <c:pt idx="45">
                  <c:v>120</c:v>
                </c:pt>
                <c:pt idx="46">
                  <c:v>100</c:v>
                </c:pt>
                <c:pt idx="47">
                  <c:v>50</c:v>
                </c:pt>
                <c:pt idx="48">
                  <c:v>50</c:v>
                </c:pt>
                <c:pt idx="49">
                  <c:v>100</c:v>
                </c:pt>
                <c:pt idx="50">
                  <c:v>120</c:v>
                </c:pt>
                <c:pt idx="51">
                  <c:v>90</c:v>
                </c:pt>
                <c:pt idx="52">
                  <c:v>110</c:v>
                </c:pt>
                <c:pt idx="53">
                  <c:v>110</c:v>
                </c:pt>
                <c:pt idx="54">
                  <c:v>90</c:v>
                </c:pt>
                <c:pt idx="55">
                  <c:v>80</c:v>
                </c:pt>
                <c:pt idx="56">
                  <c:v>90</c:v>
                </c:pt>
                <c:pt idx="57">
                  <c:v>110</c:v>
                </c:pt>
                <c:pt idx="58">
                  <c:v>110</c:v>
                </c:pt>
                <c:pt idx="59">
                  <c:v>90</c:v>
                </c:pt>
                <c:pt idx="60">
                  <c:v>110</c:v>
                </c:pt>
                <c:pt idx="61">
                  <c:v>140</c:v>
                </c:pt>
                <c:pt idx="62">
                  <c:v>100</c:v>
                </c:pt>
                <c:pt idx="63">
                  <c:v>110</c:v>
                </c:pt>
                <c:pt idx="64">
                  <c:v>100</c:v>
                </c:pt>
                <c:pt idx="65">
                  <c:v>100</c:v>
                </c:pt>
                <c:pt idx="66">
                  <c:v>110</c:v>
                </c:pt>
              </c:numCache>
            </c:numRef>
          </c:xVal>
          <c:yVal>
            <c:numRef>
              <c:f>'Linear Regression Output 8'!$F$98:$F$164</c:f>
              <c:numCache>
                <c:formatCode>0.000</c:formatCode>
                <c:ptCount val="67"/>
                <c:pt idx="0">
                  <c:v>0.10164858212145993</c:v>
                </c:pt>
                <c:pt idx="1">
                  <c:v>-0.17996349518831026</c:v>
                </c:pt>
                <c:pt idx="2">
                  <c:v>-0.56369221543192816</c:v>
                </c:pt>
                <c:pt idx="3">
                  <c:v>0.29839034590453473</c:v>
                </c:pt>
                <c:pt idx="4">
                  <c:v>0.69339640634667765</c:v>
                </c:pt>
                <c:pt idx="5">
                  <c:v>-1.0398628854300616</c:v>
                </c:pt>
                <c:pt idx="6">
                  <c:v>0.95623962137330787</c:v>
                </c:pt>
                <c:pt idx="7">
                  <c:v>-1.2591192725385851</c:v>
                </c:pt>
                <c:pt idx="8">
                  <c:v>-0.19498659642914559</c:v>
                </c:pt>
                <c:pt idx="9">
                  <c:v>0.40801853945879729</c:v>
                </c:pt>
                <c:pt idx="10">
                  <c:v>2.0279038766389661</c:v>
                </c:pt>
                <c:pt idx="11">
                  <c:v>1.2453632493034972</c:v>
                </c:pt>
                <c:pt idx="12">
                  <c:v>1.0260868336591722</c:v>
                </c:pt>
                <c:pt idx="13">
                  <c:v>-0.98503877438503096</c:v>
                </c:pt>
                <c:pt idx="14">
                  <c:v>-0.43679766393471919</c:v>
                </c:pt>
                <c:pt idx="15">
                  <c:v>-0.71089819062407456</c:v>
                </c:pt>
                <c:pt idx="16">
                  <c:v>-0.93021466333999914</c:v>
                </c:pt>
                <c:pt idx="17">
                  <c:v>-0.98503877438503096</c:v>
                </c:pt>
                <c:pt idx="18">
                  <c:v>2.0353953987235811</c:v>
                </c:pt>
                <c:pt idx="19">
                  <c:v>7.1622408175594773E-2</c:v>
                </c:pt>
                <c:pt idx="20">
                  <c:v>-0.10036147557991572</c:v>
                </c:pt>
                <c:pt idx="21">
                  <c:v>-0.47661870227471698</c:v>
                </c:pt>
                <c:pt idx="22">
                  <c:v>-0.87537052375916746</c:v>
                </c:pt>
                <c:pt idx="23">
                  <c:v>-0.64860258603022747</c:v>
                </c:pt>
                <c:pt idx="24">
                  <c:v>-0.87539055229496865</c:v>
                </c:pt>
                <c:pt idx="25">
                  <c:v>-0.31214636913962418</c:v>
                </c:pt>
                <c:pt idx="26">
                  <c:v>1.1905391382584651</c:v>
                </c:pt>
                <c:pt idx="27">
                  <c:v>-0.26485383725080974</c:v>
                </c:pt>
                <c:pt idx="28">
                  <c:v>-0.93021466333999914</c:v>
                </c:pt>
                <c:pt idx="29">
                  <c:v>-0.4293061418501028</c:v>
                </c:pt>
                <c:pt idx="30">
                  <c:v>0.13393804130524312</c:v>
                </c:pt>
                <c:pt idx="31">
                  <c:v>1.2453832778392968</c:v>
                </c:pt>
                <c:pt idx="32">
                  <c:v>3.2016647463026686</c:v>
                </c:pt>
                <c:pt idx="33">
                  <c:v>-0.87539055229496865</c:v>
                </c:pt>
                <c:pt idx="34">
                  <c:v>0.79927883885863127</c:v>
                </c:pt>
                <c:pt idx="35">
                  <c:v>0.35696021799187411</c:v>
                </c:pt>
                <c:pt idx="36">
                  <c:v>7.1602379639793559E-2</c:v>
                </c:pt>
                <c:pt idx="37">
                  <c:v>0.8939039597078583</c:v>
                </c:pt>
                <c:pt idx="38">
                  <c:v>-0.10036147557991572</c:v>
                </c:pt>
                <c:pt idx="39">
                  <c:v>0.75198630696981683</c:v>
                </c:pt>
                <c:pt idx="40">
                  <c:v>-0.59377847498519565</c:v>
                </c:pt>
                <c:pt idx="41">
                  <c:v>2.3417653560609186</c:v>
                </c:pt>
                <c:pt idx="42">
                  <c:v>-0.2573222580945923</c:v>
                </c:pt>
                <c:pt idx="43">
                  <c:v>0.57249087259389009</c:v>
                </c:pt>
                <c:pt idx="44">
                  <c:v>1.6876818701702527</c:v>
                </c:pt>
                <c:pt idx="45">
                  <c:v>-3.806587098606859E-2</c:v>
                </c:pt>
                <c:pt idx="46">
                  <c:v>-0.76572230166910649</c:v>
                </c:pt>
                <c:pt idx="47">
                  <c:v>-2.2458731572059443</c:v>
                </c:pt>
                <c:pt idx="48">
                  <c:v>-1.2365645921415351</c:v>
                </c:pt>
                <c:pt idx="49">
                  <c:v>7.9113930260209797E-2</c:v>
                </c:pt>
                <c:pt idx="50">
                  <c:v>-0.26485383725080974</c:v>
                </c:pt>
                <c:pt idx="51">
                  <c:v>-1.2591192725385851</c:v>
                </c:pt>
                <c:pt idx="52">
                  <c:v>-0.38197355288968876</c:v>
                </c:pt>
                <c:pt idx="53">
                  <c:v>-0.43679766393471919</c:v>
                </c:pt>
                <c:pt idx="54">
                  <c:v>-0.59373841791359605</c:v>
                </c:pt>
                <c:pt idx="55">
                  <c:v>-0.24979067893837484</c:v>
                </c:pt>
                <c:pt idx="56">
                  <c:v>-0.25730222955879251</c:v>
                </c:pt>
                <c:pt idx="57">
                  <c:v>-0.75825080812028989</c:v>
                </c:pt>
                <c:pt idx="58">
                  <c:v>1.5818194661941003</c:v>
                </c:pt>
                <c:pt idx="59">
                  <c:v>-0.86785897313874971</c:v>
                </c:pt>
                <c:pt idx="60">
                  <c:v>-0.10036147557991572</c:v>
                </c:pt>
                <c:pt idx="61">
                  <c:v>0.61978340448270453</c:v>
                </c:pt>
                <c:pt idx="62">
                  <c:v>0.58002245175010758</c:v>
                </c:pt>
                <c:pt idx="63">
                  <c:v>-0.93021466333999914</c:v>
                </c:pt>
                <c:pt idx="64">
                  <c:v>0.24358626339530404</c:v>
                </c:pt>
                <c:pt idx="65">
                  <c:v>0.24358626339530404</c:v>
                </c:pt>
                <c:pt idx="66">
                  <c:v>-1.0473544075146779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CA-47F2-8122-9647F5F13D3C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70</c:v>
              </c:pt>
            </c:numLit>
          </c:xVal>
          <c:yVal>
            <c:numLit>
              <c:formatCode>General</c:formatCode>
              <c:ptCount val="1"/>
              <c:pt idx="0">
                <c:v>-0.17996349518831026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5CA-47F2-8122-9647F5F13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528624"/>
        <c:axId val="542526824"/>
      </c:scatterChart>
      <c:valAx>
        <c:axId val="542528624"/>
        <c:scaling>
          <c:orientation val="minMax"/>
          <c:max val="160"/>
          <c:min val="4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Calories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542526824"/>
        <c:crosses val="autoZero"/>
        <c:crossBetween val="midCat"/>
      </c:valAx>
      <c:valAx>
        <c:axId val="542526824"/>
        <c:scaling>
          <c:orientation val="minMax"/>
          <c:max val="4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4252862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Pred(Calories)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8'!$D$98:$D$164</c:f>
              <c:numCache>
                <c:formatCode>0.000</c:formatCode>
                <c:ptCount val="67"/>
                <c:pt idx="0">
                  <c:v>68.985337541878422</c:v>
                </c:pt>
                <c:pt idx="1">
                  <c:v>71.79640678294686</c:v>
                </c:pt>
                <c:pt idx="2">
                  <c:v>55.626810694228141</c:v>
                </c:pt>
                <c:pt idx="3">
                  <c:v>107.02144904005185</c:v>
                </c:pt>
                <c:pt idx="4">
                  <c:v>103.0784740186961</c:v>
                </c:pt>
                <c:pt idx="5">
                  <c:v>120.37997588770212</c:v>
                </c:pt>
                <c:pt idx="6">
                  <c:v>120.45475672630118</c:v>
                </c:pt>
                <c:pt idx="7">
                  <c:v>102.56860675750175</c:v>
                </c:pt>
                <c:pt idx="8">
                  <c:v>91.946368312320885</c:v>
                </c:pt>
                <c:pt idx="9">
                  <c:v>115.92713360515202</c:v>
                </c:pt>
                <c:pt idx="10">
                  <c:v>89.757337590345358</c:v>
                </c:pt>
                <c:pt idx="11">
                  <c:v>107.56870672054572</c:v>
                </c:pt>
                <c:pt idx="12">
                  <c:v>99.757537516433302</c:v>
                </c:pt>
                <c:pt idx="13">
                  <c:v>119.83271820720825</c:v>
                </c:pt>
                <c:pt idx="14">
                  <c:v>114.36014140226946</c:v>
                </c:pt>
                <c:pt idx="15">
                  <c:v>107.09622987865092</c:v>
                </c:pt>
                <c:pt idx="16">
                  <c:v>119.28546052671436</c:v>
                </c:pt>
                <c:pt idx="17">
                  <c:v>119.83271820720825</c:v>
                </c:pt>
                <c:pt idx="18">
                  <c:v>89.682556751746304</c:v>
                </c:pt>
                <c:pt idx="19">
                  <c:v>99.285060674538485</c:v>
                </c:pt>
                <c:pt idx="20">
                  <c:v>111.00181448070713</c:v>
                </c:pt>
                <c:pt idx="21">
                  <c:v>104.75763747947727</c:v>
                </c:pt>
                <c:pt idx="22">
                  <c:v>108.73800292013254</c:v>
                </c:pt>
                <c:pt idx="23">
                  <c:v>116.47439128564591</c:v>
                </c:pt>
                <c:pt idx="24">
                  <c:v>118.73820284622049</c:v>
                </c:pt>
                <c:pt idx="25">
                  <c:v>103.11586443799564</c:v>
                </c:pt>
                <c:pt idx="26">
                  <c:v>108.11596440103961</c:v>
                </c:pt>
                <c:pt idx="27">
                  <c:v>122.6437874482767</c:v>
                </c:pt>
                <c:pt idx="28">
                  <c:v>119.28546052671436</c:v>
                </c:pt>
                <c:pt idx="29">
                  <c:v>114.28536056367039</c:v>
                </c:pt>
                <c:pt idx="30">
                  <c:v>98.663022155445532</c:v>
                </c:pt>
                <c:pt idx="31">
                  <c:v>97.56850679445779</c:v>
                </c:pt>
                <c:pt idx="32">
                  <c:v>88.040783710264662</c:v>
                </c:pt>
                <c:pt idx="33">
                  <c:v>118.73820284622049</c:v>
                </c:pt>
                <c:pt idx="34">
                  <c:v>112.02154900309581</c:v>
                </c:pt>
                <c:pt idx="35">
                  <c:v>106.43680094025844</c:v>
                </c:pt>
                <c:pt idx="36">
                  <c:v>109.28526060062643</c:v>
                </c:pt>
                <c:pt idx="37">
                  <c:v>131.07699517148208</c:v>
                </c:pt>
                <c:pt idx="38">
                  <c:v>111.00181448070713</c:v>
                </c:pt>
                <c:pt idx="39">
                  <c:v>92.493625992814756</c:v>
                </c:pt>
                <c:pt idx="40">
                  <c:v>115.92713360515202</c:v>
                </c:pt>
                <c:pt idx="41">
                  <c:v>136.6243528150199</c:v>
                </c:pt>
                <c:pt idx="42">
                  <c:v>102.56860675750175</c:v>
                </c:pt>
                <c:pt idx="43">
                  <c:v>114.28536056367039</c:v>
                </c:pt>
                <c:pt idx="44">
                  <c:v>113.15345478338311</c:v>
                </c:pt>
                <c:pt idx="45">
                  <c:v>120.37997588770212</c:v>
                </c:pt>
                <c:pt idx="46">
                  <c:v>107.6434875591448</c:v>
                </c:pt>
                <c:pt idx="47">
                  <c:v>72.418445302039814</c:v>
                </c:pt>
                <c:pt idx="48">
                  <c:v>62.343464537352816</c:v>
                </c:pt>
                <c:pt idx="49">
                  <c:v>99.210279835939431</c:v>
                </c:pt>
                <c:pt idx="50">
                  <c:v>122.6437874482767</c:v>
                </c:pt>
                <c:pt idx="51">
                  <c:v>102.56860675750175</c:v>
                </c:pt>
                <c:pt idx="52">
                  <c:v>113.81288372177559</c:v>
                </c:pt>
                <c:pt idx="53">
                  <c:v>114.36014140226946</c:v>
                </c:pt>
                <c:pt idx="54">
                  <c:v>95.926733752976162</c:v>
                </c:pt>
                <c:pt idx="55">
                  <c:v>82.493426066726812</c:v>
                </c:pt>
                <c:pt idx="56">
                  <c:v>92.568406831413824</c:v>
                </c:pt>
                <c:pt idx="57">
                  <c:v>117.56890664663366</c:v>
                </c:pt>
                <c:pt idx="58">
                  <c:v>94.210179872895452</c:v>
                </c:pt>
                <c:pt idx="59">
                  <c:v>98.663022155445532</c:v>
                </c:pt>
                <c:pt idx="60">
                  <c:v>111.00181448070713</c:v>
                </c:pt>
                <c:pt idx="61">
                  <c:v>133.81328357395145</c:v>
                </c:pt>
                <c:pt idx="62">
                  <c:v>94.210179872895452</c:v>
                </c:pt>
                <c:pt idx="63">
                  <c:v>119.28546052671436</c:v>
                </c:pt>
                <c:pt idx="64">
                  <c:v>97.56850679445779</c:v>
                </c:pt>
                <c:pt idx="65">
                  <c:v>97.56850679445779</c:v>
                </c:pt>
                <c:pt idx="66">
                  <c:v>120.45475672630118</c:v>
                </c:pt>
              </c:numCache>
            </c:numRef>
          </c:xVal>
          <c:yVal>
            <c:numRef>
              <c:f>'Linear Regression Output 8'!$F$98:$F$164</c:f>
              <c:numCache>
                <c:formatCode>0.000</c:formatCode>
                <c:ptCount val="67"/>
                <c:pt idx="0">
                  <c:v>0.10164858212145993</c:v>
                </c:pt>
                <c:pt idx="1">
                  <c:v>-0.17996349518831026</c:v>
                </c:pt>
                <c:pt idx="2">
                  <c:v>-0.56369221543192816</c:v>
                </c:pt>
                <c:pt idx="3">
                  <c:v>0.29839034590453473</c:v>
                </c:pt>
                <c:pt idx="4">
                  <c:v>0.69339640634667765</c:v>
                </c:pt>
                <c:pt idx="5">
                  <c:v>-1.0398628854300616</c:v>
                </c:pt>
                <c:pt idx="6">
                  <c:v>0.95623962137330787</c:v>
                </c:pt>
                <c:pt idx="7">
                  <c:v>-1.2591192725385851</c:v>
                </c:pt>
                <c:pt idx="8">
                  <c:v>-0.19498659642914559</c:v>
                </c:pt>
                <c:pt idx="9">
                  <c:v>0.40801853945879729</c:v>
                </c:pt>
                <c:pt idx="10">
                  <c:v>2.0279038766389661</c:v>
                </c:pt>
                <c:pt idx="11">
                  <c:v>1.2453632493034972</c:v>
                </c:pt>
                <c:pt idx="12">
                  <c:v>1.0260868336591722</c:v>
                </c:pt>
                <c:pt idx="13">
                  <c:v>-0.98503877438503096</c:v>
                </c:pt>
                <c:pt idx="14">
                  <c:v>-0.43679766393471919</c:v>
                </c:pt>
                <c:pt idx="15">
                  <c:v>-0.71089819062407456</c:v>
                </c:pt>
                <c:pt idx="16">
                  <c:v>-0.93021466333999914</c:v>
                </c:pt>
                <c:pt idx="17">
                  <c:v>-0.98503877438503096</c:v>
                </c:pt>
                <c:pt idx="18">
                  <c:v>2.0353953987235811</c:v>
                </c:pt>
                <c:pt idx="19">
                  <c:v>7.1622408175594773E-2</c:v>
                </c:pt>
                <c:pt idx="20">
                  <c:v>-0.10036147557991572</c:v>
                </c:pt>
                <c:pt idx="21">
                  <c:v>-0.47661870227471698</c:v>
                </c:pt>
                <c:pt idx="22">
                  <c:v>-0.87537052375916746</c:v>
                </c:pt>
                <c:pt idx="23">
                  <c:v>-0.64860258603022747</c:v>
                </c:pt>
                <c:pt idx="24">
                  <c:v>-0.87539055229496865</c:v>
                </c:pt>
                <c:pt idx="25">
                  <c:v>-0.31214636913962418</c:v>
                </c:pt>
                <c:pt idx="26">
                  <c:v>1.1905391382584651</c:v>
                </c:pt>
                <c:pt idx="27">
                  <c:v>-0.26485383725080974</c:v>
                </c:pt>
                <c:pt idx="28">
                  <c:v>-0.93021466333999914</c:v>
                </c:pt>
                <c:pt idx="29">
                  <c:v>-0.4293061418501028</c:v>
                </c:pt>
                <c:pt idx="30">
                  <c:v>0.13393804130524312</c:v>
                </c:pt>
                <c:pt idx="31">
                  <c:v>1.2453832778392968</c:v>
                </c:pt>
                <c:pt idx="32">
                  <c:v>3.2016647463026686</c:v>
                </c:pt>
                <c:pt idx="33">
                  <c:v>-0.87539055229496865</c:v>
                </c:pt>
                <c:pt idx="34">
                  <c:v>0.79927883885863127</c:v>
                </c:pt>
                <c:pt idx="35">
                  <c:v>0.35696021799187411</c:v>
                </c:pt>
                <c:pt idx="36">
                  <c:v>7.1602379639793559E-2</c:v>
                </c:pt>
                <c:pt idx="37">
                  <c:v>0.8939039597078583</c:v>
                </c:pt>
                <c:pt idx="38">
                  <c:v>-0.10036147557991572</c:v>
                </c:pt>
                <c:pt idx="39">
                  <c:v>0.75198630696981683</c:v>
                </c:pt>
                <c:pt idx="40">
                  <c:v>-0.59377847498519565</c:v>
                </c:pt>
                <c:pt idx="41">
                  <c:v>2.3417653560609186</c:v>
                </c:pt>
                <c:pt idx="42">
                  <c:v>-0.2573222580945923</c:v>
                </c:pt>
                <c:pt idx="43">
                  <c:v>0.57249087259389009</c:v>
                </c:pt>
                <c:pt idx="44">
                  <c:v>1.6876818701702527</c:v>
                </c:pt>
                <c:pt idx="45">
                  <c:v>-3.806587098606859E-2</c:v>
                </c:pt>
                <c:pt idx="46">
                  <c:v>-0.76572230166910649</c:v>
                </c:pt>
                <c:pt idx="47">
                  <c:v>-2.2458731572059443</c:v>
                </c:pt>
                <c:pt idx="48">
                  <c:v>-1.2365645921415351</c:v>
                </c:pt>
                <c:pt idx="49">
                  <c:v>7.9113930260209797E-2</c:v>
                </c:pt>
                <c:pt idx="50">
                  <c:v>-0.26485383725080974</c:v>
                </c:pt>
                <c:pt idx="51">
                  <c:v>-1.2591192725385851</c:v>
                </c:pt>
                <c:pt idx="52">
                  <c:v>-0.38197355288968876</c:v>
                </c:pt>
                <c:pt idx="53">
                  <c:v>-0.43679766393471919</c:v>
                </c:pt>
                <c:pt idx="54">
                  <c:v>-0.59373841791359605</c:v>
                </c:pt>
                <c:pt idx="55">
                  <c:v>-0.24979067893837484</c:v>
                </c:pt>
                <c:pt idx="56">
                  <c:v>-0.25730222955879251</c:v>
                </c:pt>
                <c:pt idx="57">
                  <c:v>-0.75825080812028989</c:v>
                </c:pt>
                <c:pt idx="58">
                  <c:v>1.5818194661941003</c:v>
                </c:pt>
                <c:pt idx="59">
                  <c:v>-0.86785897313874971</c:v>
                </c:pt>
                <c:pt idx="60">
                  <c:v>-0.10036147557991572</c:v>
                </c:pt>
                <c:pt idx="61">
                  <c:v>0.61978340448270453</c:v>
                </c:pt>
                <c:pt idx="62">
                  <c:v>0.58002245175010758</c:v>
                </c:pt>
                <c:pt idx="63">
                  <c:v>-0.93021466333999914</c:v>
                </c:pt>
                <c:pt idx="64">
                  <c:v>0.24358626339530404</c:v>
                </c:pt>
                <c:pt idx="65">
                  <c:v>0.24358626339530404</c:v>
                </c:pt>
                <c:pt idx="66">
                  <c:v>-1.0473544075146779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9-478C-97D6-E2F743650610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71.79640678294686</c:v>
              </c:pt>
            </c:numLit>
          </c:xVal>
          <c:yVal>
            <c:numLit>
              <c:formatCode>General</c:formatCode>
              <c:ptCount val="1"/>
              <c:pt idx="0">
                <c:v>-0.17996349518831026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3A9-478C-97D6-E2F74365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526464"/>
        <c:axId val="542528264"/>
      </c:scatterChart>
      <c:valAx>
        <c:axId val="542526464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Pred(Calories)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542528264"/>
        <c:crosses val="autoZero"/>
        <c:crossBetween val="midCat"/>
      </c:valAx>
      <c:valAx>
        <c:axId val="542528264"/>
        <c:scaling>
          <c:orientation val="minMax"/>
          <c:max val="4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4252646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Pred(Calories) - Calories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8'!$D$98:$D$164</c:f>
              <c:numCache>
                <c:formatCode>0.000</c:formatCode>
                <c:ptCount val="67"/>
                <c:pt idx="0">
                  <c:v>68.985337541878422</c:v>
                </c:pt>
                <c:pt idx="1">
                  <c:v>71.79640678294686</c:v>
                </c:pt>
                <c:pt idx="2">
                  <c:v>55.626810694228141</c:v>
                </c:pt>
                <c:pt idx="3">
                  <c:v>107.02144904005185</c:v>
                </c:pt>
                <c:pt idx="4">
                  <c:v>103.0784740186961</c:v>
                </c:pt>
                <c:pt idx="5">
                  <c:v>120.37997588770212</c:v>
                </c:pt>
                <c:pt idx="6">
                  <c:v>120.45475672630118</c:v>
                </c:pt>
                <c:pt idx="7">
                  <c:v>102.56860675750175</c:v>
                </c:pt>
                <c:pt idx="8">
                  <c:v>91.946368312320885</c:v>
                </c:pt>
                <c:pt idx="9">
                  <c:v>115.92713360515202</c:v>
                </c:pt>
                <c:pt idx="10">
                  <c:v>89.757337590345358</c:v>
                </c:pt>
                <c:pt idx="11">
                  <c:v>107.56870672054572</c:v>
                </c:pt>
                <c:pt idx="12">
                  <c:v>99.757537516433302</c:v>
                </c:pt>
                <c:pt idx="13">
                  <c:v>119.83271820720825</c:v>
                </c:pt>
                <c:pt idx="14">
                  <c:v>114.36014140226946</c:v>
                </c:pt>
                <c:pt idx="15">
                  <c:v>107.09622987865092</c:v>
                </c:pt>
                <c:pt idx="16">
                  <c:v>119.28546052671436</c:v>
                </c:pt>
                <c:pt idx="17">
                  <c:v>119.83271820720825</c:v>
                </c:pt>
                <c:pt idx="18">
                  <c:v>89.682556751746304</c:v>
                </c:pt>
                <c:pt idx="19">
                  <c:v>99.285060674538485</c:v>
                </c:pt>
                <c:pt idx="20">
                  <c:v>111.00181448070713</c:v>
                </c:pt>
                <c:pt idx="21">
                  <c:v>104.75763747947727</c:v>
                </c:pt>
                <c:pt idx="22">
                  <c:v>108.73800292013254</c:v>
                </c:pt>
                <c:pt idx="23">
                  <c:v>116.47439128564591</c:v>
                </c:pt>
                <c:pt idx="24">
                  <c:v>118.73820284622049</c:v>
                </c:pt>
                <c:pt idx="25">
                  <c:v>103.11586443799564</c:v>
                </c:pt>
                <c:pt idx="26">
                  <c:v>108.11596440103961</c:v>
                </c:pt>
                <c:pt idx="27">
                  <c:v>122.6437874482767</c:v>
                </c:pt>
                <c:pt idx="28">
                  <c:v>119.28546052671436</c:v>
                </c:pt>
                <c:pt idx="29">
                  <c:v>114.28536056367039</c:v>
                </c:pt>
                <c:pt idx="30">
                  <c:v>98.663022155445532</c:v>
                </c:pt>
                <c:pt idx="31">
                  <c:v>97.56850679445779</c:v>
                </c:pt>
                <c:pt idx="32">
                  <c:v>88.040783710264662</c:v>
                </c:pt>
                <c:pt idx="33">
                  <c:v>118.73820284622049</c:v>
                </c:pt>
                <c:pt idx="34">
                  <c:v>112.02154900309581</c:v>
                </c:pt>
                <c:pt idx="35">
                  <c:v>106.43680094025844</c:v>
                </c:pt>
                <c:pt idx="36">
                  <c:v>109.28526060062643</c:v>
                </c:pt>
                <c:pt idx="37">
                  <c:v>131.07699517148208</c:v>
                </c:pt>
                <c:pt idx="38">
                  <c:v>111.00181448070713</c:v>
                </c:pt>
                <c:pt idx="39">
                  <c:v>92.493625992814756</c:v>
                </c:pt>
                <c:pt idx="40">
                  <c:v>115.92713360515202</c:v>
                </c:pt>
                <c:pt idx="41">
                  <c:v>136.6243528150199</c:v>
                </c:pt>
                <c:pt idx="42">
                  <c:v>102.56860675750175</c:v>
                </c:pt>
                <c:pt idx="43">
                  <c:v>114.28536056367039</c:v>
                </c:pt>
                <c:pt idx="44">
                  <c:v>113.15345478338311</c:v>
                </c:pt>
                <c:pt idx="45">
                  <c:v>120.37997588770212</c:v>
                </c:pt>
                <c:pt idx="46">
                  <c:v>107.6434875591448</c:v>
                </c:pt>
                <c:pt idx="47">
                  <c:v>72.418445302039814</c:v>
                </c:pt>
                <c:pt idx="48">
                  <c:v>62.343464537352816</c:v>
                </c:pt>
                <c:pt idx="49">
                  <c:v>99.210279835939431</c:v>
                </c:pt>
                <c:pt idx="50">
                  <c:v>122.6437874482767</c:v>
                </c:pt>
                <c:pt idx="51">
                  <c:v>102.56860675750175</c:v>
                </c:pt>
                <c:pt idx="52">
                  <c:v>113.81288372177559</c:v>
                </c:pt>
                <c:pt idx="53">
                  <c:v>114.36014140226946</c:v>
                </c:pt>
                <c:pt idx="54">
                  <c:v>95.926733752976162</c:v>
                </c:pt>
                <c:pt idx="55">
                  <c:v>82.493426066726812</c:v>
                </c:pt>
                <c:pt idx="56">
                  <c:v>92.568406831413824</c:v>
                </c:pt>
                <c:pt idx="57">
                  <c:v>117.56890664663366</c:v>
                </c:pt>
                <c:pt idx="58">
                  <c:v>94.210179872895452</c:v>
                </c:pt>
                <c:pt idx="59">
                  <c:v>98.663022155445532</c:v>
                </c:pt>
                <c:pt idx="60">
                  <c:v>111.00181448070713</c:v>
                </c:pt>
                <c:pt idx="61">
                  <c:v>133.81328357395145</c:v>
                </c:pt>
                <c:pt idx="62">
                  <c:v>94.210179872895452</c:v>
                </c:pt>
                <c:pt idx="63">
                  <c:v>119.28546052671436</c:v>
                </c:pt>
                <c:pt idx="64">
                  <c:v>97.56850679445779</c:v>
                </c:pt>
                <c:pt idx="65">
                  <c:v>97.56850679445779</c:v>
                </c:pt>
                <c:pt idx="66">
                  <c:v>120.45475672630118</c:v>
                </c:pt>
              </c:numCache>
            </c:numRef>
          </c:xVal>
          <c:yVal>
            <c:numRef>
              <c:f>'Linear Regression Output 8'!$C$98:$C$164</c:f>
              <c:numCache>
                <c:formatCode>0.000</c:formatCode>
                <c:ptCount val="67"/>
                <c:pt idx="0">
                  <c:v>70</c:v>
                </c:pt>
                <c:pt idx="1">
                  <c:v>70</c:v>
                </c:pt>
                <c:pt idx="2">
                  <c:v>50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130</c:v>
                </c:pt>
                <c:pt idx="7">
                  <c:v>90</c:v>
                </c:pt>
                <c:pt idx="8">
                  <c:v>90</c:v>
                </c:pt>
                <c:pt idx="9">
                  <c:v>120</c:v>
                </c:pt>
                <c:pt idx="10">
                  <c:v>110</c:v>
                </c:pt>
                <c:pt idx="11">
                  <c:v>120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100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100</c:v>
                </c:pt>
                <c:pt idx="20">
                  <c:v>110</c:v>
                </c:pt>
                <c:pt idx="21">
                  <c:v>100</c:v>
                </c:pt>
                <c:pt idx="22">
                  <c:v>100</c:v>
                </c:pt>
                <c:pt idx="23">
                  <c:v>110</c:v>
                </c:pt>
                <c:pt idx="24">
                  <c:v>110</c:v>
                </c:pt>
                <c:pt idx="25">
                  <c:v>100</c:v>
                </c:pt>
                <c:pt idx="26">
                  <c:v>120</c:v>
                </c:pt>
                <c:pt idx="27">
                  <c:v>120</c:v>
                </c:pt>
                <c:pt idx="28">
                  <c:v>110</c:v>
                </c:pt>
                <c:pt idx="29">
                  <c:v>110</c:v>
                </c:pt>
                <c:pt idx="30">
                  <c:v>100</c:v>
                </c:pt>
                <c:pt idx="31">
                  <c:v>110</c:v>
                </c:pt>
                <c:pt idx="32">
                  <c:v>120</c:v>
                </c:pt>
                <c:pt idx="33">
                  <c:v>110</c:v>
                </c:pt>
                <c:pt idx="34">
                  <c:v>120</c:v>
                </c:pt>
                <c:pt idx="35">
                  <c:v>110</c:v>
                </c:pt>
                <c:pt idx="36">
                  <c:v>110</c:v>
                </c:pt>
                <c:pt idx="37">
                  <c:v>140</c:v>
                </c:pt>
                <c:pt idx="38">
                  <c:v>110</c:v>
                </c:pt>
                <c:pt idx="39">
                  <c:v>100</c:v>
                </c:pt>
                <c:pt idx="40">
                  <c:v>110</c:v>
                </c:pt>
                <c:pt idx="41">
                  <c:v>160</c:v>
                </c:pt>
                <c:pt idx="42">
                  <c:v>100</c:v>
                </c:pt>
                <c:pt idx="43">
                  <c:v>120</c:v>
                </c:pt>
                <c:pt idx="44">
                  <c:v>130</c:v>
                </c:pt>
                <c:pt idx="45">
                  <c:v>120</c:v>
                </c:pt>
                <c:pt idx="46">
                  <c:v>100</c:v>
                </c:pt>
                <c:pt idx="47">
                  <c:v>50</c:v>
                </c:pt>
                <c:pt idx="48">
                  <c:v>50</c:v>
                </c:pt>
                <c:pt idx="49">
                  <c:v>100</c:v>
                </c:pt>
                <c:pt idx="50">
                  <c:v>120</c:v>
                </c:pt>
                <c:pt idx="51">
                  <c:v>90</c:v>
                </c:pt>
                <c:pt idx="52">
                  <c:v>110</c:v>
                </c:pt>
                <c:pt idx="53">
                  <c:v>110</c:v>
                </c:pt>
                <c:pt idx="54">
                  <c:v>90</c:v>
                </c:pt>
                <c:pt idx="55">
                  <c:v>80</c:v>
                </c:pt>
                <c:pt idx="56">
                  <c:v>90</c:v>
                </c:pt>
                <c:pt idx="57">
                  <c:v>110</c:v>
                </c:pt>
                <c:pt idx="58">
                  <c:v>110</c:v>
                </c:pt>
                <c:pt idx="59">
                  <c:v>90</c:v>
                </c:pt>
                <c:pt idx="60">
                  <c:v>110</c:v>
                </c:pt>
                <c:pt idx="61">
                  <c:v>140</c:v>
                </c:pt>
                <c:pt idx="62">
                  <c:v>100</c:v>
                </c:pt>
                <c:pt idx="63">
                  <c:v>110</c:v>
                </c:pt>
                <c:pt idx="64">
                  <c:v>100</c:v>
                </c:pt>
                <c:pt idx="65">
                  <c:v>100</c:v>
                </c:pt>
                <c:pt idx="6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2-46DB-8379-C09144EB5D65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71.79640678294686</c:v>
              </c:pt>
            </c:numLit>
          </c:xVal>
          <c:yVal>
            <c:numLit>
              <c:formatCode>General</c:formatCode>
              <c:ptCount val="1"/>
              <c:pt idx="0">
                <c:v>70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8F2-46DB-8379-C09144EB5D65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Sheet17_HID!xdata1</c:f>
              <c:numCache>
                <c:formatCode>General</c:formatCode>
                <c:ptCount val="70"/>
                <c:pt idx="0">
                  <c:v>52.386909009396497</c:v>
                </c:pt>
                <c:pt idx="1">
                  <c:v>54.003754145173708</c:v>
                </c:pt>
                <c:pt idx="2">
                  <c:v>55.62059928095092</c:v>
                </c:pt>
                <c:pt idx="3">
                  <c:v>57.237444416728124</c:v>
                </c:pt>
                <c:pt idx="4">
                  <c:v>58.854289552505335</c:v>
                </c:pt>
                <c:pt idx="5">
                  <c:v>60.471134688282547</c:v>
                </c:pt>
                <c:pt idx="6">
                  <c:v>62.087979824059758</c:v>
                </c:pt>
                <c:pt idx="7">
                  <c:v>63.704824959836969</c:v>
                </c:pt>
                <c:pt idx="8">
                  <c:v>65.321670095614181</c:v>
                </c:pt>
                <c:pt idx="9">
                  <c:v>66.938515231391392</c:v>
                </c:pt>
                <c:pt idx="10">
                  <c:v>68.555360367168589</c:v>
                </c:pt>
                <c:pt idx="11">
                  <c:v>70.172205502945815</c:v>
                </c:pt>
                <c:pt idx="12">
                  <c:v>71.789050638723012</c:v>
                </c:pt>
                <c:pt idx="13">
                  <c:v>73.405895774500223</c:v>
                </c:pt>
                <c:pt idx="14">
                  <c:v>75.022740910277435</c:v>
                </c:pt>
                <c:pt idx="15">
                  <c:v>76.639586046054646</c:v>
                </c:pt>
                <c:pt idx="16">
                  <c:v>78.256431181831857</c:v>
                </c:pt>
                <c:pt idx="17">
                  <c:v>79.873276317609069</c:v>
                </c:pt>
                <c:pt idx="18">
                  <c:v>81.49012145338628</c:v>
                </c:pt>
                <c:pt idx="19">
                  <c:v>83.106966589163491</c:v>
                </c:pt>
                <c:pt idx="20">
                  <c:v>84.723811724940703</c:v>
                </c:pt>
                <c:pt idx="21">
                  <c:v>86.3406568607179</c:v>
                </c:pt>
                <c:pt idx="22">
                  <c:v>87.957501996495125</c:v>
                </c:pt>
                <c:pt idx="23">
                  <c:v>89.574347132272322</c:v>
                </c:pt>
                <c:pt idx="24">
                  <c:v>91.191192268049548</c:v>
                </c:pt>
                <c:pt idx="25">
                  <c:v>92.808037403826745</c:v>
                </c:pt>
                <c:pt idx="26">
                  <c:v>94.424882539603956</c:v>
                </c:pt>
                <c:pt idx="27">
                  <c:v>96.041727675381168</c:v>
                </c:pt>
                <c:pt idx="28">
                  <c:v>97.658572811158379</c:v>
                </c:pt>
                <c:pt idx="29">
                  <c:v>99.27541794693559</c:v>
                </c:pt>
                <c:pt idx="30">
                  <c:v>100.89226308271279</c:v>
                </c:pt>
                <c:pt idx="31">
                  <c:v>102.50910821849001</c:v>
                </c:pt>
                <c:pt idx="32">
                  <c:v>104.12595335426721</c:v>
                </c:pt>
                <c:pt idx="33">
                  <c:v>105.74279849004444</c:v>
                </c:pt>
                <c:pt idx="34">
                  <c:v>107.35964362582163</c:v>
                </c:pt>
                <c:pt idx="35">
                  <c:v>108.97648876159884</c:v>
                </c:pt>
                <c:pt idx="36">
                  <c:v>110.59333389737606</c:v>
                </c:pt>
                <c:pt idx="37">
                  <c:v>112.21017903315327</c:v>
                </c:pt>
                <c:pt idx="38">
                  <c:v>113.82702416893048</c:v>
                </c:pt>
                <c:pt idx="39">
                  <c:v>115.44386930470769</c:v>
                </c:pt>
                <c:pt idx="40">
                  <c:v>117.0607144404849</c:v>
                </c:pt>
                <c:pt idx="41">
                  <c:v>118.6775595762621</c:v>
                </c:pt>
                <c:pt idx="42">
                  <c:v>120.29440471203932</c:v>
                </c:pt>
                <c:pt idx="43">
                  <c:v>121.91124984781652</c:v>
                </c:pt>
                <c:pt idx="44">
                  <c:v>123.52809498359375</c:v>
                </c:pt>
                <c:pt idx="45">
                  <c:v>125.14494011937094</c:v>
                </c:pt>
                <c:pt idx="46">
                  <c:v>126.76178525514817</c:v>
                </c:pt>
                <c:pt idx="47">
                  <c:v>128.37863039092537</c:v>
                </c:pt>
                <c:pt idx="48">
                  <c:v>129.99547552670259</c:v>
                </c:pt>
                <c:pt idx="49">
                  <c:v>131.61232066247979</c:v>
                </c:pt>
                <c:pt idx="50">
                  <c:v>133.22916579825699</c:v>
                </c:pt>
                <c:pt idx="51">
                  <c:v>134.84601093403421</c:v>
                </c:pt>
                <c:pt idx="52">
                  <c:v>136.46285606981141</c:v>
                </c:pt>
                <c:pt idx="53">
                  <c:v>138.07970120558863</c:v>
                </c:pt>
                <c:pt idx="54">
                  <c:v>139.69654634136583</c:v>
                </c:pt>
                <c:pt idx="55">
                  <c:v>141.31339147714306</c:v>
                </c:pt>
                <c:pt idx="56">
                  <c:v>142.93023661292025</c:v>
                </c:pt>
                <c:pt idx="57">
                  <c:v>144.54708174869748</c:v>
                </c:pt>
                <c:pt idx="58">
                  <c:v>146.16392688447468</c:v>
                </c:pt>
                <c:pt idx="59">
                  <c:v>147.78077202025187</c:v>
                </c:pt>
                <c:pt idx="60">
                  <c:v>149.3976171560291</c:v>
                </c:pt>
                <c:pt idx="61">
                  <c:v>151.0144622918063</c:v>
                </c:pt>
                <c:pt idx="62">
                  <c:v>152.63130742758352</c:v>
                </c:pt>
                <c:pt idx="63">
                  <c:v>154.24815256336072</c:v>
                </c:pt>
                <c:pt idx="64">
                  <c:v>155.86499769913794</c:v>
                </c:pt>
                <c:pt idx="65">
                  <c:v>157.48184283491514</c:v>
                </c:pt>
                <c:pt idx="66">
                  <c:v>159.09868797069237</c:v>
                </c:pt>
                <c:pt idx="67">
                  <c:v>160.71553310646956</c:v>
                </c:pt>
                <c:pt idx="68">
                  <c:v>162.33237824224679</c:v>
                </c:pt>
                <c:pt idx="69">
                  <c:v>163.94922337802399</c:v>
                </c:pt>
              </c:numCache>
            </c:numRef>
          </c:xVal>
          <c:yVal>
            <c:numRef>
              <c:f>Sheet17_HID!ydata1</c:f>
              <c:numCache>
                <c:formatCode>General</c:formatCode>
                <c:ptCount val="70"/>
                <c:pt idx="0">
                  <c:v>30.704839635802838</c:v>
                </c:pt>
                <c:pt idx="1">
                  <c:v>32.413807748720984</c:v>
                </c:pt>
                <c:pt idx="2">
                  <c:v>34.120305981516118</c:v>
                </c:pt>
                <c:pt idx="3">
                  <c:v>35.824303311290436</c:v>
                </c:pt>
                <c:pt idx="4">
                  <c:v>37.525769080595097</c:v>
                </c:pt>
                <c:pt idx="5">
                  <c:v>39.224673041230638</c:v>
                </c:pt>
                <c:pt idx="6">
                  <c:v>40.920985398817265</c:v>
                </c:pt>
                <c:pt idx="7">
                  <c:v>42.61467685802198</c:v>
                </c:pt>
                <c:pt idx="8">
                  <c:v>44.305718668320218</c:v>
                </c:pt>
                <c:pt idx="9">
                  <c:v>45.994082670161362</c:v>
                </c:pt>
                <c:pt idx="10">
                  <c:v>47.679741341398561</c:v>
                </c:pt>
                <c:pt idx="11">
                  <c:v>49.362667843835865</c:v>
                </c:pt>
                <c:pt idx="12">
                  <c:v>51.042836069737568</c:v>
                </c:pt>
                <c:pt idx="13">
                  <c:v>52.720220688139193</c:v>
                </c:pt>
                <c:pt idx="14">
                  <c:v>54.394797190792062</c:v>
                </c:pt>
                <c:pt idx="15">
                  <c:v>56.06654193756988</c:v>
                </c:pt>
                <c:pt idx="16">
                  <c:v>57.73543220116067</c:v>
                </c:pt>
                <c:pt idx="17">
                  <c:v>59.40144621086479</c:v>
                </c:pt>
                <c:pt idx="18">
                  <c:v>61.064563195318037</c:v>
                </c:pt>
                <c:pt idx="19">
                  <c:v>62.724763423957739</c:v>
                </c:pt>
                <c:pt idx="20">
                  <c:v>64.382028247050869</c:v>
                </c:pt>
                <c:pt idx="21">
                  <c:v>66.036340134104691</c:v>
                </c:pt>
                <c:pt idx="22">
                  <c:v>67.68768271048414</c:v>
                </c:pt>
                <c:pt idx="23">
                  <c:v>69.336040792064239</c:v>
                </c:pt>
                <c:pt idx="24">
                  <c:v>70.981400417752951</c:v>
                </c:pt>
                <c:pt idx="25">
                  <c:v>72.62374887972544</c:v>
                </c:pt>
                <c:pt idx="26">
                  <c:v>74.263074751221836</c:v>
                </c:pt>
                <c:pt idx="27">
                  <c:v>75.899367911768337</c:v>
                </c:pt>
                <c:pt idx="28">
                  <c:v>77.532619569694333</c:v>
                </c:pt>
                <c:pt idx="29">
                  <c:v>79.162822281829861</c:v>
                </c:pt>
                <c:pt idx="30">
                  <c:v>80.789969970281362</c:v>
                </c:pt>
                <c:pt idx="31">
                  <c:v>82.414057936198333</c:v>
                </c:pt>
                <c:pt idx="32">
                  <c:v>84.035082870457927</c:v>
                </c:pt>
                <c:pt idx="33">
                  <c:v>85.65304286121183</c:v>
                </c:pt>
                <c:pt idx="34">
                  <c:v>87.267937398254261</c:v>
                </c:pt>
                <c:pt idx="35">
                  <c:v>88.8797673741891</c:v>
                </c:pt>
                <c:pt idx="36">
                  <c:v>90.488535082388623</c:v>
                </c:pt>
                <c:pt idx="37">
                  <c:v>92.094244211755765</c:v>
                </c:pt>
                <c:pt idx="38">
                  <c:v>93.696899838317165</c:v>
                </c:pt>
                <c:pt idx="39">
                  <c:v>95.296508413691882</c:v>
                </c:pt>
                <c:pt idx="40">
                  <c:v>96.893077750496644</c:v>
                </c:pt>
                <c:pt idx="41">
                  <c:v>98.486617004764028</c:v>
                </c:pt>
                <c:pt idx="42">
                  <c:v>100.07713665546574</c:v>
                </c:pt>
                <c:pt idx="43">
                  <c:v>101.66464848124605</c:v>
                </c:pt>
                <c:pt idx="44">
                  <c:v>103.24916553448523</c:v>
                </c:pt>
                <c:pt idx="45">
                  <c:v>104.83070211282309</c:v>
                </c:pt>
                <c:pt idx="46">
                  <c:v>106.40927372828568</c:v>
                </c:pt>
                <c:pt idx="47">
                  <c:v>107.9848970741657</c:v>
                </c:pt>
                <c:pt idx="48">
                  <c:v>109.5575899898179</c:v>
                </c:pt>
                <c:pt idx="49">
                  <c:v>111.12737142353529</c:v>
                </c:pt>
                <c:pt idx="50">
                  <c:v>112.69426139368014</c:v>
                </c:pt>
                <c:pt idx="51">
                  <c:v>114.25828094824578</c:v>
                </c:pt>
                <c:pt idx="52">
                  <c:v>115.81945212302978</c:v>
                </c:pt>
                <c:pt idx="53">
                  <c:v>117.37779789859989</c:v>
                </c:pt>
                <c:pt idx="54">
                  <c:v>118.93334215623418</c:v>
                </c:pt>
                <c:pt idx="55">
                  <c:v>120.48610963301681</c:v>
                </c:pt>
                <c:pt idx="56">
                  <c:v>122.03612587626728</c:v>
                </c:pt>
                <c:pt idx="57">
                  <c:v>123.58341719747911</c:v>
                </c:pt>
                <c:pt idx="58">
                  <c:v>125.1280106259385</c:v>
                </c:pt>
                <c:pt idx="59">
                  <c:v>126.66993386218888</c:v>
                </c:pt>
                <c:pt idx="60">
                  <c:v>128.20921523150076</c:v>
                </c:pt>
                <c:pt idx="61">
                  <c:v>129.74588363749967</c:v>
                </c:pt>
                <c:pt idx="62">
                  <c:v>131.27996851609734</c:v>
                </c:pt>
                <c:pt idx="63">
                  <c:v>132.81149978986303</c:v>
                </c:pt>
                <c:pt idx="64">
                  <c:v>134.34050782296404</c:v>
                </c:pt>
                <c:pt idx="65">
                  <c:v>135.86702337679418</c:v>
                </c:pt>
                <c:pt idx="66">
                  <c:v>137.39107756640186</c:v>
                </c:pt>
                <c:pt idx="67">
                  <c:v>138.91270181781803</c:v>
                </c:pt>
                <c:pt idx="68">
                  <c:v>140.43192782637658</c:v>
                </c:pt>
                <c:pt idx="69">
                  <c:v>141.94878751610932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F2-46DB-8379-C09144EB5D65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Sheet17_HID!xdata2</c:f>
              <c:numCache>
                <c:formatCode>General</c:formatCode>
                <c:ptCount val="70"/>
                <c:pt idx="0">
                  <c:v>44.501448555382503</c:v>
                </c:pt>
                <c:pt idx="1">
                  <c:v>46.23257572672513</c:v>
                </c:pt>
                <c:pt idx="2">
                  <c:v>47.963702898067766</c:v>
                </c:pt>
                <c:pt idx="3">
                  <c:v>49.694830069410393</c:v>
                </c:pt>
                <c:pt idx="4">
                  <c:v>51.425957240753021</c:v>
                </c:pt>
                <c:pt idx="5">
                  <c:v>53.157084412095656</c:v>
                </c:pt>
                <c:pt idx="6">
                  <c:v>54.888211583438284</c:v>
                </c:pt>
                <c:pt idx="7">
                  <c:v>56.619338754780912</c:v>
                </c:pt>
                <c:pt idx="8">
                  <c:v>58.35046592612354</c:v>
                </c:pt>
                <c:pt idx="9">
                  <c:v>60.081593097466168</c:v>
                </c:pt>
                <c:pt idx="10">
                  <c:v>61.812720268808803</c:v>
                </c:pt>
                <c:pt idx="11">
                  <c:v>63.543847440151431</c:v>
                </c:pt>
                <c:pt idx="12">
                  <c:v>65.274974611494059</c:v>
                </c:pt>
                <c:pt idx="13">
                  <c:v>67.006101782836694</c:v>
                </c:pt>
                <c:pt idx="14">
                  <c:v>68.737228954179329</c:v>
                </c:pt>
                <c:pt idx="15">
                  <c:v>70.46835612552195</c:v>
                </c:pt>
                <c:pt idx="16">
                  <c:v>72.199483296864585</c:v>
                </c:pt>
                <c:pt idx="17">
                  <c:v>73.93061046820722</c:v>
                </c:pt>
                <c:pt idx="18">
                  <c:v>75.661737639549841</c:v>
                </c:pt>
                <c:pt idx="19">
                  <c:v>77.392864810892462</c:v>
                </c:pt>
                <c:pt idx="20">
                  <c:v>79.123991982235111</c:v>
                </c:pt>
                <c:pt idx="21">
                  <c:v>80.855119153577732</c:v>
                </c:pt>
                <c:pt idx="22">
                  <c:v>82.586246324920353</c:v>
                </c:pt>
                <c:pt idx="23">
                  <c:v>84.317373496262988</c:v>
                </c:pt>
                <c:pt idx="24">
                  <c:v>86.048500667605623</c:v>
                </c:pt>
                <c:pt idx="25">
                  <c:v>87.779627838948244</c:v>
                </c:pt>
                <c:pt idx="26">
                  <c:v>89.510755010290879</c:v>
                </c:pt>
                <c:pt idx="27">
                  <c:v>91.241882181633514</c:v>
                </c:pt>
                <c:pt idx="28">
                  <c:v>92.973009352976135</c:v>
                </c:pt>
                <c:pt idx="29">
                  <c:v>94.70413652431877</c:v>
                </c:pt>
                <c:pt idx="30">
                  <c:v>96.435263695661405</c:v>
                </c:pt>
                <c:pt idx="31">
                  <c:v>98.166390867004026</c:v>
                </c:pt>
                <c:pt idx="32">
                  <c:v>99.897518038346661</c:v>
                </c:pt>
                <c:pt idx="33">
                  <c:v>101.6286452096893</c:v>
                </c:pt>
                <c:pt idx="34">
                  <c:v>103.35977238103192</c:v>
                </c:pt>
                <c:pt idx="35">
                  <c:v>105.09089955237455</c:v>
                </c:pt>
                <c:pt idx="36">
                  <c:v>106.82202672371719</c:v>
                </c:pt>
                <c:pt idx="37">
                  <c:v>108.55315389505981</c:v>
                </c:pt>
                <c:pt idx="38">
                  <c:v>110.28428106640243</c:v>
                </c:pt>
                <c:pt idx="39">
                  <c:v>112.01540823774508</c:v>
                </c:pt>
                <c:pt idx="40">
                  <c:v>113.7465354090877</c:v>
                </c:pt>
                <c:pt idx="41">
                  <c:v>115.47766258043032</c:v>
                </c:pt>
                <c:pt idx="42">
                  <c:v>117.20878975177297</c:v>
                </c:pt>
                <c:pt idx="43">
                  <c:v>118.93991692311559</c:v>
                </c:pt>
                <c:pt idx="44">
                  <c:v>120.67104409445821</c:v>
                </c:pt>
                <c:pt idx="45">
                  <c:v>122.40217126580086</c:v>
                </c:pt>
                <c:pt idx="46">
                  <c:v>124.13329843714348</c:v>
                </c:pt>
                <c:pt idx="47">
                  <c:v>125.8644256084861</c:v>
                </c:pt>
                <c:pt idx="48">
                  <c:v>127.59555277982875</c:v>
                </c:pt>
                <c:pt idx="49">
                  <c:v>129.32667995117137</c:v>
                </c:pt>
                <c:pt idx="50">
                  <c:v>131.05780712251399</c:v>
                </c:pt>
                <c:pt idx="51">
                  <c:v>132.78893429385664</c:v>
                </c:pt>
                <c:pt idx="52">
                  <c:v>134.52006146519926</c:v>
                </c:pt>
                <c:pt idx="53">
                  <c:v>136.25118863654188</c:v>
                </c:pt>
                <c:pt idx="54">
                  <c:v>137.98231580788453</c:v>
                </c:pt>
                <c:pt idx="55">
                  <c:v>139.71344297922715</c:v>
                </c:pt>
                <c:pt idx="56">
                  <c:v>141.44457015056977</c:v>
                </c:pt>
                <c:pt idx="57">
                  <c:v>143.17569732191242</c:v>
                </c:pt>
                <c:pt idx="58">
                  <c:v>144.90682449325504</c:v>
                </c:pt>
                <c:pt idx="59">
                  <c:v>146.63795166459767</c:v>
                </c:pt>
                <c:pt idx="60">
                  <c:v>148.36907883594029</c:v>
                </c:pt>
                <c:pt idx="61">
                  <c:v>150.10020600728294</c:v>
                </c:pt>
                <c:pt idx="62">
                  <c:v>151.83133317862556</c:v>
                </c:pt>
                <c:pt idx="63">
                  <c:v>153.56246034996818</c:v>
                </c:pt>
                <c:pt idx="64">
                  <c:v>155.29358752131083</c:v>
                </c:pt>
                <c:pt idx="65">
                  <c:v>157.02471469265345</c:v>
                </c:pt>
                <c:pt idx="66">
                  <c:v>158.75584186399607</c:v>
                </c:pt>
                <c:pt idx="67">
                  <c:v>160.48696903533872</c:v>
                </c:pt>
                <c:pt idx="68">
                  <c:v>162.21809620668134</c:v>
                </c:pt>
                <c:pt idx="69">
                  <c:v>163.94922337802396</c:v>
                </c:pt>
              </c:numCache>
            </c:numRef>
          </c:xVal>
          <c:yVal>
            <c:numRef>
              <c:f>Sheet17_HID!ydata2</c:f>
              <c:numCache>
                <c:formatCode>General</c:formatCode>
                <c:ptCount val="70"/>
                <c:pt idx="0">
                  <c:v>66.667166684608787</c:v>
                </c:pt>
                <c:pt idx="1">
                  <c:v>68.287335414297615</c:v>
                </c:pt>
                <c:pt idx="2">
                  <c:v>69.910160260084453</c:v>
                </c:pt>
                <c:pt idx="3">
                  <c:v>71.535680734689976</c:v>
                </c:pt>
                <c:pt idx="4">
                  <c:v>73.163936125581614</c:v>
                </c:pt>
                <c:pt idx="5">
                  <c:v>74.794965440178004</c:v>
                </c:pt>
                <c:pt idx="6">
                  <c:v>76.428807349285194</c:v>
                </c:pt>
                <c:pt idx="7">
                  <c:v>78.065500128877233</c:v>
                </c:pt>
                <c:pt idx="8">
                  <c:v>79.705081600350098</c:v>
                </c:pt>
                <c:pt idx="9">
                  <c:v>81.347589069393905</c:v>
                </c:pt>
                <c:pt idx="10">
                  <c:v>82.993059263644426</c:v>
                </c:pt>
                <c:pt idx="11">
                  <c:v>84.64152826929103</c:v>
                </c:pt>
                <c:pt idx="12">
                  <c:v>86.293031466834378</c:v>
                </c:pt>
                <c:pt idx="13">
                  <c:v>87.947603466201571</c:v>
                </c:pt>
                <c:pt idx="14">
                  <c:v>89.605278041442205</c:v>
                </c:pt>
                <c:pt idx="15">
                  <c:v>91.266088065241604</c:v>
                </c:pt>
                <c:pt idx="16">
                  <c:v>92.930065443500979</c:v>
                </c:pt>
                <c:pt idx="17">
                  <c:v>94.597241050245188</c:v>
                </c:pt>
                <c:pt idx="18">
                  <c:v>96.267644663129204</c:v>
                </c:pt>
                <c:pt idx="19">
                  <c:v>97.941304899822597</c:v>
                </c:pt>
                <c:pt idx="20">
                  <c:v>99.618249155557777</c:v>
                </c:pt>
                <c:pt idx="21">
                  <c:v>101.29850354213255</c:v>
                </c:pt>
                <c:pt idx="22">
                  <c:v>102.98209282866</c:v>
                </c:pt>
                <c:pt idx="23">
                  <c:v>104.66904038435828</c:v>
                </c:pt>
                <c:pt idx="24">
                  <c:v>106.35936812367116</c:v>
                </c:pt>
                <c:pt idx="25">
                  <c:v>108.05309645400553</c:v>
                </c:pt>
                <c:pt idx="26">
                  <c:v>109.75024422636416</c:v>
                </c:pt>
                <c:pt idx="27">
                  <c:v>111.45082868914258</c:v>
                </c:pt>
                <c:pt idx="28">
                  <c:v>113.1548654453469</c:v>
                </c:pt>
                <c:pt idx="29">
                  <c:v>114.86236841347376</c:v>
                </c:pt>
                <c:pt idx="30">
                  <c:v>116.57334979227721</c:v>
                </c:pt>
                <c:pt idx="31">
                  <c:v>118.28782002962711</c:v>
                </c:pt>
                <c:pt idx="32">
                  <c:v>120.00578779564279</c:v>
                </c:pt>
                <c:pt idx="33">
                  <c:v>121.72725996026114</c:v>
                </c:pt>
                <c:pt idx="34">
                  <c:v>123.45224157537439</c:v>
                </c:pt>
                <c:pt idx="35">
                  <c:v>125.18073586164499</c:v>
                </c:pt>
                <c:pt idx="36">
                  <c:v>126.91274420007785</c:v>
                </c:pt>
                <c:pt idx="37">
                  <c:v>128.64826612840127</c:v>
                </c:pt>
                <c:pt idx="38">
                  <c:v>130.38729934227877</c:v>
                </c:pt>
                <c:pt idx="39">
                  <c:v>132.12983970134428</c:v>
                </c:pt>
                <c:pt idx="40">
                  <c:v>133.87588124002377</c:v>
                </c:pt>
                <c:pt idx="41">
                  <c:v>135.62541618307796</c:v>
                </c:pt>
                <c:pt idx="42">
                  <c:v>137.37843496577119</c:v>
                </c:pt>
                <c:pt idx="43">
                  <c:v>139.13492625854559</c:v>
                </c:pt>
                <c:pt idx="44">
                  <c:v>140.89487699605306</c:v>
                </c:pt>
                <c:pt idx="45">
                  <c:v>142.65827241037306</c:v>
                </c:pt>
                <c:pt idx="46">
                  <c:v>144.42509606822168</c:v>
                </c:pt>
                <c:pt idx="47">
                  <c:v>146.19532991193768</c:v>
                </c:pt>
                <c:pt idx="48">
                  <c:v>147.96895430401128</c:v>
                </c:pt>
                <c:pt idx="49">
                  <c:v>149.74594807490695</c:v>
                </c:pt>
                <c:pt idx="50">
                  <c:v>151.52628857391693</c:v>
                </c:pt>
                <c:pt idx="51">
                  <c:v>153.30995172277164</c:v>
                </c:pt>
                <c:pt idx="52">
                  <c:v>155.09691207172364</c:v>
                </c:pt>
                <c:pt idx="53">
                  <c:v>156.88714285781776</c:v>
                </c:pt>
                <c:pt idx="54">
                  <c:v>158.68061606505418</c:v>
                </c:pt>
                <c:pt idx="55">
                  <c:v>160.47730248615136</c:v>
                </c:pt>
                <c:pt idx="56">
                  <c:v>162.27717178561784</c:v>
                </c:pt>
                <c:pt idx="57">
                  <c:v>164.0801925638433</c:v>
                </c:pt>
                <c:pt idx="58">
                  <c:v>165.88633242192671</c:v>
                </c:pt>
                <c:pt idx="59">
                  <c:v>167.69555802696627</c:v>
                </c:pt>
                <c:pt idx="60">
                  <c:v>169.50783517754468</c:v>
                </c:pt>
                <c:pt idx="61">
                  <c:v>171.3231288691546</c:v>
                </c:pt>
                <c:pt idx="62">
                  <c:v>173.14140335932117</c:v>
                </c:pt>
                <c:pt idx="63">
                  <c:v>174.96262223219173</c:v>
                </c:pt>
                <c:pt idx="64">
                  <c:v>176.78674846237666</c:v>
                </c:pt>
                <c:pt idx="65">
                  <c:v>178.61374447784121</c:v>
                </c:pt>
                <c:pt idx="66">
                  <c:v>180.44357222166315</c:v>
                </c:pt>
                <c:pt idx="67">
                  <c:v>182.27619321248662</c:v>
                </c:pt>
                <c:pt idx="68">
                  <c:v>184.11156860351969</c:v>
                </c:pt>
                <c:pt idx="69">
                  <c:v>185.94965923993863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F2-46DB-8379-C09144EB5D65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20</c:v>
              </c:pt>
              <c:pt idx="1">
                <c:v>200</c:v>
              </c:pt>
            </c:numLit>
          </c:xVal>
          <c:yVal>
            <c:numLit>
              <c:formatCode>General</c:formatCode>
              <c:ptCount val="2"/>
              <c:pt idx="0">
                <c:v>20</c:v>
              </c:pt>
              <c:pt idx="1">
                <c:v>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8F2-46DB-8379-C09144EB5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580384"/>
        <c:axId val="1276576424"/>
      </c:scatterChart>
      <c:valAx>
        <c:axId val="1276580384"/>
        <c:scaling>
          <c:orientation val="minMax"/>
          <c:max val="20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Pred(Calories)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76576424"/>
        <c:crosses val="autoZero"/>
        <c:crossBetween val="midCat"/>
      </c:valAx>
      <c:valAx>
        <c:axId val="1276576424"/>
        <c:scaling>
          <c:orientation val="minMax"/>
          <c:max val="20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Calories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7658038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Calories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8'!$A$98:$A$164</c:f>
              <c:strCache>
                <c:ptCount val="67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</c:strCache>
            </c:strRef>
          </c:cat>
          <c:val>
            <c:numRef>
              <c:f>'Linear Regression Output 8'!$F$98:$F$164</c:f>
              <c:numCache>
                <c:formatCode>0.000</c:formatCode>
                <c:ptCount val="67"/>
                <c:pt idx="0">
                  <c:v>0.10164858212145993</c:v>
                </c:pt>
                <c:pt idx="1">
                  <c:v>-0.17996349518831026</c:v>
                </c:pt>
                <c:pt idx="2">
                  <c:v>-0.56369221543192816</c:v>
                </c:pt>
                <c:pt idx="3">
                  <c:v>0.29839034590453473</c:v>
                </c:pt>
                <c:pt idx="4">
                  <c:v>0.69339640634667765</c:v>
                </c:pt>
                <c:pt idx="5">
                  <c:v>-1.0398628854300616</c:v>
                </c:pt>
                <c:pt idx="6">
                  <c:v>0.95623962137330787</c:v>
                </c:pt>
                <c:pt idx="7">
                  <c:v>-1.2591192725385851</c:v>
                </c:pt>
                <c:pt idx="8">
                  <c:v>-0.19498659642914559</c:v>
                </c:pt>
                <c:pt idx="9">
                  <c:v>0.40801853945879729</c:v>
                </c:pt>
                <c:pt idx="10">
                  <c:v>2.0279038766389661</c:v>
                </c:pt>
                <c:pt idx="11">
                  <c:v>1.2453632493034972</c:v>
                </c:pt>
                <c:pt idx="12">
                  <c:v>1.0260868336591722</c:v>
                </c:pt>
                <c:pt idx="13">
                  <c:v>-0.98503877438503096</c:v>
                </c:pt>
                <c:pt idx="14">
                  <c:v>-0.43679766393471919</c:v>
                </c:pt>
                <c:pt idx="15">
                  <c:v>-0.71089819062407456</c:v>
                </c:pt>
                <c:pt idx="16">
                  <c:v>-0.93021466333999914</c:v>
                </c:pt>
                <c:pt idx="17">
                  <c:v>-0.98503877438503096</c:v>
                </c:pt>
                <c:pt idx="18">
                  <c:v>2.0353953987235811</c:v>
                </c:pt>
                <c:pt idx="19">
                  <c:v>7.1622408175594773E-2</c:v>
                </c:pt>
                <c:pt idx="20">
                  <c:v>-0.10036147557991572</c:v>
                </c:pt>
                <c:pt idx="21">
                  <c:v>-0.47661870227471698</c:v>
                </c:pt>
                <c:pt idx="22">
                  <c:v>-0.87537052375916746</c:v>
                </c:pt>
                <c:pt idx="23">
                  <c:v>-0.64860258603022747</c:v>
                </c:pt>
                <c:pt idx="24">
                  <c:v>-0.87539055229496865</c:v>
                </c:pt>
                <c:pt idx="25">
                  <c:v>-0.31214636913962418</c:v>
                </c:pt>
                <c:pt idx="26">
                  <c:v>1.1905391382584651</c:v>
                </c:pt>
                <c:pt idx="27">
                  <c:v>-0.26485383725080974</c:v>
                </c:pt>
                <c:pt idx="28">
                  <c:v>-0.93021466333999914</c:v>
                </c:pt>
                <c:pt idx="29">
                  <c:v>-0.4293061418501028</c:v>
                </c:pt>
                <c:pt idx="30">
                  <c:v>0.13393804130524312</c:v>
                </c:pt>
                <c:pt idx="31">
                  <c:v>1.2453832778392968</c:v>
                </c:pt>
                <c:pt idx="32">
                  <c:v>3.2016647463026686</c:v>
                </c:pt>
                <c:pt idx="33">
                  <c:v>-0.87539055229496865</c:v>
                </c:pt>
                <c:pt idx="34">
                  <c:v>0.79927883885863127</c:v>
                </c:pt>
                <c:pt idx="35">
                  <c:v>0.35696021799187411</c:v>
                </c:pt>
                <c:pt idx="36">
                  <c:v>7.1602379639793559E-2</c:v>
                </c:pt>
                <c:pt idx="37">
                  <c:v>0.8939039597078583</c:v>
                </c:pt>
                <c:pt idx="38">
                  <c:v>-0.10036147557991572</c:v>
                </c:pt>
                <c:pt idx="39">
                  <c:v>0.75198630696981683</c:v>
                </c:pt>
                <c:pt idx="40">
                  <c:v>-0.59377847498519565</c:v>
                </c:pt>
                <c:pt idx="41">
                  <c:v>2.3417653560609186</c:v>
                </c:pt>
                <c:pt idx="42">
                  <c:v>-0.2573222580945923</c:v>
                </c:pt>
                <c:pt idx="43">
                  <c:v>0.57249087259389009</c:v>
                </c:pt>
                <c:pt idx="44">
                  <c:v>1.6876818701702527</c:v>
                </c:pt>
                <c:pt idx="45">
                  <c:v>-3.806587098606859E-2</c:v>
                </c:pt>
                <c:pt idx="46">
                  <c:v>-0.76572230166910649</c:v>
                </c:pt>
                <c:pt idx="47">
                  <c:v>-2.2458731572059443</c:v>
                </c:pt>
                <c:pt idx="48">
                  <c:v>-1.2365645921415351</c:v>
                </c:pt>
                <c:pt idx="49">
                  <c:v>7.9113930260209797E-2</c:v>
                </c:pt>
                <c:pt idx="50">
                  <c:v>-0.26485383725080974</c:v>
                </c:pt>
                <c:pt idx="51">
                  <c:v>-1.2591192725385851</c:v>
                </c:pt>
                <c:pt idx="52">
                  <c:v>-0.38197355288968876</c:v>
                </c:pt>
                <c:pt idx="53">
                  <c:v>-0.43679766393471919</c:v>
                </c:pt>
                <c:pt idx="54">
                  <c:v>-0.59373841791359605</c:v>
                </c:pt>
                <c:pt idx="55">
                  <c:v>-0.24979067893837484</c:v>
                </c:pt>
                <c:pt idx="56">
                  <c:v>-0.25730222955879251</c:v>
                </c:pt>
                <c:pt idx="57">
                  <c:v>-0.75825080812028989</c:v>
                </c:pt>
                <c:pt idx="58">
                  <c:v>1.5818194661941003</c:v>
                </c:pt>
                <c:pt idx="59">
                  <c:v>-0.86785897313874971</c:v>
                </c:pt>
                <c:pt idx="60">
                  <c:v>-0.10036147557991572</c:v>
                </c:pt>
                <c:pt idx="61">
                  <c:v>0.61978340448270453</c:v>
                </c:pt>
                <c:pt idx="62">
                  <c:v>0.58002245175010758</c:v>
                </c:pt>
                <c:pt idx="63">
                  <c:v>-0.93021466333999914</c:v>
                </c:pt>
                <c:pt idx="64">
                  <c:v>0.24358626339530404</c:v>
                </c:pt>
                <c:pt idx="65">
                  <c:v>0.24358626339530404</c:v>
                </c:pt>
                <c:pt idx="66">
                  <c:v>-1.0473544075146779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8-41E6-B480-C9325985B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30726376"/>
        <c:axId val="830727096"/>
      </c:barChart>
      <c:catAx>
        <c:axId val="830726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30727096"/>
        <c:crosses val="autoZero"/>
        <c:auto val="1"/>
        <c:lblAlgn val="ctr"/>
        <c:lblOffset val="100"/>
        <c:noMultiLvlLbl val="0"/>
      </c:catAx>
      <c:valAx>
        <c:axId val="830727096"/>
        <c:scaling>
          <c:orientation val="minMax"/>
          <c:max val="4"/>
          <c:min val="-4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3072637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Current Salary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E0E-4F43-B231-A1714668C401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E0E-4F43-B231-A1714668C401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E0E-4F43-B231-A1714668C4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3"/>
                <c:pt idx="0">
                  <c:v>0.10907625618032446</c:v>
                </c:pt>
                <c:pt idx="1">
                  <c:v>9.4103704747870637E-2</c:v>
                </c:pt>
                <c:pt idx="2">
                  <c:v>0.10974284630354211</c:v>
                </c:pt>
              </c:numLit>
            </c:plus>
            <c:minus>
              <c:numLit>
                <c:formatCode>General</c:formatCode>
                <c:ptCount val="3"/>
                <c:pt idx="0">
                  <c:v>0.10907625618032446</c:v>
                </c:pt>
                <c:pt idx="1">
                  <c:v>9.4103704747870637E-2</c:v>
                </c:pt>
                <c:pt idx="2">
                  <c:v>0.1097428463035421</c:v>
                </c:pt>
              </c:numLit>
            </c:minus>
          </c:errBars>
          <c:cat>
            <c:strRef>
              <c:f>'Linear Regression Output 9'!$A$74:$A$76</c:f>
              <c:strCache>
                <c:ptCount val="3"/>
                <c:pt idx="0">
                  <c:v>Beginning Salary</c:v>
                </c:pt>
                <c:pt idx="1">
                  <c:v>Previous Experience (months)</c:v>
                </c:pt>
                <c:pt idx="2">
                  <c:v>Education (years)</c:v>
                </c:pt>
              </c:strCache>
            </c:strRef>
          </c:cat>
          <c:val>
            <c:numRef>
              <c:f>'Linear Regression Output 9'!$B$74:$B$76</c:f>
              <c:numCache>
                <c:formatCode>0.000</c:formatCode>
                <c:ptCount val="3"/>
                <c:pt idx="0">
                  <c:v>0.83540402399327918</c:v>
                </c:pt>
                <c:pt idx="1">
                  <c:v>-6.6540347815906092E-2</c:v>
                </c:pt>
                <c:pt idx="2">
                  <c:v>0.11303359172209695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E-4F43-B231-A1714668C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86809568"/>
        <c:axId val="671208744"/>
      </c:barChart>
      <c:catAx>
        <c:axId val="108680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671208744"/>
        <c:crosses val="autoZero"/>
        <c:auto val="1"/>
        <c:lblAlgn val="ctr"/>
        <c:lblOffset val="100"/>
        <c:noMultiLvlLbl val="0"/>
      </c:catAx>
      <c:valAx>
        <c:axId val="671208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6809568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Current Salary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9'!$C$102:$C$201</c:f>
              <c:numCache>
                <c:formatCode>0.000</c:formatCode>
                <c:ptCount val="100"/>
                <c:pt idx="0">
                  <c:v>23400</c:v>
                </c:pt>
                <c:pt idx="1">
                  <c:v>33540</c:v>
                </c:pt>
                <c:pt idx="2">
                  <c:v>26550</c:v>
                </c:pt>
                <c:pt idx="3">
                  <c:v>30900</c:v>
                </c:pt>
                <c:pt idx="4">
                  <c:v>23100</c:v>
                </c:pt>
                <c:pt idx="5">
                  <c:v>30750</c:v>
                </c:pt>
                <c:pt idx="6">
                  <c:v>24150</c:v>
                </c:pt>
                <c:pt idx="7">
                  <c:v>61250</c:v>
                </c:pt>
                <c:pt idx="8">
                  <c:v>42300</c:v>
                </c:pt>
                <c:pt idx="9">
                  <c:v>24900</c:v>
                </c:pt>
                <c:pt idx="10">
                  <c:v>34500</c:v>
                </c:pt>
                <c:pt idx="11">
                  <c:v>46000</c:v>
                </c:pt>
                <c:pt idx="12">
                  <c:v>30270</c:v>
                </c:pt>
                <c:pt idx="13">
                  <c:v>40350</c:v>
                </c:pt>
                <c:pt idx="14">
                  <c:v>45000</c:v>
                </c:pt>
                <c:pt idx="15">
                  <c:v>27900</c:v>
                </c:pt>
                <c:pt idx="16">
                  <c:v>56750</c:v>
                </c:pt>
                <c:pt idx="17">
                  <c:v>29400</c:v>
                </c:pt>
                <c:pt idx="18">
                  <c:v>32100</c:v>
                </c:pt>
                <c:pt idx="19">
                  <c:v>21900</c:v>
                </c:pt>
                <c:pt idx="20">
                  <c:v>32400</c:v>
                </c:pt>
                <c:pt idx="21">
                  <c:v>45625</c:v>
                </c:pt>
                <c:pt idx="22">
                  <c:v>103500</c:v>
                </c:pt>
                <c:pt idx="23">
                  <c:v>19650</c:v>
                </c:pt>
                <c:pt idx="24">
                  <c:v>21300</c:v>
                </c:pt>
                <c:pt idx="25">
                  <c:v>103750</c:v>
                </c:pt>
                <c:pt idx="26">
                  <c:v>29100</c:v>
                </c:pt>
                <c:pt idx="27">
                  <c:v>59400</c:v>
                </c:pt>
                <c:pt idx="28">
                  <c:v>19650</c:v>
                </c:pt>
                <c:pt idx="29">
                  <c:v>31200</c:v>
                </c:pt>
                <c:pt idx="30">
                  <c:v>35100</c:v>
                </c:pt>
                <c:pt idx="31">
                  <c:v>24450</c:v>
                </c:pt>
                <c:pt idx="32">
                  <c:v>40800</c:v>
                </c:pt>
                <c:pt idx="33">
                  <c:v>25500</c:v>
                </c:pt>
                <c:pt idx="34">
                  <c:v>28200</c:v>
                </c:pt>
                <c:pt idx="35">
                  <c:v>34950</c:v>
                </c:pt>
                <c:pt idx="36">
                  <c:v>28050</c:v>
                </c:pt>
                <c:pt idx="37">
                  <c:v>20850</c:v>
                </c:pt>
                <c:pt idx="38">
                  <c:v>25200</c:v>
                </c:pt>
                <c:pt idx="39">
                  <c:v>30600</c:v>
                </c:pt>
                <c:pt idx="40">
                  <c:v>19950</c:v>
                </c:pt>
                <c:pt idx="41">
                  <c:v>20700</c:v>
                </c:pt>
                <c:pt idx="42">
                  <c:v>26250</c:v>
                </c:pt>
                <c:pt idx="43">
                  <c:v>68125</c:v>
                </c:pt>
                <c:pt idx="44">
                  <c:v>21150</c:v>
                </c:pt>
                <c:pt idx="45">
                  <c:v>35700</c:v>
                </c:pt>
                <c:pt idx="46">
                  <c:v>21900</c:v>
                </c:pt>
                <c:pt idx="47">
                  <c:v>24000</c:v>
                </c:pt>
                <c:pt idx="48">
                  <c:v>60000</c:v>
                </c:pt>
                <c:pt idx="49">
                  <c:v>23700</c:v>
                </c:pt>
                <c:pt idx="50">
                  <c:v>26700</c:v>
                </c:pt>
                <c:pt idx="51">
                  <c:v>23100</c:v>
                </c:pt>
                <c:pt idx="52">
                  <c:v>25800</c:v>
                </c:pt>
                <c:pt idx="53">
                  <c:v>37650</c:v>
                </c:pt>
                <c:pt idx="54">
                  <c:v>22950</c:v>
                </c:pt>
                <c:pt idx="55">
                  <c:v>40200</c:v>
                </c:pt>
                <c:pt idx="56">
                  <c:v>29700</c:v>
                </c:pt>
                <c:pt idx="57">
                  <c:v>35250</c:v>
                </c:pt>
                <c:pt idx="58">
                  <c:v>21300</c:v>
                </c:pt>
                <c:pt idx="59">
                  <c:v>22350</c:v>
                </c:pt>
                <c:pt idx="60">
                  <c:v>25050</c:v>
                </c:pt>
                <c:pt idx="61">
                  <c:v>23400</c:v>
                </c:pt>
                <c:pt idx="62">
                  <c:v>20550</c:v>
                </c:pt>
                <c:pt idx="63">
                  <c:v>21750</c:v>
                </c:pt>
                <c:pt idx="64">
                  <c:v>27750</c:v>
                </c:pt>
                <c:pt idx="65">
                  <c:v>16350</c:v>
                </c:pt>
                <c:pt idx="66">
                  <c:v>24450</c:v>
                </c:pt>
                <c:pt idx="67">
                  <c:v>18150</c:v>
                </c:pt>
                <c:pt idx="68">
                  <c:v>30300</c:v>
                </c:pt>
                <c:pt idx="69">
                  <c:v>70000</c:v>
                </c:pt>
                <c:pt idx="70">
                  <c:v>21450</c:v>
                </c:pt>
                <c:pt idx="71">
                  <c:v>19650</c:v>
                </c:pt>
                <c:pt idx="72">
                  <c:v>26550</c:v>
                </c:pt>
                <c:pt idx="73">
                  <c:v>23850</c:v>
                </c:pt>
                <c:pt idx="74">
                  <c:v>36000</c:v>
                </c:pt>
                <c:pt idx="75">
                  <c:v>17100</c:v>
                </c:pt>
                <c:pt idx="76">
                  <c:v>30750</c:v>
                </c:pt>
                <c:pt idx="77">
                  <c:v>21600</c:v>
                </c:pt>
                <c:pt idx="78">
                  <c:v>22200</c:v>
                </c:pt>
                <c:pt idx="79">
                  <c:v>24300</c:v>
                </c:pt>
                <c:pt idx="80">
                  <c:v>27900</c:v>
                </c:pt>
                <c:pt idx="81">
                  <c:v>57000</c:v>
                </c:pt>
                <c:pt idx="82">
                  <c:v>26700</c:v>
                </c:pt>
                <c:pt idx="83">
                  <c:v>20400</c:v>
                </c:pt>
                <c:pt idx="84">
                  <c:v>28500</c:v>
                </c:pt>
                <c:pt idx="85">
                  <c:v>61875</c:v>
                </c:pt>
                <c:pt idx="86">
                  <c:v>30300</c:v>
                </c:pt>
                <c:pt idx="87">
                  <c:v>27600</c:v>
                </c:pt>
                <c:pt idx="88">
                  <c:v>52125</c:v>
                </c:pt>
                <c:pt idx="89">
                  <c:v>27300</c:v>
                </c:pt>
                <c:pt idx="90">
                  <c:v>100000</c:v>
                </c:pt>
                <c:pt idx="91">
                  <c:v>28350</c:v>
                </c:pt>
                <c:pt idx="92">
                  <c:v>22050</c:v>
                </c:pt>
                <c:pt idx="93">
                  <c:v>36000</c:v>
                </c:pt>
                <c:pt idx="94">
                  <c:v>66000</c:v>
                </c:pt>
                <c:pt idx="95">
                  <c:v>49000</c:v>
                </c:pt>
                <c:pt idx="96">
                  <c:v>25500</c:v>
                </c:pt>
                <c:pt idx="97">
                  <c:v>27750</c:v>
                </c:pt>
                <c:pt idx="98">
                  <c:v>52650</c:v>
                </c:pt>
                <c:pt idx="99">
                  <c:v>24300</c:v>
                </c:pt>
              </c:numCache>
            </c:numRef>
          </c:xVal>
          <c:yVal>
            <c:numRef>
              <c:f>'Linear Regression Output 9'!$F$102:$F$201</c:f>
              <c:numCache>
                <c:formatCode>0.000</c:formatCode>
                <c:ptCount val="100"/>
                <c:pt idx="0">
                  <c:v>-7.1294535275284177E-2</c:v>
                </c:pt>
                <c:pt idx="1">
                  <c:v>0.29664188980106021</c:v>
                </c:pt>
                <c:pt idx="2">
                  <c:v>-5.1329743665306994E-2</c:v>
                </c:pt>
                <c:pt idx="3">
                  <c:v>-0.18336089913257189</c:v>
                </c:pt>
                <c:pt idx="4">
                  <c:v>-9.1601318951739577E-2</c:v>
                </c:pt>
                <c:pt idx="5">
                  <c:v>1.0399013346459436</c:v>
                </c:pt>
                <c:pt idx="6">
                  <c:v>0.19545451249581661</c:v>
                </c:pt>
                <c:pt idx="7">
                  <c:v>-0.6769322108312108</c:v>
                </c:pt>
                <c:pt idx="8">
                  <c:v>-1.1694790651530969</c:v>
                </c:pt>
                <c:pt idx="9">
                  <c:v>0.1212384048164743</c:v>
                </c:pt>
                <c:pt idx="10">
                  <c:v>-0.34407741727427954</c:v>
                </c:pt>
                <c:pt idx="11">
                  <c:v>1.953567942054234</c:v>
                </c:pt>
                <c:pt idx="12">
                  <c:v>-7.68804162695432E-2</c:v>
                </c:pt>
                <c:pt idx="13">
                  <c:v>0.77346728147300814</c:v>
                </c:pt>
                <c:pt idx="14">
                  <c:v>0.45213298025665954</c:v>
                </c:pt>
                <c:pt idx="15">
                  <c:v>5.1411032097721403E-2</c:v>
                </c:pt>
                <c:pt idx="16">
                  <c:v>-0.30296469045383767</c:v>
                </c:pt>
                <c:pt idx="17">
                  <c:v>-0.71042233836192137</c:v>
                </c:pt>
                <c:pt idx="18">
                  <c:v>0.36259333500286944</c:v>
                </c:pt>
                <c:pt idx="19">
                  <c:v>-6.1684866656879965E-2</c:v>
                </c:pt>
                <c:pt idx="20">
                  <c:v>6.3771453984876422E-2</c:v>
                </c:pt>
                <c:pt idx="21">
                  <c:v>-0.16883969289879461</c:v>
                </c:pt>
                <c:pt idx="22">
                  <c:v>-0.77592703985915079</c:v>
                </c:pt>
                <c:pt idx="23">
                  <c:v>-0.54562696075779749</c:v>
                </c:pt>
                <c:pt idx="24">
                  <c:v>-0.33664069655561646</c:v>
                </c:pt>
                <c:pt idx="25">
                  <c:v>6.3597266048560819</c:v>
                </c:pt>
                <c:pt idx="26">
                  <c:v>0.39068080793483057</c:v>
                </c:pt>
                <c:pt idx="27">
                  <c:v>-6.6635779665856126E-2</c:v>
                </c:pt>
                <c:pt idx="28">
                  <c:v>-0.966060212776373</c:v>
                </c:pt>
                <c:pt idx="29">
                  <c:v>0.14748887779059572</c:v>
                </c:pt>
                <c:pt idx="30">
                  <c:v>0.11277543042867981</c:v>
                </c:pt>
                <c:pt idx="31">
                  <c:v>-0.43898026651041533</c:v>
                </c:pt>
                <c:pt idx="32">
                  <c:v>1.3628659231036162</c:v>
                </c:pt>
                <c:pt idx="33">
                  <c:v>4.7087158202213202E-2</c:v>
                </c:pt>
                <c:pt idx="34">
                  <c:v>-3.8627329711674228E-2</c:v>
                </c:pt>
                <c:pt idx="35">
                  <c:v>-0.87977534625559606</c:v>
                </c:pt>
                <c:pt idx="36">
                  <c:v>-0.79970288748190588</c:v>
                </c:pt>
                <c:pt idx="37">
                  <c:v>-0.33696724377698711</c:v>
                </c:pt>
                <c:pt idx="38">
                  <c:v>-0.65509021874740214</c:v>
                </c:pt>
                <c:pt idx="39">
                  <c:v>0.49747111131377164</c:v>
                </c:pt>
                <c:pt idx="40">
                  <c:v>-0.5029204178913157</c:v>
                </c:pt>
                <c:pt idx="41">
                  <c:v>-0.41505385754169666</c:v>
                </c:pt>
                <c:pt idx="42">
                  <c:v>-3.2684631094516532E-2</c:v>
                </c:pt>
                <c:pt idx="43">
                  <c:v>0.43907695926086249</c:v>
                </c:pt>
                <c:pt idx="44">
                  <c:v>6.5151941217136383E-2</c:v>
                </c:pt>
                <c:pt idx="45">
                  <c:v>0.44232469017350107</c:v>
                </c:pt>
                <c:pt idx="46">
                  <c:v>6.9301038821172445E-2</c:v>
                </c:pt>
                <c:pt idx="47">
                  <c:v>-0.15237780287300054</c:v>
                </c:pt>
                <c:pt idx="48">
                  <c:v>-0.52830648476869579</c:v>
                </c:pt>
                <c:pt idx="49">
                  <c:v>-0.306795524292995</c:v>
                </c:pt>
                <c:pt idx="50">
                  <c:v>1.1036296408327689E-2</c:v>
                </c:pt>
                <c:pt idx="51">
                  <c:v>4.2831188070133537E-2</c:v>
                </c:pt>
                <c:pt idx="52">
                  <c:v>-0.39586526883814671</c:v>
                </c:pt>
                <c:pt idx="53">
                  <c:v>0.94318086634949372</c:v>
                </c:pt>
                <c:pt idx="54">
                  <c:v>-0.97479547653527088</c:v>
                </c:pt>
                <c:pt idx="55">
                  <c:v>0.10061874421561771</c:v>
                </c:pt>
                <c:pt idx="56">
                  <c:v>0.2740506505115714</c:v>
                </c:pt>
                <c:pt idx="57">
                  <c:v>0.41558419066545088</c:v>
                </c:pt>
                <c:pt idx="58">
                  <c:v>-4.6541786830720175E-3</c:v>
                </c:pt>
                <c:pt idx="59">
                  <c:v>-0.19906766859263225</c:v>
                </c:pt>
                <c:pt idx="60">
                  <c:v>-0.38965120336251446</c:v>
                </c:pt>
                <c:pt idx="61">
                  <c:v>-4.6094806186504543E-2</c:v>
                </c:pt>
                <c:pt idx="62">
                  <c:v>-0.22150943924562058</c:v>
                </c:pt>
                <c:pt idx="63">
                  <c:v>0.26482416994826291</c:v>
                </c:pt>
                <c:pt idx="64">
                  <c:v>0.33588656833985092</c:v>
                </c:pt>
                <c:pt idx="65">
                  <c:v>-0.51481184702640381</c:v>
                </c:pt>
                <c:pt idx="66">
                  <c:v>-0.81410832917992959</c:v>
                </c:pt>
                <c:pt idx="67">
                  <c:v>-0.67853412275879621</c:v>
                </c:pt>
                <c:pt idx="68">
                  <c:v>-0.38493878378208329</c:v>
                </c:pt>
                <c:pt idx="69">
                  <c:v>3.2355497148560528</c:v>
                </c:pt>
                <c:pt idx="70">
                  <c:v>4.5242651223827528E-2</c:v>
                </c:pt>
                <c:pt idx="71">
                  <c:v>-0.47060134822389421</c:v>
                </c:pt>
                <c:pt idx="72">
                  <c:v>-0.52474271012700424</c:v>
                </c:pt>
                <c:pt idx="73">
                  <c:v>-0.619338663286086</c:v>
                </c:pt>
                <c:pt idx="74">
                  <c:v>-0.23697152779660857</c:v>
                </c:pt>
                <c:pt idx="75">
                  <c:v>-0.27753038695564136</c:v>
                </c:pt>
                <c:pt idx="76">
                  <c:v>0.11769474286888724</c:v>
                </c:pt>
                <c:pt idx="77">
                  <c:v>-0.11361772943656226</c:v>
                </c:pt>
                <c:pt idx="78">
                  <c:v>-1.3814707923618073</c:v>
                </c:pt>
                <c:pt idx="79">
                  <c:v>-0.61919787781619229</c:v>
                </c:pt>
                <c:pt idx="80">
                  <c:v>5.7264637410132921E-2</c:v>
                </c:pt>
                <c:pt idx="81">
                  <c:v>0.66828235393412716</c:v>
                </c:pt>
                <c:pt idx="82">
                  <c:v>-0.67905359795881925</c:v>
                </c:pt>
                <c:pt idx="83">
                  <c:v>-0.45636041545880113</c:v>
                </c:pt>
                <c:pt idx="84">
                  <c:v>0.58891740083420119</c:v>
                </c:pt>
                <c:pt idx="85">
                  <c:v>-1.1635342975486176</c:v>
                </c:pt>
                <c:pt idx="86">
                  <c:v>-0.52060749952436414</c:v>
                </c:pt>
                <c:pt idx="87">
                  <c:v>-0.26002471728564958</c:v>
                </c:pt>
                <c:pt idx="88">
                  <c:v>-0.3254645215755918</c:v>
                </c:pt>
                <c:pt idx="89">
                  <c:v>2.1997344339824507E-2</c:v>
                </c:pt>
                <c:pt idx="90">
                  <c:v>2.2751920147688742</c:v>
                </c:pt>
                <c:pt idx="91">
                  <c:v>0.80311205539048214</c:v>
                </c:pt>
                <c:pt idx="92">
                  <c:v>-0.16534861397583389</c:v>
                </c:pt>
                <c:pt idx="93">
                  <c:v>-0.90294692195602222</c:v>
                </c:pt>
                <c:pt idx="94">
                  <c:v>-2.8109587338233992</c:v>
                </c:pt>
                <c:pt idx="95">
                  <c:v>0.99269349072356095</c:v>
                </c:pt>
                <c:pt idx="96">
                  <c:v>0.17753859397874572</c:v>
                </c:pt>
                <c:pt idx="97">
                  <c:v>-0.40851595168676735</c:v>
                </c:pt>
                <c:pt idx="98">
                  <c:v>1.5096781306930787</c:v>
                </c:pt>
                <c:pt idx="99">
                  <c:v>0.12205081121242699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BA-4B07-B291-66201B25846C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33540</c:v>
              </c:pt>
            </c:numLit>
          </c:xVal>
          <c:yVal>
            <c:numLit>
              <c:formatCode>General</c:formatCode>
              <c:ptCount val="1"/>
              <c:pt idx="0">
                <c:v>0.29664188980106021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4BA-4B07-B291-66201B258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774216"/>
        <c:axId val="1275774576"/>
      </c:scatterChart>
      <c:valAx>
        <c:axId val="1275774216"/>
        <c:scaling>
          <c:orientation val="minMax"/>
          <c:max val="12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Current 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75774576"/>
        <c:crosses val="autoZero"/>
        <c:crossBetween val="midCat"/>
      </c:valAx>
      <c:valAx>
        <c:axId val="1275774576"/>
        <c:scaling>
          <c:orientation val="minMax"/>
          <c:max val="8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7577421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Pred(Current Salary)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9'!$D$102:$D$201</c:f>
              <c:numCache>
                <c:formatCode>0.000</c:formatCode>
                <c:ptCount val="100"/>
                <c:pt idx="0">
                  <c:v>23955.446786726257</c:v>
                </c:pt>
                <c:pt idx="1">
                  <c:v>31228.900224088786</c:v>
                </c:pt>
                <c:pt idx="2">
                  <c:v>26949.903598112956</c:v>
                </c:pt>
                <c:pt idx="3">
                  <c:v>32328.541778709539</c:v>
                </c:pt>
                <c:pt idx="4">
                  <c:v>23813.654392656787</c:v>
                </c:pt>
                <c:pt idx="5">
                  <c:v>22648.259065562954</c:v>
                </c:pt>
                <c:pt idx="6">
                  <c:v>22627.238395653239</c:v>
                </c:pt>
                <c:pt idx="7">
                  <c:v>66523.893993219506</c:v>
                </c:pt>
                <c:pt idx="8">
                  <c:v>51411.264788734901</c:v>
                </c:pt>
                <c:pt idx="9">
                  <c:v>23955.446786726257</c:v>
                </c:pt>
                <c:pt idx="10">
                  <c:v>37180.664023857142</c:v>
                </c:pt>
                <c:pt idx="11">
                  <c:v>30779.997066035627</c:v>
                </c:pt>
                <c:pt idx="12">
                  <c:v>30868.965685297044</c:v>
                </c:pt>
                <c:pt idx="13">
                  <c:v>34324.01337320992</c:v>
                </c:pt>
                <c:pt idx="14">
                  <c:v>41477.488630975204</c:v>
                </c:pt>
                <c:pt idx="15">
                  <c:v>27499.463093900558</c:v>
                </c:pt>
                <c:pt idx="16">
                  <c:v>59110.359923160024</c:v>
                </c:pt>
                <c:pt idx="17">
                  <c:v>34934.811378432263</c:v>
                </c:pt>
                <c:pt idx="18">
                  <c:v>29275.080782306166</c:v>
                </c:pt>
                <c:pt idx="19">
                  <c:v>22380.579063204576</c:v>
                </c:pt>
                <c:pt idx="20">
                  <c:v>31903.164596501119</c:v>
                </c:pt>
                <c:pt idx="21">
                  <c:v>46940.408881345145</c:v>
                </c:pt>
                <c:pt idx="22">
                  <c:v>109545.15029601705</c:v>
                </c:pt>
                <c:pt idx="23">
                  <c:v>23900.911250545694</c:v>
                </c:pt>
                <c:pt idx="24">
                  <c:v>23922.72546501792</c:v>
                </c:pt>
                <c:pt idx="25">
                  <c:v>54202.167287646007</c:v>
                </c:pt>
                <c:pt idx="26">
                  <c:v>26056.254801786352</c:v>
                </c:pt>
                <c:pt idx="27">
                  <c:v>59919.151005802683</c:v>
                </c:pt>
                <c:pt idx="28">
                  <c:v>27176.454010799105</c:v>
                </c:pt>
                <c:pt idx="29">
                  <c:v>30050.932642588552</c:v>
                </c:pt>
                <c:pt idx="30">
                  <c:v>34221.380759248786</c:v>
                </c:pt>
                <c:pt idx="31">
                  <c:v>27870.040225074241</c:v>
                </c:pt>
                <c:pt idx="32">
                  <c:v>30182.082444276079</c:v>
                </c:pt>
                <c:pt idx="33">
                  <c:v>25133.149853372321</c:v>
                </c:pt>
                <c:pt idx="34">
                  <c:v>28500.940683396293</c:v>
                </c:pt>
                <c:pt idx="35">
                  <c:v>41804.219432552483</c:v>
                </c:pt>
                <c:pt idx="36">
                  <c:v>34280.384944265475</c:v>
                </c:pt>
                <c:pt idx="37">
                  <c:v>23475.269553483107</c:v>
                </c:pt>
                <c:pt idx="38">
                  <c:v>30303.72577104361</c:v>
                </c:pt>
                <c:pt idx="39">
                  <c:v>26724.264935574007</c:v>
                </c:pt>
                <c:pt idx="40">
                  <c:v>23868.189928837353</c:v>
                </c:pt>
                <c:pt idx="41">
                  <c:v>23933.632572254035</c:v>
                </c:pt>
                <c:pt idx="42">
                  <c:v>26504.641863456764</c:v>
                </c:pt>
                <c:pt idx="43">
                  <c:v>64704.206453828592</c:v>
                </c:pt>
                <c:pt idx="44">
                  <c:v>20642.409393534796</c:v>
                </c:pt>
                <c:pt idx="45">
                  <c:v>32253.903789429263</c:v>
                </c:pt>
                <c:pt idx="46">
                  <c:v>21360.084294239641</c:v>
                </c:pt>
                <c:pt idx="47">
                  <c:v>25187.15635984455</c:v>
                </c:pt>
                <c:pt idx="48">
                  <c:v>64115.969593438756</c:v>
                </c:pt>
                <c:pt idx="49">
                  <c:v>26090.205469361092</c:v>
                </c:pt>
                <c:pt idx="50">
                  <c:v>26614.017598211496</c:v>
                </c:pt>
                <c:pt idx="51">
                  <c:v>22766.307583135742</c:v>
                </c:pt>
                <c:pt idx="52">
                  <c:v>28884.1366831786</c:v>
                </c:pt>
                <c:pt idx="53">
                  <c:v>30301.79610901916</c:v>
                </c:pt>
                <c:pt idx="54">
                  <c:v>30544.509355677244</c:v>
                </c:pt>
                <c:pt idx="55">
                  <c:v>39416.091977552016</c:v>
                </c:pt>
                <c:pt idx="56">
                  <c:v>27564.90573731724</c:v>
                </c:pt>
                <c:pt idx="57">
                  <c:v>32012.235668862253</c:v>
                </c:pt>
                <c:pt idx="58">
                  <c:v>21336.260122664105</c:v>
                </c:pt>
                <c:pt idx="59">
                  <c:v>23900.911250545694</c:v>
                </c:pt>
                <c:pt idx="60">
                  <c:v>28085.723678063703</c:v>
                </c:pt>
                <c:pt idx="61">
                  <c:v>23759.11885647622</c:v>
                </c:pt>
                <c:pt idx="62">
                  <c:v>22275.752272364814</c:v>
                </c:pt>
                <c:pt idx="63">
                  <c:v>19686.788090738773</c:v>
                </c:pt>
                <c:pt idx="64">
                  <c:v>25133.149853372321</c:v>
                </c:pt>
                <c:pt idx="65">
                  <c:v>20360.834562499163</c:v>
                </c:pt>
                <c:pt idx="66">
                  <c:v>30792.615934644251</c:v>
                </c:pt>
                <c:pt idx="67">
                  <c:v>23436.374288228937</c:v>
                </c:pt>
                <c:pt idx="68">
                  <c:v>33299.00980786945</c:v>
                </c:pt>
                <c:pt idx="69">
                  <c:v>44792.237785539175</c:v>
                </c:pt>
                <c:pt idx="70">
                  <c:v>21097.52017601041</c:v>
                </c:pt>
                <c:pt idx="71">
                  <c:v>23316.396108631689</c:v>
                </c:pt>
                <c:pt idx="72">
                  <c:v>30638.204671966152</c:v>
                </c:pt>
                <c:pt idx="73">
                  <c:v>28675.189884319934</c:v>
                </c:pt>
                <c:pt idx="74">
                  <c:v>37846.215465911999</c:v>
                </c:pt>
                <c:pt idx="75">
                  <c:v>19262.204453092865</c:v>
                </c:pt>
                <c:pt idx="76">
                  <c:v>29833.055012720455</c:v>
                </c:pt>
                <c:pt idx="77">
                  <c:v>22485.181486729598</c:v>
                </c:pt>
                <c:pt idx="78">
                  <c:v>32962.865759776621</c:v>
                </c:pt>
                <c:pt idx="79">
                  <c:v>29124.093042373097</c:v>
                </c:pt>
                <c:pt idx="80">
                  <c:v>27453.858388729419</c:v>
                </c:pt>
                <c:pt idx="81">
                  <c:v>51793.495957504987</c:v>
                </c:pt>
                <c:pt idx="82">
                  <c:v>31990.421454390027</c:v>
                </c:pt>
                <c:pt idx="83">
                  <c:v>23955.446786726257</c:v>
                </c:pt>
                <c:pt idx="84">
                  <c:v>23911.818357781805</c:v>
                </c:pt>
                <c:pt idx="85">
                  <c:v>70939.949849574521</c:v>
                </c:pt>
                <c:pt idx="86">
                  <c:v>34355.987764557976</c:v>
                </c:pt>
                <c:pt idx="87">
                  <c:v>29625.819975234306</c:v>
                </c:pt>
                <c:pt idx="88">
                  <c:v>54660.65328681274</c:v>
                </c:pt>
                <c:pt idx="89">
                  <c:v>27128.621447872705</c:v>
                </c:pt>
                <c:pt idx="90">
                  <c:v>82274.264234853399</c:v>
                </c:pt>
                <c:pt idx="91">
                  <c:v>22093.05465593786</c:v>
                </c:pt>
                <c:pt idx="92">
                  <c:v>23338.210323103915</c:v>
                </c:pt>
                <c:pt idx="93">
                  <c:v>43034.746274006597</c:v>
                </c:pt>
                <c:pt idx="94">
                  <c:v>87899.82710867867</c:v>
                </c:pt>
                <c:pt idx="95">
                  <c:v>41266.049459507107</c:v>
                </c:pt>
                <c:pt idx="96">
                  <c:v>24116.819070849902</c:v>
                </c:pt>
                <c:pt idx="97">
                  <c:v>30932.696567341212</c:v>
                </c:pt>
                <c:pt idx="98">
                  <c:v>40888.28693957314</c:v>
                </c:pt>
                <c:pt idx="99">
                  <c:v>23349.117430340029</c:v>
                </c:pt>
              </c:numCache>
            </c:numRef>
          </c:xVal>
          <c:yVal>
            <c:numRef>
              <c:f>'Linear Regression Output 9'!$F$102:$F$201</c:f>
              <c:numCache>
                <c:formatCode>0.000</c:formatCode>
                <c:ptCount val="100"/>
                <c:pt idx="0">
                  <c:v>-7.1294535275284177E-2</c:v>
                </c:pt>
                <c:pt idx="1">
                  <c:v>0.29664188980106021</c:v>
                </c:pt>
                <c:pt idx="2">
                  <c:v>-5.1329743665306994E-2</c:v>
                </c:pt>
                <c:pt idx="3">
                  <c:v>-0.18336089913257189</c:v>
                </c:pt>
                <c:pt idx="4">
                  <c:v>-9.1601318951739577E-2</c:v>
                </c:pt>
                <c:pt idx="5">
                  <c:v>1.0399013346459436</c:v>
                </c:pt>
                <c:pt idx="6">
                  <c:v>0.19545451249581661</c:v>
                </c:pt>
                <c:pt idx="7">
                  <c:v>-0.6769322108312108</c:v>
                </c:pt>
                <c:pt idx="8">
                  <c:v>-1.1694790651530969</c:v>
                </c:pt>
                <c:pt idx="9">
                  <c:v>0.1212384048164743</c:v>
                </c:pt>
                <c:pt idx="10">
                  <c:v>-0.34407741727427954</c:v>
                </c:pt>
                <c:pt idx="11">
                  <c:v>1.953567942054234</c:v>
                </c:pt>
                <c:pt idx="12">
                  <c:v>-7.68804162695432E-2</c:v>
                </c:pt>
                <c:pt idx="13">
                  <c:v>0.77346728147300814</c:v>
                </c:pt>
                <c:pt idx="14">
                  <c:v>0.45213298025665954</c:v>
                </c:pt>
                <c:pt idx="15">
                  <c:v>5.1411032097721403E-2</c:v>
                </c:pt>
                <c:pt idx="16">
                  <c:v>-0.30296469045383767</c:v>
                </c:pt>
                <c:pt idx="17">
                  <c:v>-0.71042233836192137</c:v>
                </c:pt>
                <c:pt idx="18">
                  <c:v>0.36259333500286944</c:v>
                </c:pt>
                <c:pt idx="19">
                  <c:v>-6.1684866656879965E-2</c:v>
                </c:pt>
                <c:pt idx="20">
                  <c:v>6.3771453984876422E-2</c:v>
                </c:pt>
                <c:pt idx="21">
                  <c:v>-0.16883969289879461</c:v>
                </c:pt>
                <c:pt idx="22">
                  <c:v>-0.77592703985915079</c:v>
                </c:pt>
                <c:pt idx="23">
                  <c:v>-0.54562696075779749</c:v>
                </c:pt>
                <c:pt idx="24">
                  <c:v>-0.33664069655561646</c:v>
                </c:pt>
                <c:pt idx="25">
                  <c:v>6.3597266048560819</c:v>
                </c:pt>
                <c:pt idx="26">
                  <c:v>0.39068080793483057</c:v>
                </c:pt>
                <c:pt idx="27">
                  <c:v>-6.6635779665856126E-2</c:v>
                </c:pt>
                <c:pt idx="28">
                  <c:v>-0.966060212776373</c:v>
                </c:pt>
                <c:pt idx="29">
                  <c:v>0.14748887779059572</c:v>
                </c:pt>
                <c:pt idx="30">
                  <c:v>0.11277543042867981</c:v>
                </c:pt>
                <c:pt idx="31">
                  <c:v>-0.43898026651041533</c:v>
                </c:pt>
                <c:pt idx="32">
                  <c:v>1.3628659231036162</c:v>
                </c:pt>
                <c:pt idx="33">
                  <c:v>4.7087158202213202E-2</c:v>
                </c:pt>
                <c:pt idx="34">
                  <c:v>-3.8627329711674228E-2</c:v>
                </c:pt>
                <c:pt idx="35">
                  <c:v>-0.87977534625559606</c:v>
                </c:pt>
                <c:pt idx="36">
                  <c:v>-0.79970288748190588</c:v>
                </c:pt>
                <c:pt idx="37">
                  <c:v>-0.33696724377698711</c:v>
                </c:pt>
                <c:pt idx="38">
                  <c:v>-0.65509021874740214</c:v>
                </c:pt>
                <c:pt idx="39">
                  <c:v>0.49747111131377164</c:v>
                </c:pt>
                <c:pt idx="40">
                  <c:v>-0.5029204178913157</c:v>
                </c:pt>
                <c:pt idx="41">
                  <c:v>-0.41505385754169666</c:v>
                </c:pt>
                <c:pt idx="42">
                  <c:v>-3.2684631094516532E-2</c:v>
                </c:pt>
                <c:pt idx="43">
                  <c:v>0.43907695926086249</c:v>
                </c:pt>
                <c:pt idx="44">
                  <c:v>6.5151941217136383E-2</c:v>
                </c:pt>
                <c:pt idx="45">
                  <c:v>0.44232469017350107</c:v>
                </c:pt>
                <c:pt idx="46">
                  <c:v>6.9301038821172445E-2</c:v>
                </c:pt>
                <c:pt idx="47">
                  <c:v>-0.15237780287300054</c:v>
                </c:pt>
                <c:pt idx="48">
                  <c:v>-0.52830648476869579</c:v>
                </c:pt>
                <c:pt idx="49">
                  <c:v>-0.306795524292995</c:v>
                </c:pt>
                <c:pt idx="50">
                  <c:v>1.1036296408327689E-2</c:v>
                </c:pt>
                <c:pt idx="51">
                  <c:v>4.2831188070133537E-2</c:v>
                </c:pt>
                <c:pt idx="52">
                  <c:v>-0.39586526883814671</c:v>
                </c:pt>
                <c:pt idx="53">
                  <c:v>0.94318086634949372</c:v>
                </c:pt>
                <c:pt idx="54">
                  <c:v>-0.97479547653527088</c:v>
                </c:pt>
                <c:pt idx="55">
                  <c:v>0.10061874421561771</c:v>
                </c:pt>
                <c:pt idx="56">
                  <c:v>0.2740506505115714</c:v>
                </c:pt>
                <c:pt idx="57">
                  <c:v>0.41558419066545088</c:v>
                </c:pt>
                <c:pt idx="58">
                  <c:v>-4.6541786830720175E-3</c:v>
                </c:pt>
                <c:pt idx="59">
                  <c:v>-0.19906766859263225</c:v>
                </c:pt>
                <c:pt idx="60">
                  <c:v>-0.38965120336251446</c:v>
                </c:pt>
                <c:pt idx="61">
                  <c:v>-4.6094806186504543E-2</c:v>
                </c:pt>
                <c:pt idx="62">
                  <c:v>-0.22150943924562058</c:v>
                </c:pt>
                <c:pt idx="63">
                  <c:v>0.26482416994826291</c:v>
                </c:pt>
                <c:pt idx="64">
                  <c:v>0.33588656833985092</c:v>
                </c:pt>
                <c:pt idx="65">
                  <c:v>-0.51481184702640381</c:v>
                </c:pt>
                <c:pt idx="66">
                  <c:v>-0.81410832917992959</c:v>
                </c:pt>
                <c:pt idx="67">
                  <c:v>-0.67853412275879621</c:v>
                </c:pt>
                <c:pt idx="68">
                  <c:v>-0.38493878378208329</c:v>
                </c:pt>
                <c:pt idx="69">
                  <c:v>3.2355497148560528</c:v>
                </c:pt>
                <c:pt idx="70">
                  <c:v>4.5242651223827528E-2</c:v>
                </c:pt>
                <c:pt idx="71">
                  <c:v>-0.47060134822389421</c:v>
                </c:pt>
                <c:pt idx="72">
                  <c:v>-0.52474271012700424</c:v>
                </c:pt>
                <c:pt idx="73">
                  <c:v>-0.619338663286086</c:v>
                </c:pt>
                <c:pt idx="74">
                  <c:v>-0.23697152779660857</c:v>
                </c:pt>
                <c:pt idx="75">
                  <c:v>-0.27753038695564136</c:v>
                </c:pt>
                <c:pt idx="76">
                  <c:v>0.11769474286888724</c:v>
                </c:pt>
                <c:pt idx="77">
                  <c:v>-0.11361772943656226</c:v>
                </c:pt>
                <c:pt idx="78">
                  <c:v>-1.3814707923618073</c:v>
                </c:pt>
                <c:pt idx="79">
                  <c:v>-0.61919787781619229</c:v>
                </c:pt>
                <c:pt idx="80">
                  <c:v>5.7264637410132921E-2</c:v>
                </c:pt>
                <c:pt idx="81">
                  <c:v>0.66828235393412716</c:v>
                </c:pt>
                <c:pt idx="82">
                  <c:v>-0.67905359795881925</c:v>
                </c:pt>
                <c:pt idx="83">
                  <c:v>-0.45636041545880113</c:v>
                </c:pt>
                <c:pt idx="84">
                  <c:v>0.58891740083420119</c:v>
                </c:pt>
                <c:pt idx="85">
                  <c:v>-1.1635342975486176</c:v>
                </c:pt>
                <c:pt idx="86">
                  <c:v>-0.52060749952436414</c:v>
                </c:pt>
                <c:pt idx="87">
                  <c:v>-0.26002471728564958</c:v>
                </c:pt>
                <c:pt idx="88">
                  <c:v>-0.3254645215755918</c:v>
                </c:pt>
                <c:pt idx="89">
                  <c:v>2.1997344339824507E-2</c:v>
                </c:pt>
                <c:pt idx="90">
                  <c:v>2.2751920147688742</c:v>
                </c:pt>
                <c:pt idx="91">
                  <c:v>0.80311205539048214</c:v>
                </c:pt>
                <c:pt idx="92">
                  <c:v>-0.16534861397583389</c:v>
                </c:pt>
                <c:pt idx="93">
                  <c:v>-0.90294692195602222</c:v>
                </c:pt>
                <c:pt idx="94">
                  <c:v>-2.8109587338233992</c:v>
                </c:pt>
                <c:pt idx="95">
                  <c:v>0.99269349072356095</c:v>
                </c:pt>
                <c:pt idx="96">
                  <c:v>0.17753859397874572</c:v>
                </c:pt>
                <c:pt idx="97">
                  <c:v>-0.40851595168676735</c:v>
                </c:pt>
                <c:pt idx="98">
                  <c:v>1.5096781306930787</c:v>
                </c:pt>
                <c:pt idx="99">
                  <c:v>0.12205081121242699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1-45C2-AE8D-4324B54532A1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31228.900224088786</c:v>
              </c:pt>
            </c:numLit>
          </c:xVal>
          <c:yVal>
            <c:numLit>
              <c:formatCode>General</c:formatCode>
              <c:ptCount val="1"/>
              <c:pt idx="0">
                <c:v>0.29664188980106021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B11-45C2-AE8D-4324B5453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654736"/>
        <c:axId val="1279654016"/>
      </c:scatterChart>
      <c:valAx>
        <c:axId val="1279654736"/>
        <c:scaling>
          <c:orientation val="minMax"/>
          <c:max val="12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Pred(Current 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79654016"/>
        <c:crosses val="autoZero"/>
        <c:crossBetween val="midCat"/>
      </c:valAx>
      <c:valAx>
        <c:axId val="1279654016"/>
        <c:scaling>
          <c:orientation val="minMax"/>
          <c:max val="8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7965473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Pred(Current Salary) - Current Salary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9'!$D$102:$D$201</c:f>
              <c:numCache>
                <c:formatCode>0.000</c:formatCode>
                <c:ptCount val="100"/>
                <c:pt idx="0">
                  <c:v>23955.446786726257</c:v>
                </c:pt>
                <c:pt idx="1">
                  <c:v>31228.900224088786</c:v>
                </c:pt>
                <c:pt idx="2">
                  <c:v>26949.903598112956</c:v>
                </c:pt>
                <c:pt idx="3">
                  <c:v>32328.541778709539</c:v>
                </c:pt>
                <c:pt idx="4">
                  <c:v>23813.654392656787</c:v>
                </c:pt>
                <c:pt idx="5">
                  <c:v>22648.259065562954</c:v>
                </c:pt>
                <c:pt idx="6">
                  <c:v>22627.238395653239</c:v>
                </c:pt>
                <c:pt idx="7">
                  <c:v>66523.893993219506</c:v>
                </c:pt>
                <c:pt idx="8">
                  <c:v>51411.264788734901</c:v>
                </c:pt>
                <c:pt idx="9">
                  <c:v>23955.446786726257</c:v>
                </c:pt>
                <c:pt idx="10">
                  <c:v>37180.664023857142</c:v>
                </c:pt>
                <c:pt idx="11">
                  <c:v>30779.997066035627</c:v>
                </c:pt>
                <c:pt idx="12">
                  <c:v>30868.965685297044</c:v>
                </c:pt>
                <c:pt idx="13">
                  <c:v>34324.01337320992</c:v>
                </c:pt>
                <c:pt idx="14">
                  <c:v>41477.488630975204</c:v>
                </c:pt>
                <c:pt idx="15">
                  <c:v>27499.463093900558</c:v>
                </c:pt>
                <c:pt idx="16">
                  <c:v>59110.359923160024</c:v>
                </c:pt>
                <c:pt idx="17">
                  <c:v>34934.811378432263</c:v>
                </c:pt>
                <c:pt idx="18">
                  <c:v>29275.080782306166</c:v>
                </c:pt>
                <c:pt idx="19">
                  <c:v>22380.579063204576</c:v>
                </c:pt>
                <c:pt idx="20">
                  <c:v>31903.164596501119</c:v>
                </c:pt>
                <c:pt idx="21">
                  <c:v>46940.408881345145</c:v>
                </c:pt>
                <c:pt idx="22">
                  <c:v>109545.15029601705</c:v>
                </c:pt>
                <c:pt idx="23">
                  <c:v>23900.911250545694</c:v>
                </c:pt>
                <c:pt idx="24">
                  <c:v>23922.72546501792</c:v>
                </c:pt>
                <c:pt idx="25">
                  <c:v>54202.167287646007</c:v>
                </c:pt>
                <c:pt idx="26">
                  <c:v>26056.254801786352</c:v>
                </c:pt>
                <c:pt idx="27">
                  <c:v>59919.151005802683</c:v>
                </c:pt>
                <c:pt idx="28">
                  <c:v>27176.454010799105</c:v>
                </c:pt>
                <c:pt idx="29">
                  <c:v>30050.932642588552</c:v>
                </c:pt>
                <c:pt idx="30">
                  <c:v>34221.380759248786</c:v>
                </c:pt>
                <c:pt idx="31">
                  <c:v>27870.040225074241</c:v>
                </c:pt>
                <c:pt idx="32">
                  <c:v>30182.082444276079</c:v>
                </c:pt>
                <c:pt idx="33">
                  <c:v>25133.149853372321</c:v>
                </c:pt>
                <c:pt idx="34">
                  <c:v>28500.940683396293</c:v>
                </c:pt>
                <c:pt idx="35">
                  <c:v>41804.219432552483</c:v>
                </c:pt>
                <c:pt idx="36">
                  <c:v>34280.384944265475</c:v>
                </c:pt>
                <c:pt idx="37">
                  <c:v>23475.269553483107</c:v>
                </c:pt>
                <c:pt idx="38">
                  <c:v>30303.72577104361</c:v>
                </c:pt>
                <c:pt idx="39">
                  <c:v>26724.264935574007</c:v>
                </c:pt>
                <c:pt idx="40">
                  <c:v>23868.189928837353</c:v>
                </c:pt>
                <c:pt idx="41">
                  <c:v>23933.632572254035</c:v>
                </c:pt>
                <c:pt idx="42">
                  <c:v>26504.641863456764</c:v>
                </c:pt>
                <c:pt idx="43">
                  <c:v>64704.206453828592</c:v>
                </c:pt>
                <c:pt idx="44">
                  <c:v>20642.409393534796</c:v>
                </c:pt>
                <c:pt idx="45">
                  <c:v>32253.903789429263</c:v>
                </c:pt>
                <c:pt idx="46">
                  <c:v>21360.084294239641</c:v>
                </c:pt>
                <c:pt idx="47">
                  <c:v>25187.15635984455</c:v>
                </c:pt>
                <c:pt idx="48">
                  <c:v>64115.969593438756</c:v>
                </c:pt>
                <c:pt idx="49">
                  <c:v>26090.205469361092</c:v>
                </c:pt>
                <c:pt idx="50">
                  <c:v>26614.017598211496</c:v>
                </c:pt>
                <c:pt idx="51">
                  <c:v>22766.307583135742</c:v>
                </c:pt>
                <c:pt idx="52">
                  <c:v>28884.1366831786</c:v>
                </c:pt>
                <c:pt idx="53">
                  <c:v>30301.79610901916</c:v>
                </c:pt>
                <c:pt idx="54">
                  <c:v>30544.509355677244</c:v>
                </c:pt>
                <c:pt idx="55">
                  <c:v>39416.091977552016</c:v>
                </c:pt>
                <c:pt idx="56">
                  <c:v>27564.90573731724</c:v>
                </c:pt>
                <c:pt idx="57">
                  <c:v>32012.235668862253</c:v>
                </c:pt>
                <c:pt idx="58">
                  <c:v>21336.260122664105</c:v>
                </c:pt>
                <c:pt idx="59">
                  <c:v>23900.911250545694</c:v>
                </c:pt>
                <c:pt idx="60">
                  <c:v>28085.723678063703</c:v>
                </c:pt>
                <c:pt idx="61">
                  <c:v>23759.11885647622</c:v>
                </c:pt>
                <c:pt idx="62">
                  <c:v>22275.752272364814</c:v>
                </c:pt>
                <c:pt idx="63">
                  <c:v>19686.788090738773</c:v>
                </c:pt>
                <c:pt idx="64">
                  <c:v>25133.149853372321</c:v>
                </c:pt>
                <c:pt idx="65">
                  <c:v>20360.834562499163</c:v>
                </c:pt>
                <c:pt idx="66">
                  <c:v>30792.615934644251</c:v>
                </c:pt>
                <c:pt idx="67">
                  <c:v>23436.374288228937</c:v>
                </c:pt>
                <c:pt idx="68">
                  <c:v>33299.00980786945</c:v>
                </c:pt>
                <c:pt idx="69">
                  <c:v>44792.237785539175</c:v>
                </c:pt>
                <c:pt idx="70">
                  <c:v>21097.52017601041</c:v>
                </c:pt>
                <c:pt idx="71">
                  <c:v>23316.396108631689</c:v>
                </c:pt>
                <c:pt idx="72">
                  <c:v>30638.204671966152</c:v>
                </c:pt>
                <c:pt idx="73">
                  <c:v>28675.189884319934</c:v>
                </c:pt>
                <c:pt idx="74">
                  <c:v>37846.215465911999</c:v>
                </c:pt>
                <c:pt idx="75">
                  <c:v>19262.204453092865</c:v>
                </c:pt>
                <c:pt idx="76">
                  <c:v>29833.055012720455</c:v>
                </c:pt>
                <c:pt idx="77">
                  <c:v>22485.181486729598</c:v>
                </c:pt>
                <c:pt idx="78">
                  <c:v>32962.865759776621</c:v>
                </c:pt>
                <c:pt idx="79">
                  <c:v>29124.093042373097</c:v>
                </c:pt>
                <c:pt idx="80">
                  <c:v>27453.858388729419</c:v>
                </c:pt>
                <c:pt idx="81">
                  <c:v>51793.495957504987</c:v>
                </c:pt>
                <c:pt idx="82">
                  <c:v>31990.421454390027</c:v>
                </c:pt>
                <c:pt idx="83">
                  <c:v>23955.446786726257</c:v>
                </c:pt>
                <c:pt idx="84">
                  <c:v>23911.818357781805</c:v>
                </c:pt>
                <c:pt idx="85">
                  <c:v>70939.949849574521</c:v>
                </c:pt>
                <c:pt idx="86">
                  <c:v>34355.987764557976</c:v>
                </c:pt>
                <c:pt idx="87">
                  <c:v>29625.819975234306</c:v>
                </c:pt>
                <c:pt idx="88">
                  <c:v>54660.65328681274</c:v>
                </c:pt>
                <c:pt idx="89">
                  <c:v>27128.621447872705</c:v>
                </c:pt>
                <c:pt idx="90">
                  <c:v>82274.264234853399</c:v>
                </c:pt>
                <c:pt idx="91">
                  <c:v>22093.05465593786</c:v>
                </c:pt>
                <c:pt idx="92">
                  <c:v>23338.210323103915</c:v>
                </c:pt>
                <c:pt idx="93">
                  <c:v>43034.746274006597</c:v>
                </c:pt>
                <c:pt idx="94">
                  <c:v>87899.82710867867</c:v>
                </c:pt>
                <c:pt idx="95">
                  <c:v>41266.049459507107</c:v>
                </c:pt>
                <c:pt idx="96">
                  <c:v>24116.819070849902</c:v>
                </c:pt>
                <c:pt idx="97">
                  <c:v>30932.696567341212</c:v>
                </c:pt>
                <c:pt idx="98">
                  <c:v>40888.28693957314</c:v>
                </c:pt>
                <c:pt idx="99">
                  <c:v>23349.117430340029</c:v>
                </c:pt>
              </c:numCache>
            </c:numRef>
          </c:xVal>
          <c:yVal>
            <c:numRef>
              <c:f>'Linear Regression Output 9'!$C$102:$C$201</c:f>
              <c:numCache>
                <c:formatCode>0.000</c:formatCode>
                <c:ptCount val="100"/>
                <c:pt idx="0">
                  <c:v>23400</c:v>
                </c:pt>
                <c:pt idx="1">
                  <c:v>33540</c:v>
                </c:pt>
                <c:pt idx="2">
                  <c:v>26550</c:v>
                </c:pt>
                <c:pt idx="3">
                  <c:v>30900</c:v>
                </c:pt>
                <c:pt idx="4">
                  <c:v>23100</c:v>
                </c:pt>
                <c:pt idx="5">
                  <c:v>30750</c:v>
                </c:pt>
                <c:pt idx="6">
                  <c:v>24150</c:v>
                </c:pt>
                <c:pt idx="7">
                  <c:v>61250</c:v>
                </c:pt>
                <c:pt idx="8">
                  <c:v>42300</c:v>
                </c:pt>
                <c:pt idx="9">
                  <c:v>24900</c:v>
                </c:pt>
                <c:pt idx="10">
                  <c:v>34500</c:v>
                </c:pt>
                <c:pt idx="11">
                  <c:v>46000</c:v>
                </c:pt>
                <c:pt idx="12">
                  <c:v>30270</c:v>
                </c:pt>
                <c:pt idx="13">
                  <c:v>40350</c:v>
                </c:pt>
                <c:pt idx="14">
                  <c:v>45000</c:v>
                </c:pt>
                <c:pt idx="15">
                  <c:v>27900</c:v>
                </c:pt>
                <c:pt idx="16">
                  <c:v>56750</c:v>
                </c:pt>
                <c:pt idx="17">
                  <c:v>29400</c:v>
                </c:pt>
                <c:pt idx="18">
                  <c:v>32100</c:v>
                </c:pt>
                <c:pt idx="19">
                  <c:v>21900</c:v>
                </c:pt>
                <c:pt idx="20">
                  <c:v>32400</c:v>
                </c:pt>
                <c:pt idx="21">
                  <c:v>45625</c:v>
                </c:pt>
                <c:pt idx="22">
                  <c:v>103500</c:v>
                </c:pt>
                <c:pt idx="23">
                  <c:v>19650</c:v>
                </c:pt>
                <c:pt idx="24">
                  <c:v>21300</c:v>
                </c:pt>
                <c:pt idx="25">
                  <c:v>103750</c:v>
                </c:pt>
                <c:pt idx="26">
                  <c:v>29100</c:v>
                </c:pt>
                <c:pt idx="27">
                  <c:v>59400</c:v>
                </c:pt>
                <c:pt idx="28">
                  <c:v>19650</c:v>
                </c:pt>
                <c:pt idx="29">
                  <c:v>31200</c:v>
                </c:pt>
                <c:pt idx="30">
                  <c:v>35100</c:v>
                </c:pt>
                <c:pt idx="31">
                  <c:v>24450</c:v>
                </c:pt>
                <c:pt idx="32">
                  <c:v>40800</c:v>
                </c:pt>
                <c:pt idx="33">
                  <c:v>25500</c:v>
                </c:pt>
                <c:pt idx="34">
                  <c:v>28200</c:v>
                </c:pt>
                <c:pt idx="35">
                  <c:v>34950</c:v>
                </c:pt>
                <c:pt idx="36">
                  <c:v>28050</c:v>
                </c:pt>
                <c:pt idx="37">
                  <c:v>20850</c:v>
                </c:pt>
                <c:pt idx="38">
                  <c:v>25200</c:v>
                </c:pt>
                <c:pt idx="39">
                  <c:v>30600</c:v>
                </c:pt>
                <c:pt idx="40">
                  <c:v>19950</c:v>
                </c:pt>
                <c:pt idx="41">
                  <c:v>20700</c:v>
                </c:pt>
                <c:pt idx="42">
                  <c:v>26250</c:v>
                </c:pt>
                <c:pt idx="43">
                  <c:v>68125</c:v>
                </c:pt>
                <c:pt idx="44">
                  <c:v>21150</c:v>
                </c:pt>
                <c:pt idx="45">
                  <c:v>35700</c:v>
                </c:pt>
                <c:pt idx="46">
                  <c:v>21900</c:v>
                </c:pt>
                <c:pt idx="47">
                  <c:v>24000</c:v>
                </c:pt>
                <c:pt idx="48">
                  <c:v>60000</c:v>
                </c:pt>
                <c:pt idx="49">
                  <c:v>23700</c:v>
                </c:pt>
                <c:pt idx="50">
                  <c:v>26700</c:v>
                </c:pt>
                <c:pt idx="51">
                  <c:v>23100</c:v>
                </c:pt>
                <c:pt idx="52">
                  <c:v>25800</c:v>
                </c:pt>
                <c:pt idx="53">
                  <c:v>37650</c:v>
                </c:pt>
                <c:pt idx="54">
                  <c:v>22950</c:v>
                </c:pt>
                <c:pt idx="55">
                  <c:v>40200</c:v>
                </c:pt>
                <c:pt idx="56">
                  <c:v>29700</c:v>
                </c:pt>
                <c:pt idx="57">
                  <c:v>35250</c:v>
                </c:pt>
                <c:pt idx="58">
                  <c:v>21300</c:v>
                </c:pt>
                <c:pt idx="59">
                  <c:v>22350</c:v>
                </c:pt>
                <c:pt idx="60">
                  <c:v>25050</c:v>
                </c:pt>
                <c:pt idx="61">
                  <c:v>23400</c:v>
                </c:pt>
                <c:pt idx="62">
                  <c:v>20550</c:v>
                </c:pt>
                <c:pt idx="63">
                  <c:v>21750</c:v>
                </c:pt>
                <c:pt idx="64">
                  <c:v>27750</c:v>
                </c:pt>
                <c:pt idx="65">
                  <c:v>16350</c:v>
                </c:pt>
                <c:pt idx="66">
                  <c:v>24450</c:v>
                </c:pt>
                <c:pt idx="67">
                  <c:v>18150</c:v>
                </c:pt>
                <c:pt idx="68">
                  <c:v>30300</c:v>
                </c:pt>
                <c:pt idx="69">
                  <c:v>70000</c:v>
                </c:pt>
                <c:pt idx="70">
                  <c:v>21450</c:v>
                </c:pt>
                <c:pt idx="71">
                  <c:v>19650</c:v>
                </c:pt>
                <c:pt idx="72">
                  <c:v>26550</c:v>
                </c:pt>
                <c:pt idx="73">
                  <c:v>23850</c:v>
                </c:pt>
                <c:pt idx="74">
                  <c:v>36000</c:v>
                </c:pt>
                <c:pt idx="75">
                  <c:v>17100</c:v>
                </c:pt>
                <c:pt idx="76">
                  <c:v>30750</c:v>
                </c:pt>
                <c:pt idx="77">
                  <c:v>21600</c:v>
                </c:pt>
                <c:pt idx="78">
                  <c:v>22200</c:v>
                </c:pt>
                <c:pt idx="79">
                  <c:v>24300</c:v>
                </c:pt>
                <c:pt idx="80">
                  <c:v>27900</c:v>
                </c:pt>
                <c:pt idx="81">
                  <c:v>57000</c:v>
                </c:pt>
                <c:pt idx="82">
                  <c:v>26700</c:v>
                </c:pt>
                <c:pt idx="83">
                  <c:v>20400</c:v>
                </c:pt>
                <c:pt idx="84">
                  <c:v>28500</c:v>
                </c:pt>
                <c:pt idx="85">
                  <c:v>61875</c:v>
                </c:pt>
                <c:pt idx="86">
                  <c:v>30300</c:v>
                </c:pt>
                <c:pt idx="87">
                  <c:v>27600</c:v>
                </c:pt>
                <c:pt idx="88">
                  <c:v>52125</c:v>
                </c:pt>
                <c:pt idx="89">
                  <c:v>27300</c:v>
                </c:pt>
                <c:pt idx="90">
                  <c:v>100000</c:v>
                </c:pt>
                <c:pt idx="91">
                  <c:v>28350</c:v>
                </c:pt>
                <c:pt idx="92">
                  <c:v>22050</c:v>
                </c:pt>
                <c:pt idx="93">
                  <c:v>36000</c:v>
                </c:pt>
                <c:pt idx="94">
                  <c:v>66000</c:v>
                </c:pt>
                <c:pt idx="95">
                  <c:v>49000</c:v>
                </c:pt>
                <c:pt idx="96">
                  <c:v>25500</c:v>
                </c:pt>
                <c:pt idx="97">
                  <c:v>27750</c:v>
                </c:pt>
                <c:pt idx="98">
                  <c:v>52650</c:v>
                </c:pt>
                <c:pt idx="99">
                  <c:v>24300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B-499F-B801-4F3DB9138F66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31228.900224088786</c:v>
              </c:pt>
            </c:numLit>
          </c:xVal>
          <c:yVal>
            <c:numLit>
              <c:formatCode>General</c:formatCode>
              <c:ptCount val="1"/>
              <c:pt idx="0">
                <c:v>33540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FDB-499F-B801-4F3DB9138F66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Sheet5_HID!xdata1</c:f>
              <c:numCache>
                <c:formatCode>General</c:formatCode>
                <c:ptCount val="70"/>
                <c:pt idx="0">
                  <c:v>15650.8866193759</c:v>
                </c:pt>
                <c:pt idx="1">
                  <c:v>17329.195224243209</c:v>
                </c:pt>
                <c:pt idx="2">
                  <c:v>19007.503829110519</c:v>
                </c:pt>
                <c:pt idx="3">
                  <c:v>20685.81243397783</c:v>
                </c:pt>
                <c:pt idx="4">
                  <c:v>22364.12103884514</c:v>
                </c:pt>
                <c:pt idx="5">
                  <c:v>24042.42964371245</c:v>
                </c:pt>
                <c:pt idx="6">
                  <c:v>25720.738248579757</c:v>
                </c:pt>
                <c:pt idx="7">
                  <c:v>27399.046853447071</c:v>
                </c:pt>
                <c:pt idx="8">
                  <c:v>29077.355458314378</c:v>
                </c:pt>
                <c:pt idx="9">
                  <c:v>30755.664063181692</c:v>
                </c:pt>
                <c:pt idx="10">
                  <c:v>32433.972668048998</c:v>
                </c:pt>
                <c:pt idx="11">
                  <c:v>34112.281272916312</c:v>
                </c:pt>
                <c:pt idx="12">
                  <c:v>35790.589877783619</c:v>
                </c:pt>
                <c:pt idx="13">
                  <c:v>37468.898482650926</c:v>
                </c:pt>
                <c:pt idx="14">
                  <c:v>39147.20708751824</c:v>
                </c:pt>
                <c:pt idx="15">
                  <c:v>40825.515692385547</c:v>
                </c:pt>
                <c:pt idx="16">
                  <c:v>42503.824297252861</c:v>
                </c:pt>
                <c:pt idx="17">
                  <c:v>44182.132902120167</c:v>
                </c:pt>
                <c:pt idx="18">
                  <c:v>45860.441506987481</c:v>
                </c:pt>
                <c:pt idx="19">
                  <c:v>47538.750111854788</c:v>
                </c:pt>
                <c:pt idx="20">
                  <c:v>49217.058716722102</c:v>
                </c:pt>
                <c:pt idx="21">
                  <c:v>50895.367321589409</c:v>
                </c:pt>
                <c:pt idx="22">
                  <c:v>52573.675926456723</c:v>
                </c:pt>
                <c:pt idx="23">
                  <c:v>54251.984531324029</c:v>
                </c:pt>
                <c:pt idx="24">
                  <c:v>55930.293136191336</c:v>
                </c:pt>
                <c:pt idx="25">
                  <c:v>57608.60174105865</c:v>
                </c:pt>
                <c:pt idx="26">
                  <c:v>59286.910345925957</c:v>
                </c:pt>
                <c:pt idx="27">
                  <c:v>60965.218950793271</c:v>
                </c:pt>
                <c:pt idx="28">
                  <c:v>62643.527555660577</c:v>
                </c:pt>
                <c:pt idx="29">
                  <c:v>64321.836160527891</c:v>
                </c:pt>
                <c:pt idx="30">
                  <c:v>66000.144765395191</c:v>
                </c:pt>
                <c:pt idx="31">
                  <c:v>67678.453370262505</c:v>
                </c:pt>
                <c:pt idx="32">
                  <c:v>69356.761975129819</c:v>
                </c:pt>
                <c:pt idx="33">
                  <c:v>71035.070579997118</c:v>
                </c:pt>
                <c:pt idx="34">
                  <c:v>72713.379184864432</c:v>
                </c:pt>
                <c:pt idx="35">
                  <c:v>74391.687789731746</c:v>
                </c:pt>
                <c:pt idx="36">
                  <c:v>76069.99639459906</c:v>
                </c:pt>
                <c:pt idx="37">
                  <c:v>77748.30499946636</c:v>
                </c:pt>
                <c:pt idx="38">
                  <c:v>79426.613604333674</c:v>
                </c:pt>
                <c:pt idx="39">
                  <c:v>81104.922209200988</c:v>
                </c:pt>
                <c:pt idx="40">
                  <c:v>82783.230814068302</c:v>
                </c:pt>
                <c:pt idx="41">
                  <c:v>84461.539418935601</c:v>
                </c:pt>
                <c:pt idx="42">
                  <c:v>86139.848023802915</c:v>
                </c:pt>
                <c:pt idx="43">
                  <c:v>87818.156628670229</c:v>
                </c:pt>
                <c:pt idx="44">
                  <c:v>89496.465233537543</c:v>
                </c:pt>
                <c:pt idx="45">
                  <c:v>91174.773838404843</c:v>
                </c:pt>
                <c:pt idx="46">
                  <c:v>92853.082443272157</c:v>
                </c:pt>
                <c:pt idx="47">
                  <c:v>94531.391048139471</c:v>
                </c:pt>
                <c:pt idx="48">
                  <c:v>96209.69965300677</c:v>
                </c:pt>
                <c:pt idx="49">
                  <c:v>97888.008257874084</c:v>
                </c:pt>
                <c:pt idx="50">
                  <c:v>99566.316862741398</c:v>
                </c:pt>
                <c:pt idx="51">
                  <c:v>101244.62546760871</c:v>
                </c:pt>
                <c:pt idx="52">
                  <c:v>102922.93407247601</c:v>
                </c:pt>
                <c:pt idx="53">
                  <c:v>104601.24267734333</c:v>
                </c:pt>
                <c:pt idx="54">
                  <c:v>106279.55128221064</c:v>
                </c:pt>
                <c:pt idx="55">
                  <c:v>107957.85988707795</c:v>
                </c:pt>
                <c:pt idx="56">
                  <c:v>109636.16849194525</c:v>
                </c:pt>
                <c:pt idx="57">
                  <c:v>111314.47709681257</c:v>
                </c:pt>
                <c:pt idx="58">
                  <c:v>112992.78570167988</c:v>
                </c:pt>
                <c:pt idx="59">
                  <c:v>114671.09430654718</c:v>
                </c:pt>
                <c:pt idx="60">
                  <c:v>116349.40291141449</c:v>
                </c:pt>
                <c:pt idx="61">
                  <c:v>118027.71151628181</c:v>
                </c:pt>
                <c:pt idx="62">
                  <c:v>119706.02012114912</c:v>
                </c:pt>
                <c:pt idx="63">
                  <c:v>121384.32872601642</c:v>
                </c:pt>
                <c:pt idx="64">
                  <c:v>123062.63733088374</c:v>
                </c:pt>
                <c:pt idx="65">
                  <c:v>124740.94593575105</c:v>
                </c:pt>
                <c:pt idx="66">
                  <c:v>126419.25454061835</c:v>
                </c:pt>
                <c:pt idx="67">
                  <c:v>128097.56314548566</c:v>
                </c:pt>
                <c:pt idx="68">
                  <c:v>129775.87175035298</c:v>
                </c:pt>
                <c:pt idx="69">
                  <c:v>131454.18035522028</c:v>
                </c:pt>
              </c:numCache>
            </c:numRef>
          </c:xVal>
          <c:yVal>
            <c:numRef>
              <c:f>Sheet5_HID!ydata1</c:f>
              <c:numCache>
                <c:formatCode>General</c:formatCode>
                <c:ptCount val="70"/>
                <c:pt idx="0">
                  <c:v>4.6667660777766287</c:v>
                </c:pt>
                <c:pt idx="1">
                  <c:v>1701.4897085761804</c:v>
                </c:pt>
                <c:pt idx="2">
                  <c:v>3396.5188794808128</c:v>
                </c:pt>
                <c:pt idx="3">
                  <c:v>5089.7485094740969</c:v>
                </c:pt>
                <c:pt idx="4">
                  <c:v>6781.1734292516794</c:v>
                </c:pt>
                <c:pt idx="5">
                  <c:v>8470.7890783786752</c:v>
                </c:pt>
                <c:pt idx="6">
                  <c:v>10158.591513149961</c:v>
                </c:pt>
                <c:pt idx="7">
                  <c:v>11844.577413423271</c:v>
                </c:pt>
                <c:pt idx="8">
                  <c:v>13528.74408839756</c:v>
                </c:pt>
                <c:pt idx="9">
                  <c:v>15211.089481313433</c:v>
                </c:pt>
                <c:pt idx="10">
                  <c:v>16891.612173056317</c:v>
                </c:pt>
                <c:pt idx="11">
                  <c:v>18570.311384647976</c:v>
                </c:pt>
                <c:pt idx="12">
                  <c:v>20247.186978615875</c:v>
                </c:pt>
                <c:pt idx="13">
                  <c:v>21922.239459235028</c:v>
                </c:pt>
                <c:pt idx="14">
                  <c:v>23595.469971641189</c:v>
                </c:pt>
                <c:pt idx="15">
                  <c:v>25266.880299819051</c:v>
                </c:pt>
                <c:pt idx="16">
                  <c:v>26936.472863473773</c:v>
                </c:pt>
                <c:pt idx="17">
                  <c:v>28604.25071379845</c:v>
                </c:pt>
                <c:pt idx="18">
                  <c:v>30270.217528154972</c:v>
                </c:pt>
                <c:pt idx="19">
                  <c:v>31934.377603689536</c:v>
                </c:pt>
                <c:pt idx="20">
                  <c:v>33596.735849908844</c:v>
                </c:pt>
                <c:pt idx="21">
                  <c:v>35257.297780246372</c:v>
                </c:pt>
                <c:pt idx="22">
                  <c:v>36916.069502652397</c:v>
                </c:pt>
                <c:pt idx="23">
                  <c:v>38573.057709244582</c:v>
                </c:pt>
                <c:pt idx="24">
                  <c:v>40228.26966505959</c:v>
                </c:pt>
                <c:pt idx="25">
                  <c:v>41881.713195948774</c:v>
                </c:pt>
                <c:pt idx="26">
                  <c:v>43533.396675664</c:v>
                </c:pt>
                <c:pt idx="27">
                  <c:v>45183.329012182032</c:v>
                </c:pt>
                <c:pt idx="28">
                  <c:v>46831.519633317723</c:v>
                </c:pt>
                <c:pt idx="29">
                  <c:v>48477.978471678449</c:v>
                </c:pt>
                <c:pt idx="30">
                  <c:v>50122.715949013109</c:v>
                </c:pt>
                <c:pt idx="31">
                  <c:v>51765.742960010801</c:v>
                </c:pt>
                <c:pt idx="32">
                  <c:v>53407.070855604281</c:v>
                </c:pt>
                <c:pt idx="33">
                  <c:v>55046.711425834466</c:v>
                </c:pt>
                <c:pt idx="34">
                  <c:v>56684.676882332024</c:v>
                </c:pt>
                <c:pt idx="35">
                  <c:v>58320.97984047186</c:v>
                </c:pt>
                <c:pt idx="36">
                  <c:v>59955.633301256268</c:v>
                </c:pt>
                <c:pt idx="37">
                  <c:v>61588.650632981364</c:v>
                </c:pt>
                <c:pt idx="38">
                  <c:v>63220.045552740732</c:v>
                </c:pt>
                <c:pt idx="39">
                  <c:v>64849.832107818758</c:v>
                </c:pt>
                <c:pt idx="40">
                  <c:v>66478.024657025002</c:v>
                </c:pt>
                <c:pt idx="41">
                  <c:v>68104.637852019077</c:v>
                </c:pt>
                <c:pt idx="42">
                  <c:v>69729.686618673586</c:v>
                </c:pt>
                <c:pt idx="43">
                  <c:v>71353.18613852108</c:v>
                </c:pt>
                <c:pt idx="44">
                  <c:v>72975.151830328512</c:v>
                </c:pt>
                <c:pt idx="45">
                  <c:v>74595.599331840509</c:v>
                </c:pt>
                <c:pt idx="46">
                  <c:v>76214.544481730671</c:v>
                </c:pt>
                <c:pt idx="47">
                  <c:v>77832.003301797158</c:v>
                </c:pt>
                <c:pt idx="48">
                  <c:v>79447.991979437094</c:v>
                </c:pt>
                <c:pt idx="49">
                  <c:v>81062.526850431168</c:v>
                </c:pt>
                <c:pt idx="50">
                  <c:v>82675.624382067443</c:v>
                </c:pt>
                <c:pt idx="51">
                  <c:v>84287.301156631147</c:v>
                </c:pt>
                <c:pt idx="52">
                  <c:v>85897.573855284369</c:v>
                </c:pt>
                <c:pt idx="53">
                  <c:v>87506.459242357116</c:v>
                </c:pt>
                <c:pt idx="54">
                  <c:v>89113.974150068767</c:v>
                </c:pt>
                <c:pt idx="55">
                  <c:v>90720.135463696788</c:v>
                </c:pt>
                <c:pt idx="56">
                  <c:v>92324.960107206847</c:v>
                </c:pt>
                <c:pt idx="57">
                  <c:v>93928.465029356477</c:v>
                </c:pt>
                <c:pt idx="58">
                  <c:v>95530.667190281936</c:v>
                </c:pt>
                <c:pt idx="59">
                  <c:v>97131.583548576469</c:v>
                </c:pt>
                <c:pt idx="60">
                  <c:v>98731.231048865302</c:v>
                </c:pt>
                <c:pt idx="61">
                  <c:v>100329.62660988144</c:v>
                </c:pt>
                <c:pt idx="62">
                  <c:v>101926.78711304445</c:v>
                </c:pt>
                <c:pt idx="63">
                  <c:v>103522.72939154229</c:v>
                </c:pt>
                <c:pt idx="64">
                  <c:v>105117.47021991535</c:v>
                </c:pt>
                <c:pt idx="65">
                  <c:v>106711.02630413977</c:v>
                </c:pt>
                <c:pt idx="66">
                  <c:v>108303.41427220605</c:v>
                </c:pt>
                <c:pt idx="67">
                  <c:v>109894.65066518787</c:v>
                </c:pt>
                <c:pt idx="68">
                  <c:v>111484.75192879421</c:v>
                </c:pt>
                <c:pt idx="69">
                  <c:v>113073.73440539782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DB-499F-B801-4F3DB9138F6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Sheet5_HID!xdata2</c:f>
              <c:numCache>
                <c:formatCode>General</c:formatCode>
                <c:ptCount val="70"/>
                <c:pt idx="0">
                  <c:v>15409.7635624743</c:v>
                </c:pt>
                <c:pt idx="1">
                  <c:v>17091.566704398159</c:v>
                </c:pt>
                <c:pt idx="2">
                  <c:v>18773.369846322021</c:v>
                </c:pt>
                <c:pt idx="3">
                  <c:v>20455.172988245882</c:v>
                </c:pt>
                <c:pt idx="4">
                  <c:v>22136.97613016974</c:v>
                </c:pt>
                <c:pt idx="5">
                  <c:v>23818.779272093598</c:v>
                </c:pt>
                <c:pt idx="6">
                  <c:v>25500.582414017459</c:v>
                </c:pt>
                <c:pt idx="7">
                  <c:v>27182.38555594132</c:v>
                </c:pt>
                <c:pt idx="8">
                  <c:v>28864.188697865182</c:v>
                </c:pt>
                <c:pt idx="9">
                  <c:v>30545.99183978904</c:v>
                </c:pt>
                <c:pt idx="10">
                  <c:v>32227.794981712897</c:v>
                </c:pt>
                <c:pt idx="11">
                  <c:v>33909.598123636759</c:v>
                </c:pt>
                <c:pt idx="12">
                  <c:v>35591.40126556062</c:v>
                </c:pt>
                <c:pt idx="13">
                  <c:v>37273.204407484482</c:v>
                </c:pt>
                <c:pt idx="14">
                  <c:v>38955.007549408343</c:v>
                </c:pt>
                <c:pt idx="15">
                  <c:v>40636.810691332197</c:v>
                </c:pt>
                <c:pt idx="16">
                  <c:v>42318.613833256059</c:v>
                </c:pt>
                <c:pt idx="17">
                  <c:v>44000.41697517992</c:v>
                </c:pt>
                <c:pt idx="18">
                  <c:v>45682.220117103781</c:v>
                </c:pt>
                <c:pt idx="19">
                  <c:v>47364.023259027643</c:v>
                </c:pt>
                <c:pt idx="20">
                  <c:v>49045.826400951497</c:v>
                </c:pt>
                <c:pt idx="21">
                  <c:v>50727.629542875358</c:v>
                </c:pt>
                <c:pt idx="22">
                  <c:v>52409.43268479922</c:v>
                </c:pt>
                <c:pt idx="23">
                  <c:v>54091.235826723081</c:v>
                </c:pt>
                <c:pt idx="24">
                  <c:v>55773.038968646943</c:v>
                </c:pt>
                <c:pt idx="25">
                  <c:v>57454.842110570797</c:v>
                </c:pt>
                <c:pt idx="26">
                  <c:v>59136.645252494658</c:v>
                </c:pt>
                <c:pt idx="27">
                  <c:v>60818.448394418519</c:v>
                </c:pt>
                <c:pt idx="28">
                  <c:v>62500.251536342381</c:v>
                </c:pt>
                <c:pt idx="29">
                  <c:v>64182.054678266242</c:v>
                </c:pt>
                <c:pt idx="30">
                  <c:v>65863.857820190096</c:v>
                </c:pt>
                <c:pt idx="31">
                  <c:v>67545.660962113965</c:v>
                </c:pt>
                <c:pt idx="32">
                  <c:v>69227.464104037819</c:v>
                </c:pt>
                <c:pt idx="33">
                  <c:v>70909.267245961688</c:v>
                </c:pt>
                <c:pt idx="34">
                  <c:v>72591.070387885542</c:v>
                </c:pt>
                <c:pt idx="35">
                  <c:v>74272.873529809396</c:v>
                </c:pt>
                <c:pt idx="36">
                  <c:v>75954.676671733265</c:v>
                </c:pt>
                <c:pt idx="37">
                  <c:v>77636.479813657119</c:v>
                </c:pt>
                <c:pt idx="38">
                  <c:v>79318.282955580988</c:v>
                </c:pt>
                <c:pt idx="39">
                  <c:v>81000.086097504842</c:v>
                </c:pt>
                <c:pt idx="40">
                  <c:v>82681.889239428696</c:v>
                </c:pt>
                <c:pt idx="41">
                  <c:v>84363.692381352565</c:v>
                </c:pt>
                <c:pt idx="42">
                  <c:v>86045.495523276419</c:v>
                </c:pt>
                <c:pt idx="43">
                  <c:v>87727.298665200273</c:v>
                </c:pt>
                <c:pt idx="44">
                  <c:v>89409.101807124141</c:v>
                </c:pt>
                <c:pt idx="45">
                  <c:v>91090.904949047996</c:v>
                </c:pt>
                <c:pt idx="46">
                  <c:v>92772.708090971864</c:v>
                </c:pt>
                <c:pt idx="47">
                  <c:v>94454.511232895718</c:v>
                </c:pt>
                <c:pt idx="48">
                  <c:v>96136.314374819587</c:v>
                </c:pt>
                <c:pt idx="49">
                  <c:v>97818.117516743441</c:v>
                </c:pt>
                <c:pt idx="50">
                  <c:v>99499.920658667295</c:v>
                </c:pt>
                <c:pt idx="51">
                  <c:v>101181.72380059116</c:v>
                </c:pt>
                <c:pt idx="52">
                  <c:v>102863.52694251502</c:v>
                </c:pt>
                <c:pt idx="53">
                  <c:v>104545.33008443889</c:v>
                </c:pt>
                <c:pt idx="54">
                  <c:v>106227.13322636274</c:v>
                </c:pt>
                <c:pt idx="55">
                  <c:v>107908.9363682866</c:v>
                </c:pt>
                <c:pt idx="56">
                  <c:v>109590.73951021046</c:v>
                </c:pt>
                <c:pt idx="57">
                  <c:v>111272.54265213432</c:v>
                </c:pt>
                <c:pt idx="58">
                  <c:v>112954.34579405819</c:v>
                </c:pt>
                <c:pt idx="59">
                  <c:v>114636.14893598204</c:v>
                </c:pt>
                <c:pt idx="60">
                  <c:v>116317.95207790589</c:v>
                </c:pt>
                <c:pt idx="61">
                  <c:v>117999.75521982976</c:v>
                </c:pt>
                <c:pt idx="62">
                  <c:v>119681.55836175362</c:v>
                </c:pt>
                <c:pt idx="63">
                  <c:v>121363.36150367749</c:v>
                </c:pt>
                <c:pt idx="64">
                  <c:v>123045.16464560134</c:v>
                </c:pt>
                <c:pt idx="65">
                  <c:v>124726.96778752519</c:v>
                </c:pt>
                <c:pt idx="66">
                  <c:v>126408.77092944906</c:v>
                </c:pt>
                <c:pt idx="67">
                  <c:v>128090.57407137292</c:v>
                </c:pt>
                <c:pt idx="68">
                  <c:v>129772.37721329679</c:v>
                </c:pt>
                <c:pt idx="69">
                  <c:v>131454.18035522065</c:v>
                </c:pt>
              </c:numCache>
            </c:numRef>
          </c:xVal>
          <c:yVal>
            <c:numRef>
              <c:f>Sheet5_HID!ydata2</c:f>
              <c:numCache>
                <c:formatCode>General</c:formatCode>
                <c:ptCount val="70"/>
                <c:pt idx="0">
                  <c:v>31058.790378310609</c:v>
                </c:pt>
                <c:pt idx="1">
                  <c:v>32721.784762335395</c:v>
                </c:pt>
                <c:pt idx="2">
                  <c:v>34386.579527019778</c:v>
                </c:pt>
                <c:pt idx="3">
                  <c:v>36053.180561877358</c:v>
                </c:pt>
                <c:pt idx="4">
                  <c:v>37721.59315271987</c:v>
                </c:pt>
                <c:pt idx="5">
                  <c:v>39391.821972571801</c:v>
                </c:pt>
                <c:pt idx="6">
                  <c:v>41063.871073588722</c:v>
                </c:pt>
                <c:pt idx="7">
                  <c:v>42737.74388001168</c:v>
                </c:pt>
                <c:pt idx="8">
                  <c:v>44413.4431821861</c:v>
                </c:pt>
                <c:pt idx="9">
                  <c:v>46090.971131669328</c:v>
                </c:pt>
                <c:pt idx="10">
                  <c:v>47770.329237446858</c:v>
                </c:pt>
                <c:pt idx="11">
                  <c:v>49451.518363272662</c:v>
                </c:pt>
                <c:pt idx="12">
                  <c:v>51134.538726144572</c:v>
                </c:pt>
                <c:pt idx="13">
                  <c:v>52819.389895921056</c:v>
                </c:pt>
                <c:pt idx="14">
                  <c:v>54506.070796080821</c:v>
                </c:pt>
                <c:pt idx="15">
                  <c:v>56194.579705622222</c:v>
                </c:pt>
                <c:pt idx="16">
                  <c:v>57884.91426209468</c:v>
                </c:pt>
                <c:pt idx="17">
                  <c:v>59577.071465749585</c:v>
                </c:pt>
                <c:pt idx="18">
                  <c:v>61271.047684793746</c:v>
                </c:pt>
                <c:pt idx="19">
                  <c:v>62966.838661724061</c:v>
                </c:pt>
                <c:pt idx="20">
                  <c:v>64664.439520717744</c:v>
                </c:pt>
                <c:pt idx="21">
                  <c:v>66363.844776048369</c:v>
                </c:pt>
                <c:pt idx="22">
                  <c:v>68065.048341494199</c:v>
                </c:pt>
                <c:pt idx="23">
                  <c:v>69768.043540701634</c:v>
                </c:pt>
                <c:pt idx="24">
                  <c:v>71472.823118463333</c:v>
                </c:pt>
                <c:pt idx="25">
                  <c:v>73179.379252867177</c:v>
                </c:pt>
                <c:pt idx="26">
                  <c:v>74887.703568269964</c:v>
                </c:pt>
                <c:pt idx="27">
                  <c:v>76597.78714904681</c:v>
                </c:pt>
                <c:pt idx="28">
                  <c:v>78309.620554065303</c:v>
                </c:pt>
                <c:pt idx="29">
                  <c:v>80023.193831831697</c:v>
                </c:pt>
                <c:pt idx="30">
                  <c:v>81738.496536254635</c:v>
                </c:pt>
                <c:pt idx="31">
                  <c:v>83455.51774297122</c:v>
                </c:pt>
                <c:pt idx="32">
                  <c:v>85174.246066178894</c:v>
                </c:pt>
                <c:pt idx="33">
                  <c:v>86894.669675916637</c:v>
                </c:pt>
                <c:pt idx="34">
                  <c:v>88616.776315738316</c:v>
                </c:pt>
                <c:pt idx="35">
                  <c:v>90340.55332072149</c:v>
                </c:pt>
                <c:pt idx="36">
                  <c:v>92065.987635755329</c:v>
                </c:pt>
                <c:pt idx="37">
                  <c:v>93793.065834051842</c:v>
                </c:pt>
                <c:pt idx="38">
                  <c:v>95521.774135825908</c:v>
                </c:pt>
                <c:pt idx="39">
                  <c:v>97252.098427090343</c:v>
                </c:pt>
                <c:pt idx="40">
                  <c:v>98984.024278514436</c:v>
                </c:pt>
                <c:pt idx="41">
                  <c:v>100717.53696429508</c:v>
                </c:pt>
                <c:pt idx="42">
                  <c:v>102452.62148099228</c:v>
                </c:pt>
                <c:pt idx="43">
                  <c:v>104189.26256628244</c:v>
                </c:pt>
                <c:pt idx="44">
                  <c:v>105927.44471758508</c:v>
                </c:pt>
                <c:pt idx="45">
                  <c:v>107667.1522105207</c:v>
                </c:pt>
                <c:pt idx="46">
                  <c:v>109408.3691171605</c:v>
                </c:pt>
                <c:pt idx="47">
                  <c:v>111151.07932403006</c:v>
                </c:pt>
                <c:pt idx="48">
                  <c:v>112895.26654983289</c:v>
                </c:pt>
                <c:pt idx="49">
                  <c:v>114640.91436286103</c:v>
                </c:pt>
                <c:pt idx="50">
                  <c:v>116388.00619806367</c:v>
                </c:pt>
                <c:pt idx="51">
                  <c:v>118136.5253737461</c:v>
                </c:pt>
                <c:pt idx="52">
                  <c:v>119886.45510787511</c:v>
                </c:pt>
                <c:pt idx="53">
                  <c:v>121637.77853396846</c:v>
                </c:pt>
                <c:pt idx="54">
                  <c:v>123390.47871654925</c:v>
                </c:pt>
                <c:pt idx="55">
                  <c:v>125144.5386661481</c:v>
                </c:pt>
                <c:pt idx="56">
                  <c:v>126899.9413538385</c:v>
                </c:pt>
                <c:pt idx="57">
                  <c:v>128656.66972529294</c:v>
                </c:pt>
                <c:pt idx="58">
                  <c:v>130414.70671435022</c:v>
                </c:pt>
                <c:pt idx="59">
                  <c:v>132174.03525608513</c:v>
                </c:pt>
                <c:pt idx="60">
                  <c:v>133934.63829937563</c:v>
                </c:pt>
                <c:pt idx="61">
                  <c:v>135696.49881896254</c:v>
                </c:pt>
                <c:pt idx="62">
                  <c:v>137459.59982700046</c:v>
                </c:pt>
                <c:pt idx="63">
                  <c:v>139223.92438409897</c:v>
                </c:pt>
                <c:pt idx="64">
                  <c:v>140989.4556098553</c:v>
                </c:pt>
                <c:pt idx="65">
                  <c:v>142756.17669288171</c:v>
                </c:pt>
                <c:pt idx="66">
                  <c:v>144524.07090033087</c:v>
                </c:pt>
                <c:pt idx="67">
                  <c:v>146293.1215869252</c:v>
                </c:pt>
                <c:pt idx="68">
                  <c:v>148063.31220349646</c:v>
                </c:pt>
                <c:pt idx="69">
                  <c:v>149834.62630504314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DB-499F-B801-4F3DB9138F66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160000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160000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FDB-499F-B801-4F3DB9138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778896"/>
        <c:axId val="1275788616"/>
      </c:scatterChart>
      <c:valAx>
        <c:axId val="1275778896"/>
        <c:scaling>
          <c:orientation val="minMax"/>
          <c:max val="16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Pred(Current 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75788616"/>
        <c:crosses val="autoZero"/>
        <c:crossBetween val="midCat"/>
      </c:valAx>
      <c:valAx>
        <c:axId val="1275788616"/>
        <c:scaling>
          <c:orientation val="minMax"/>
          <c:max val="16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Current 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7577889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Current Salary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9'!$A$102:$A$201</c:f>
              <c:strCache>
                <c:ptCount val="100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</c:strCache>
            </c:strRef>
          </c:cat>
          <c:val>
            <c:numRef>
              <c:f>'Linear Regression Output 9'!$F$102:$F$201</c:f>
              <c:numCache>
                <c:formatCode>0.000</c:formatCode>
                <c:ptCount val="100"/>
                <c:pt idx="0">
                  <c:v>-7.1294535275284177E-2</c:v>
                </c:pt>
                <c:pt idx="1">
                  <c:v>0.29664188980106021</c:v>
                </c:pt>
                <c:pt idx="2">
                  <c:v>-5.1329743665306994E-2</c:v>
                </c:pt>
                <c:pt idx="3">
                  <c:v>-0.18336089913257189</c:v>
                </c:pt>
                <c:pt idx="4">
                  <c:v>-9.1601318951739577E-2</c:v>
                </c:pt>
                <c:pt idx="5">
                  <c:v>1.0399013346459436</c:v>
                </c:pt>
                <c:pt idx="6">
                  <c:v>0.19545451249581661</c:v>
                </c:pt>
                <c:pt idx="7">
                  <c:v>-0.6769322108312108</c:v>
                </c:pt>
                <c:pt idx="8">
                  <c:v>-1.1694790651530969</c:v>
                </c:pt>
                <c:pt idx="9">
                  <c:v>0.1212384048164743</c:v>
                </c:pt>
                <c:pt idx="10">
                  <c:v>-0.34407741727427954</c:v>
                </c:pt>
                <c:pt idx="11">
                  <c:v>1.953567942054234</c:v>
                </c:pt>
                <c:pt idx="12">
                  <c:v>-7.68804162695432E-2</c:v>
                </c:pt>
                <c:pt idx="13">
                  <c:v>0.77346728147300814</c:v>
                </c:pt>
                <c:pt idx="14">
                  <c:v>0.45213298025665954</c:v>
                </c:pt>
                <c:pt idx="15">
                  <c:v>5.1411032097721403E-2</c:v>
                </c:pt>
                <c:pt idx="16">
                  <c:v>-0.30296469045383767</c:v>
                </c:pt>
                <c:pt idx="17">
                  <c:v>-0.71042233836192137</c:v>
                </c:pt>
                <c:pt idx="18">
                  <c:v>0.36259333500286944</c:v>
                </c:pt>
                <c:pt idx="19">
                  <c:v>-6.1684866656879965E-2</c:v>
                </c:pt>
                <c:pt idx="20">
                  <c:v>6.3771453984876422E-2</c:v>
                </c:pt>
                <c:pt idx="21">
                  <c:v>-0.16883969289879461</c:v>
                </c:pt>
                <c:pt idx="22">
                  <c:v>-0.77592703985915079</c:v>
                </c:pt>
                <c:pt idx="23">
                  <c:v>-0.54562696075779749</c:v>
                </c:pt>
                <c:pt idx="24">
                  <c:v>-0.33664069655561646</c:v>
                </c:pt>
                <c:pt idx="25">
                  <c:v>6.3597266048560819</c:v>
                </c:pt>
                <c:pt idx="26">
                  <c:v>0.39068080793483057</c:v>
                </c:pt>
                <c:pt idx="27">
                  <c:v>-6.6635779665856126E-2</c:v>
                </c:pt>
                <c:pt idx="28">
                  <c:v>-0.966060212776373</c:v>
                </c:pt>
                <c:pt idx="29">
                  <c:v>0.14748887779059572</c:v>
                </c:pt>
                <c:pt idx="30">
                  <c:v>0.11277543042867981</c:v>
                </c:pt>
                <c:pt idx="31">
                  <c:v>-0.43898026651041533</c:v>
                </c:pt>
                <c:pt idx="32">
                  <c:v>1.3628659231036162</c:v>
                </c:pt>
                <c:pt idx="33">
                  <c:v>4.7087158202213202E-2</c:v>
                </c:pt>
                <c:pt idx="34">
                  <c:v>-3.8627329711674228E-2</c:v>
                </c:pt>
                <c:pt idx="35">
                  <c:v>-0.87977534625559606</c:v>
                </c:pt>
                <c:pt idx="36">
                  <c:v>-0.79970288748190588</c:v>
                </c:pt>
                <c:pt idx="37">
                  <c:v>-0.33696724377698711</c:v>
                </c:pt>
                <c:pt idx="38">
                  <c:v>-0.65509021874740214</c:v>
                </c:pt>
                <c:pt idx="39">
                  <c:v>0.49747111131377164</c:v>
                </c:pt>
                <c:pt idx="40">
                  <c:v>-0.5029204178913157</c:v>
                </c:pt>
                <c:pt idx="41">
                  <c:v>-0.41505385754169666</c:v>
                </c:pt>
                <c:pt idx="42">
                  <c:v>-3.2684631094516532E-2</c:v>
                </c:pt>
                <c:pt idx="43">
                  <c:v>0.43907695926086249</c:v>
                </c:pt>
                <c:pt idx="44">
                  <c:v>6.5151941217136383E-2</c:v>
                </c:pt>
                <c:pt idx="45">
                  <c:v>0.44232469017350107</c:v>
                </c:pt>
                <c:pt idx="46">
                  <c:v>6.9301038821172445E-2</c:v>
                </c:pt>
                <c:pt idx="47">
                  <c:v>-0.15237780287300054</c:v>
                </c:pt>
                <c:pt idx="48">
                  <c:v>-0.52830648476869579</c:v>
                </c:pt>
                <c:pt idx="49">
                  <c:v>-0.306795524292995</c:v>
                </c:pt>
                <c:pt idx="50">
                  <c:v>1.1036296408327689E-2</c:v>
                </c:pt>
                <c:pt idx="51">
                  <c:v>4.2831188070133537E-2</c:v>
                </c:pt>
                <c:pt idx="52">
                  <c:v>-0.39586526883814671</c:v>
                </c:pt>
                <c:pt idx="53">
                  <c:v>0.94318086634949372</c:v>
                </c:pt>
                <c:pt idx="54">
                  <c:v>-0.97479547653527088</c:v>
                </c:pt>
                <c:pt idx="55">
                  <c:v>0.10061874421561771</c:v>
                </c:pt>
                <c:pt idx="56">
                  <c:v>0.2740506505115714</c:v>
                </c:pt>
                <c:pt idx="57">
                  <c:v>0.41558419066545088</c:v>
                </c:pt>
                <c:pt idx="58">
                  <c:v>-4.6541786830720175E-3</c:v>
                </c:pt>
                <c:pt idx="59">
                  <c:v>-0.19906766859263225</c:v>
                </c:pt>
                <c:pt idx="60">
                  <c:v>-0.38965120336251446</c:v>
                </c:pt>
                <c:pt idx="61">
                  <c:v>-4.6094806186504543E-2</c:v>
                </c:pt>
                <c:pt idx="62">
                  <c:v>-0.22150943924562058</c:v>
                </c:pt>
                <c:pt idx="63">
                  <c:v>0.26482416994826291</c:v>
                </c:pt>
                <c:pt idx="64">
                  <c:v>0.33588656833985092</c:v>
                </c:pt>
                <c:pt idx="65">
                  <c:v>-0.51481184702640381</c:v>
                </c:pt>
                <c:pt idx="66">
                  <c:v>-0.81410832917992959</c:v>
                </c:pt>
                <c:pt idx="67">
                  <c:v>-0.67853412275879621</c:v>
                </c:pt>
                <c:pt idx="68">
                  <c:v>-0.38493878378208329</c:v>
                </c:pt>
                <c:pt idx="69">
                  <c:v>3.2355497148560528</c:v>
                </c:pt>
                <c:pt idx="70">
                  <c:v>4.5242651223827528E-2</c:v>
                </c:pt>
                <c:pt idx="71">
                  <c:v>-0.47060134822389421</c:v>
                </c:pt>
                <c:pt idx="72">
                  <c:v>-0.52474271012700424</c:v>
                </c:pt>
                <c:pt idx="73">
                  <c:v>-0.619338663286086</c:v>
                </c:pt>
                <c:pt idx="74">
                  <c:v>-0.23697152779660857</c:v>
                </c:pt>
                <c:pt idx="75">
                  <c:v>-0.27753038695564136</c:v>
                </c:pt>
                <c:pt idx="76">
                  <c:v>0.11769474286888724</c:v>
                </c:pt>
                <c:pt idx="77">
                  <c:v>-0.11361772943656226</c:v>
                </c:pt>
                <c:pt idx="78">
                  <c:v>-1.3814707923618073</c:v>
                </c:pt>
                <c:pt idx="79">
                  <c:v>-0.61919787781619229</c:v>
                </c:pt>
                <c:pt idx="80">
                  <c:v>5.7264637410132921E-2</c:v>
                </c:pt>
                <c:pt idx="81">
                  <c:v>0.66828235393412716</c:v>
                </c:pt>
                <c:pt idx="82">
                  <c:v>-0.67905359795881925</c:v>
                </c:pt>
                <c:pt idx="83">
                  <c:v>-0.45636041545880113</c:v>
                </c:pt>
                <c:pt idx="84">
                  <c:v>0.58891740083420119</c:v>
                </c:pt>
                <c:pt idx="85">
                  <c:v>-1.1635342975486176</c:v>
                </c:pt>
                <c:pt idx="86">
                  <c:v>-0.52060749952436414</c:v>
                </c:pt>
                <c:pt idx="87">
                  <c:v>-0.26002471728564958</c:v>
                </c:pt>
                <c:pt idx="88">
                  <c:v>-0.3254645215755918</c:v>
                </c:pt>
                <c:pt idx="89">
                  <c:v>2.1997344339824507E-2</c:v>
                </c:pt>
                <c:pt idx="90">
                  <c:v>2.2751920147688742</c:v>
                </c:pt>
                <c:pt idx="91">
                  <c:v>0.80311205539048214</c:v>
                </c:pt>
                <c:pt idx="92">
                  <c:v>-0.16534861397583389</c:v>
                </c:pt>
                <c:pt idx="93">
                  <c:v>-0.90294692195602222</c:v>
                </c:pt>
                <c:pt idx="94">
                  <c:v>-2.8109587338233992</c:v>
                </c:pt>
                <c:pt idx="95">
                  <c:v>0.99269349072356095</c:v>
                </c:pt>
                <c:pt idx="96">
                  <c:v>0.17753859397874572</c:v>
                </c:pt>
                <c:pt idx="97">
                  <c:v>-0.40851595168676735</c:v>
                </c:pt>
                <c:pt idx="98">
                  <c:v>1.5096781306930787</c:v>
                </c:pt>
                <c:pt idx="99">
                  <c:v>0.12205081121242699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2-410D-8C09-EADFE0CE3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84743760"/>
        <c:axId val="1084744120"/>
      </c:barChart>
      <c:catAx>
        <c:axId val="1084743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84744120"/>
        <c:crosses val="autoZero"/>
        <c:auto val="1"/>
        <c:lblAlgn val="ctr"/>
        <c:lblOffset val="100"/>
        <c:noMultiLvlLbl val="0"/>
      </c:catAx>
      <c:valAx>
        <c:axId val="1084744120"/>
        <c:scaling>
          <c:orientation val="minMax"/>
          <c:max val="8"/>
          <c:min val="-8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8474376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Current Salary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F5-4E05-BD5D-90F5ABE01101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9F5-4E05-BD5D-90F5ABE011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0.10614909852246923</c:v>
                </c:pt>
                <c:pt idx="1">
                  <c:v>0.10614909852246932</c:v>
                </c:pt>
              </c:numLit>
            </c:plus>
            <c:minus>
              <c:numLit>
                <c:formatCode>General</c:formatCode>
                <c:ptCount val="2"/>
                <c:pt idx="0">
                  <c:v>0.10614909852246923</c:v>
                </c:pt>
                <c:pt idx="1">
                  <c:v>0.1061490985224693</c:v>
                </c:pt>
              </c:numLit>
            </c:minus>
          </c:errBars>
          <c:cat>
            <c:strRef>
              <c:f>'Linear Regression Output 10'!$A$71:$A$72</c:f>
              <c:strCache>
                <c:ptCount val="2"/>
                <c:pt idx="0">
                  <c:v>Beginning Salary</c:v>
                </c:pt>
                <c:pt idx="1">
                  <c:v>Education (years)</c:v>
                </c:pt>
              </c:strCache>
            </c:strRef>
          </c:cat>
          <c:val>
            <c:numRef>
              <c:f>'Linear Regression Output 10'!$B$71:$B$72</c:f>
              <c:numCache>
                <c:formatCode>0.000</c:formatCode>
                <c:ptCount val="2"/>
                <c:pt idx="0">
                  <c:v>0.81618680198566718</c:v>
                </c:pt>
                <c:pt idx="1">
                  <c:v>0.13406287397727082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5-4E05-BD5D-90F5ABE0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279651496"/>
        <c:axId val="1279652576"/>
      </c:barChart>
      <c:catAx>
        <c:axId val="1279651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79652576"/>
        <c:crosses val="autoZero"/>
        <c:auto val="1"/>
        <c:lblAlgn val="ctr"/>
        <c:lblOffset val="100"/>
        <c:noMultiLvlLbl val="0"/>
      </c:catAx>
      <c:valAx>
        <c:axId val="1279652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7965149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Current Salary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10'!$C$98:$C$197</c:f>
              <c:numCache>
                <c:formatCode>0.000</c:formatCode>
                <c:ptCount val="100"/>
                <c:pt idx="0">
                  <c:v>23400</c:v>
                </c:pt>
                <c:pt idx="1">
                  <c:v>33540</c:v>
                </c:pt>
                <c:pt idx="2">
                  <c:v>26550</c:v>
                </c:pt>
                <c:pt idx="3">
                  <c:v>30900</c:v>
                </c:pt>
                <c:pt idx="4">
                  <c:v>23100</c:v>
                </c:pt>
                <c:pt idx="5">
                  <c:v>30750</c:v>
                </c:pt>
                <c:pt idx="6">
                  <c:v>24150</c:v>
                </c:pt>
                <c:pt idx="7">
                  <c:v>61250</c:v>
                </c:pt>
                <c:pt idx="8">
                  <c:v>42300</c:v>
                </c:pt>
                <c:pt idx="9">
                  <c:v>24900</c:v>
                </c:pt>
                <c:pt idx="10">
                  <c:v>34500</c:v>
                </c:pt>
                <c:pt idx="11">
                  <c:v>46000</c:v>
                </c:pt>
                <c:pt idx="12">
                  <c:v>30270</c:v>
                </c:pt>
                <c:pt idx="13">
                  <c:v>40350</c:v>
                </c:pt>
                <c:pt idx="14">
                  <c:v>45000</c:v>
                </c:pt>
                <c:pt idx="15">
                  <c:v>27900</c:v>
                </c:pt>
                <c:pt idx="16">
                  <c:v>56750</c:v>
                </c:pt>
                <c:pt idx="17">
                  <c:v>29400</c:v>
                </c:pt>
                <c:pt idx="18">
                  <c:v>32100</c:v>
                </c:pt>
                <c:pt idx="19">
                  <c:v>21900</c:v>
                </c:pt>
                <c:pt idx="20">
                  <c:v>32400</c:v>
                </c:pt>
                <c:pt idx="21">
                  <c:v>45625</c:v>
                </c:pt>
                <c:pt idx="22">
                  <c:v>103500</c:v>
                </c:pt>
                <c:pt idx="23">
                  <c:v>19650</c:v>
                </c:pt>
                <c:pt idx="24">
                  <c:v>21300</c:v>
                </c:pt>
                <c:pt idx="25">
                  <c:v>103750</c:v>
                </c:pt>
                <c:pt idx="26">
                  <c:v>29100</c:v>
                </c:pt>
                <c:pt idx="27">
                  <c:v>59400</c:v>
                </c:pt>
                <c:pt idx="28">
                  <c:v>19650</c:v>
                </c:pt>
                <c:pt idx="29">
                  <c:v>31200</c:v>
                </c:pt>
                <c:pt idx="30">
                  <c:v>35100</c:v>
                </c:pt>
                <c:pt idx="31">
                  <c:v>24450</c:v>
                </c:pt>
                <c:pt idx="32">
                  <c:v>40800</c:v>
                </c:pt>
                <c:pt idx="33">
                  <c:v>25500</c:v>
                </c:pt>
                <c:pt idx="34">
                  <c:v>28200</c:v>
                </c:pt>
                <c:pt idx="35">
                  <c:v>34950</c:v>
                </c:pt>
                <c:pt idx="36">
                  <c:v>28050</c:v>
                </c:pt>
                <c:pt idx="37">
                  <c:v>20850</c:v>
                </c:pt>
                <c:pt idx="38">
                  <c:v>25200</c:v>
                </c:pt>
                <c:pt idx="39">
                  <c:v>30600</c:v>
                </c:pt>
                <c:pt idx="40">
                  <c:v>19950</c:v>
                </c:pt>
                <c:pt idx="41">
                  <c:v>20700</c:v>
                </c:pt>
                <c:pt idx="42">
                  <c:v>26250</c:v>
                </c:pt>
                <c:pt idx="43">
                  <c:v>68125</c:v>
                </c:pt>
                <c:pt idx="44">
                  <c:v>21150</c:v>
                </c:pt>
                <c:pt idx="45">
                  <c:v>35700</c:v>
                </c:pt>
                <c:pt idx="46">
                  <c:v>21900</c:v>
                </c:pt>
                <c:pt idx="47">
                  <c:v>24000</c:v>
                </c:pt>
                <c:pt idx="48">
                  <c:v>60000</c:v>
                </c:pt>
                <c:pt idx="49">
                  <c:v>23700</c:v>
                </c:pt>
                <c:pt idx="50">
                  <c:v>26700</c:v>
                </c:pt>
                <c:pt idx="51">
                  <c:v>23100</c:v>
                </c:pt>
                <c:pt idx="52">
                  <c:v>25800</c:v>
                </c:pt>
                <c:pt idx="53">
                  <c:v>37650</c:v>
                </c:pt>
                <c:pt idx="54">
                  <c:v>22950</c:v>
                </c:pt>
                <c:pt idx="55">
                  <c:v>40200</c:v>
                </c:pt>
                <c:pt idx="56">
                  <c:v>29700</c:v>
                </c:pt>
                <c:pt idx="57">
                  <c:v>35250</c:v>
                </c:pt>
                <c:pt idx="58">
                  <c:v>21300</c:v>
                </c:pt>
                <c:pt idx="59">
                  <c:v>22350</c:v>
                </c:pt>
                <c:pt idx="60">
                  <c:v>25050</c:v>
                </c:pt>
                <c:pt idx="61">
                  <c:v>23400</c:v>
                </c:pt>
                <c:pt idx="62">
                  <c:v>20550</c:v>
                </c:pt>
                <c:pt idx="63">
                  <c:v>21750</c:v>
                </c:pt>
                <c:pt idx="64">
                  <c:v>27750</c:v>
                </c:pt>
                <c:pt idx="65">
                  <c:v>16350</c:v>
                </c:pt>
                <c:pt idx="66">
                  <c:v>24450</c:v>
                </c:pt>
                <c:pt idx="67">
                  <c:v>18150</c:v>
                </c:pt>
                <c:pt idx="68">
                  <c:v>30300</c:v>
                </c:pt>
                <c:pt idx="69">
                  <c:v>70000</c:v>
                </c:pt>
                <c:pt idx="70">
                  <c:v>21450</c:v>
                </c:pt>
                <c:pt idx="71">
                  <c:v>19650</c:v>
                </c:pt>
                <c:pt idx="72">
                  <c:v>26550</c:v>
                </c:pt>
                <c:pt idx="73">
                  <c:v>23850</c:v>
                </c:pt>
                <c:pt idx="74">
                  <c:v>36000</c:v>
                </c:pt>
                <c:pt idx="75">
                  <c:v>17100</c:v>
                </c:pt>
                <c:pt idx="76">
                  <c:v>30750</c:v>
                </c:pt>
                <c:pt idx="77">
                  <c:v>21600</c:v>
                </c:pt>
                <c:pt idx="78">
                  <c:v>22200</c:v>
                </c:pt>
                <c:pt idx="79">
                  <c:v>24300</c:v>
                </c:pt>
                <c:pt idx="80">
                  <c:v>27900</c:v>
                </c:pt>
                <c:pt idx="81">
                  <c:v>57000</c:v>
                </c:pt>
                <c:pt idx="82">
                  <c:v>26700</c:v>
                </c:pt>
                <c:pt idx="83">
                  <c:v>20400</c:v>
                </c:pt>
                <c:pt idx="84">
                  <c:v>28500</c:v>
                </c:pt>
                <c:pt idx="85">
                  <c:v>61875</c:v>
                </c:pt>
                <c:pt idx="86">
                  <c:v>30300</c:v>
                </c:pt>
                <c:pt idx="87">
                  <c:v>27600</c:v>
                </c:pt>
                <c:pt idx="88">
                  <c:v>52125</c:v>
                </c:pt>
                <c:pt idx="89">
                  <c:v>27300</c:v>
                </c:pt>
                <c:pt idx="90">
                  <c:v>100000</c:v>
                </c:pt>
                <c:pt idx="91">
                  <c:v>28350</c:v>
                </c:pt>
                <c:pt idx="92">
                  <c:v>22050</c:v>
                </c:pt>
                <c:pt idx="93">
                  <c:v>36000</c:v>
                </c:pt>
                <c:pt idx="94">
                  <c:v>66000</c:v>
                </c:pt>
                <c:pt idx="95">
                  <c:v>49000</c:v>
                </c:pt>
                <c:pt idx="96">
                  <c:v>25500</c:v>
                </c:pt>
                <c:pt idx="97">
                  <c:v>27750</c:v>
                </c:pt>
                <c:pt idx="98">
                  <c:v>52650</c:v>
                </c:pt>
                <c:pt idx="99">
                  <c:v>24300</c:v>
                </c:pt>
              </c:numCache>
            </c:numRef>
          </c:xVal>
          <c:yVal>
            <c:numRef>
              <c:f>'Linear Regression Output 10'!$F$98:$F$197</c:f>
              <c:numCache>
                <c:formatCode>0.000</c:formatCode>
                <c:ptCount val="100"/>
                <c:pt idx="0">
                  <c:v>5.4176621771375784E-2</c:v>
                </c:pt>
                <c:pt idx="1">
                  <c:v>0.377689550572259</c:v>
                </c:pt>
                <c:pt idx="2">
                  <c:v>6.7869034490155355E-2</c:v>
                </c:pt>
                <c:pt idx="3">
                  <c:v>-0.12435856297264025</c:v>
                </c:pt>
                <c:pt idx="4">
                  <c:v>1.5861138724497036E-2</c:v>
                </c:pt>
                <c:pt idx="5">
                  <c:v>0.61900986339529296</c:v>
                </c:pt>
                <c:pt idx="6">
                  <c:v>0.26184443545576974</c:v>
                </c:pt>
                <c:pt idx="7">
                  <c:v>-0.57003969292628687</c:v>
                </c:pt>
                <c:pt idx="8">
                  <c:v>-1.2061785123490625</c:v>
                </c:pt>
                <c:pt idx="9">
                  <c:v>0.24575403700576953</c:v>
                </c:pt>
                <c:pt idx="10">
                  <c:v>-0.25928027520067204</c:v>
                </c:pt>
                <c:pt idx="11">
                  <c:v>1.9661124834175263</c:v>
                </c:pt>
                <c:pt idx="12">
                  <c:v>-3.9949214638719338E-2</c:v>
                </c:pt>
                <c:pt idx="13">
                  <c:v>0.75872902027616684</c:v>
                </c:pt>
                <c:pt idx="14">
                  <c:v>0.38106860931916903</c:v>
                </c:pt>
                <c:pt idx="15">
                  <c:v>0.14313366838274777</c:v>
                </c:pt>
                <c:pt idx="16">
                  <c:v>-0.17027474407741824</c:v>
                </c:pt>
                <c:pt idx="17">
                  <c:v>-0.63978611093490745</c:v>
                </c:pt>
                <c:pt idx="18">
                  <c:v>0.35275350194274724</c:v>
                </c:pt>
                <c:pt idx="19">
                  <c:v>-0.12267672721418235</c:v>
                </c:pt>
                <c:pt idx="20">
                  <c:v>6.7218852261753489E-2</c:v>
                </c:pt>
                <c:pt idx="21">
                  <c:v>-0.13381497645707793</c:v>
                </c:pt>
                <c:pt idx="22">
                  <c:v>-0.67644795716293848</c:v>
                </c:pt>
                <c:pt idx="23">
                  <c:v>-0.42476691631460856</c:v>
                </c:pt>
                <c:pt idx="24">
                  <c:v>-0.21403175955677545</c:v>
                </c:pt>
                <c:pt idx="25">
                  <c:v>6.3700754869285214</c:v>
                </c:pt>
                <c:pt idx="26">
                  <c:v>-8.634088155963901E-2</c:v>
                </c:pt>
                <c:pt idx="27">
                  <c:v>-0.20571740352126719</c:v>
                </c:pt>
                <c:pt idx="28">
                  <c:v>-1.0076971552247798</c:v>
                </c:pt>
                <c:pt idx="29">
                  <c:v>7.8828782806604783E-2</c:v>
                </c:pt>
                <c:pt idx="30">
                  <c:v>2.3438040410214467E-2</c:v>
                </c:pt>
                <c:pt idx="31">
                  <c:v>-0.45941945302029408</c:v>
                </c:pt>
                <c:pt idx="32">
                  <c:v>1.4668493066706609</c:v>
                </c:pt>
                <c:pt idx="33">
                  <c:v>0.16045993673559078</c:v>
                </c:pt>
                <c:pt idx="34">
                  <c:v>1.6577288697259773E-2</c:v>
                </c:pt>
                <c:pt idx="35">
                  <c:v>-0.84950731608609986</c:v>
                </c:pt>
                <c:pt idx="36">
                  <c:v>-0.81220578464586179</c:v>
                </c:pt>
                <c:pt idx="37">
                  <c:v>-0.43343005049102984</c:v>
                </c:pt>
                <c:pt idx="38">
                  <c:v>-0.89945190479164605</c:v>
                </c:pt>
                <c:pt idx="39">
                  <c:v>2.1978167128472842E-3</c:v>
                </c:pt>
                <c:pt idx="40">
                  <c:v>-0.38645143326772985</c:v>
                </c:pt>
                <c:pt idx="41">
                  <c:v>-0.29066272565053297</c:v>
                </c:pt>
                <c:pt idx="42">
                  <c:v>-0.18241747521739929</c:v>
                </c:pt>
                <c:pt idx="43">
                  <c:v>0.52706481505759717</c:v>
                </c:pt>
                <c:pt idx="44">
                  <c:v>4.0614671350918972E-2</c:v>
                </c:pt>
                <c:pt idx="45">
                  <c:v>0.49163596214584931</c:v>
                </c:pt>
                <c:pt idx="46">
                  <c:v>0.18644933926485502</c:v>
                </c:pt>
                <c:pt idx="47">
                  <c:v>-0.35496761122667597</c:v>
                </c:pt>
                <c:pt idx="48">
                  <c:v>-0.40171387442993428</c:v>
                </c:pt>
                <c:pt idx="49">
                  <c:v>-0.72008002336985766</c:v>
                </c:pt>
                <c:pt idx="50">
                  <c:v>0.11941178928638188</c:v>
                </c:pt>
                <c:pt idx="51">
                  <c:v>-0.14606392763943923</c:v>
                </c:pt>
                <c:pt idx="52">
                  <c:v>-0.44892484567327645</c:v>
                </c:pt>
                <c:pt idx="53">
                  <c:v>0.90261166831449791</c:v>
                </c:pt>
                <c:pt idx="54">
                  <c:v>-0.91302377080541652</c:v>
                </c:pt>
                <c:pt idx="55">
                  <c:v>0.14486376996215075</c:v>
                </c:pt>
                <c:pt idx="56">
                  <c:v>0.37302656666402029</c:v>
                </c:pt>
                <c:pt idx="57">
                  <c:v>0.43121594120710161</c:v>
                </c:pt>
                <c:pt idx="58">
                  <c:v>0.15692745269272029</c:v>
                </c:pt>
                <c:pt idx="59">
                  <c:v>-7.9927568892699835E-2</c:v>
                </c:pt>
                <c:pt idx="60">
                  <c:v>-0.49466759299373414</c:v>
                </c:pt>
                <c:pt idx="61">
                  <c:v>5.4176621771375784E-2</c:v>
                </c:pt>
                <c:pt idx="62">
                  <c:v>-0.30982046717397232</c:v>
                </c:pt>
                <c:pt idx="63">
                  <c:v>2.0090597626314533E-2</c:v>
                </c:pt>
                <c:pt idx="64">
                  <c:v>0.44782605958718136</c:v>
                </c:pt>
                <c:pt idx="65">
                  <c:v>-0.61954213692076376</c:v>
                </c:pt>
                <c:pt idx="66">
                  <c:v>-0.78326958574816707</c:v>
                </c:pt>
                <c:pt idx="67">
                  <c:v>-0.55157430500342752</c:v>
                </c:pt>
                <c:pt idx="68">
                  <c:v>-0.362914595430334</c:v>
                </c:pt>
                <c:pt idx="69">
                  <c:v>3.3031681538296946</c:v>
                </c:pt>
                <c:pt idx="70">
                  <c:v>-0.35679908439727231</c:v>
                </c:pt>
                <c:pt idx="71">
                  <c:v>-0.35999688976903377</c:v>
                </c:pt>
                <c:pt idx="72">
                  <c:v>-0.51800800078844589</c:v>
                </c:pt>
                <c:pt idx="73">
                  <c:v>-0.70092228184641836</c:v>
                </c:pt>
                <c:pt idx="74">
                  <c:v>-0.28262068299538373</c:v>
                </c:pt>
                <c:pt idx="75">
                  <c:v>-8.8024190508496844E-2</c:v>
                </c:pt>
                <c:pt idx="76">
                  <c:v>0.1832806246002229</c:v>
                </c:pt>
                <c:pt idx="77">
                  <c:v>-0.22576223680663587</c:v>
                </c:pt>
                <c:pt idx="78">
                  <c:v>-1.2325607749636944</c:v>
                </c:pt>
                <c:pt idx="79">
                  <c:v>-0.64050226090767015</c:v>
                </c:pt>
                <c:pt idx="80">
                  <c:v>-2.1738194349618975E-2</c:v>
                </c:pt>
                <c:pt idx="81">
                  <c:v>0.61828740028282703</c:v>
                </c:pt>
                <c:pt idx="82">
                  <c:v>-0.6607753256289427</c:v>
                </c:pt>
                <c:pt idx="83">
                  <c:v>-0.32897820869741168</c:v>
                </c:pt>
                <c:pt idx="84">
                  <c:v>0.70553983356831451</c:v>
                </c:pt>
                <c:pt idx="85">
                  <c:v>-1.2998411017316385</c:v>
                </c:pt>
                <c:pt idx="86">
                  <c:v>-0.63377197149303821</c:v>
                </c:pt>
                <c:pt idx="87">
                  <c:v>-0.21903194739200393</c:v>
                </c:pt>
                <c:pt idx="88">
                  <c:v>-0.54370048049694175</c:v>
                </c:pt>
                <c:pt idx="89">
                  <c:v>6.6502702288990287E-2</c:v>
                </c:pt>
                <c:pt idx="90">
                  <c:v>2.3093494808722621</c:v>
                </c:pt>
                <c:pt idx="91">
                  <c:v>0.96018626447600897</c:v>
                </c:pt>
                <c:pt idx="92">
                  <c:v>-5.3473025394003802E-2</c:v>
                </c:pt>
                <c:pt idx="93">
                  <c:v>-0.88027498815439098</c:v>
                </c:pt>
                <c:pt idx="94">
                  <c:v>-2.7649732310723221</c:v>
                </c:pt>
                <c:pt idx="95">
                  <c:v>0.98909675642924766</c:v>
                </c:pt>
                <c:pt idx="96">
                  <c:v>0.28999998982673986</c:v>
                </c:pt>
                <c:pt idx="97">
                  <c:v>-0.36474606860093084</c:v>
                </c:pt>
                <c:pt idx="98">
                  <c:v>1.5730312500436825</c:v>
                </c:pt>
                <c:pt idx="99">
                  <c:v>0.23389309745758682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B7-4418-99F3-01580A5ABFEF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33540</c:v>
              </c:pt>
            </c:numLit>
          </c:xVal>
          <c:yVal>
            <c:numLit>
              <c:formatCode>General</c:formatCode>
              <c:ptCount val="1"/>
              <c:pt idx="0">
                <c:v>0.377689550572259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7B7-4418-99F3-01580A5AB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618032"/>
        <c:axId val="1283618392"/>
      </c:scatterChart>
      <c:valAx>
        <c:axId val="1283618032"/>
        <c:scaling>
          <c:orientation val="minMax"/>
          <c:max val="12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Current 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83618392"/>
        <c:crosses val="autoZero"/>
        <c:crossBetween val="midCat"/>
      </c:valAx>
      <c:valAx>
        <c:axId val="1283618392"/>
        <c:scaling>
          <c:orientation val="minMax"/>
          <c:max val="8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8361803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Pred(Current Salary)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10'!$D$98:$D$197</c:f>
              <c:numCache>
                <c:formatCode>0.000</c:formatCode>
                <c:ptCount val="100"/>
                <c:pt idx="0">
                  <c:v>22975.811519548708</c:v>
                </c:pt>
                <c:pt idx="1">
                  <c:v>30582.791682071515</c:v>
                </c:pt>
                <c:pt idx="2">
                  <c:v>26018.60358455783</c:v>
                </c:pt>
                <c:pt idx="3">
                  <c:v>31873.694337773231</c:v>
                </c:pt>
                <c:pt idx="4">
                  <c:v>22975.811519548708</c:v>
                </c:pt>
                <c:pt idx="5">
                  <c:v>25903.318077932581</c:v>
                </c:pt>
                <c:pt idx="6">
                  <c:v>22099.827996671178</c:v>
                </c:pt>
                <c:pt idx="7">
                  <c:v>65713.258564916279</c:v>
                </c:pt>
                <c:pt idx="8">
                  <c:v>51744.055638343205</c:v>
                </c:pt>
                <c:pt idx="9">
                  <c:v>22975.811519548708</c:v>
                </c:pt>
                <c:pt idx="10">
                  <c:v>36530.095313297585</c:v>
                </c:pt>
                <c:pt idx="11">
                  <c:v>30605.864310686098</c:v>
                </c:pt>
                <c:pt idx="12">
                  <c:v>30582.791682071515</c:v>
                </c:pt>
                <c:pt idx="13">
                  <c:v>34409.354391947505</c:v>
                </c:pt>
                <c:pt idx="14">
                  <c:v>42016.334554470312</c:v>
                </c:pt>
                <c:pt idx="15">
                  <c:v>26779.301600810111</c:v>
                </c:pt>
                <c:pt idx="16">
                  <c:v>58083.205773778878</c:v>
                </c:pt>
                <c:pt idx="17">
                  <c:v>34409.354391947505</c:v>
                </c:pt>
                <c:pt idx="18">
                  <c:v>29338.034283598965</c:v>
                </c:pt>
                <c:pt idx="19">
                  <c:v>22860.526012923456</c:v>
                </c:pt>
                <c:pt idx="20">
                  <c:v>31873.694337773231</c:v>
                </c:pt>
                <c:pt idx="21">
                  <c:v>46672.735529994672</c:v>
                </c:pt>
                <c:pt idx="22">
                  <c:v>108796.40685726427</c:v>
                </c:pt>
                <c:pt idx="23">
                  <c:v>22975.811519548708</c:v>
                </c:pt>
                <c:pt idx="24">
                  <c:v>22975.811519548708</c:v>
                </c:pt>
                <c:pt idx="25">
                  <c:v>53874.010083849593</c:v>
                </c:pt>
                <c:pt idx="26">
                  <c:v>29776.026045037732</c:v>
                </c:pt>
                <c:pt idx="27">
                  <c:v>61010.712332162744</c:v>
                </c:pt>
                <c:pt idx="28">
                  <c:v>27539.999617062393</c:v>
                </c:pt>
                <c:pt idx="29">
                  <c:v>30582.791682071515</c:v>
                </c:pt>
                <c:pt idx="30">
                  <c:v>34916.486402782357</c:v>
                </c:pt>
                <c:pt idx="31">
                  <c:v>28047.131627897244</c:v>
                </c:pt>
                <c:pt idx="32">
                  <c:v>29314.961654984381</c:v>
                </c:pt>
                <c:pt idx="33">
                  <c:v>24243.641546635841</c:v>
                </c:pt>
                <c:pt idx="34">
                  <c:v>28070.204256511832</c:v>
                </c:pt>
                <c:pt idx="35">
                  <c:v>41601.415421646125</c:v>
                </c:pt>
                <c:pt idx="36">
                  <c:v>34409.354391947505</c:v>
                </c:pt>
                <c:pt idx="37">
                  <c:v>24243.641546635841</c:v>
                </c:pt>
                <c:pt idx="38">
                  <c:v>32242.468213368255</c:v>
                </c:pt>
                <c:pt idx="39">
                  <c:v>30582.791682071515</c:v>
                </c:pt>
                <c:pt idx="40">
                  <c:v>22975.811519548708</c:v>
                </c:pt>
                <c:pt idx="41">
                  <c:v>22975.811519548708</c:v>
                </c:pt>
                <c:pt idx="42">
                  <c:v>27678.28011585457</c:v>
                </c:pt>
                <c:pt idx="43">
                  <c:v>63998.223252234064</c:v>
                </c:pt>
                <c:pt idx="44">
                  <c:v>20831.997969584041</c:v>
                </c:pt>
                <c:pt idx="45">
                  <c:v>31850.621709158651</c:v>
                </c:pt>
                <c:pt idx="46">
                  <c:v>20440.151465374438</c:v>
                </c:pt>
                <c:pt idx="47">
                  <c:v>26779.301600810111</c:v>
                </c:pt>
                <c:pt idx="48">
                  <c:v>63145.31235797111</c:v>
                </c:pt>
                <c:pt idx="49">
                  <c:v>29338.034283598965</c:v>
                </c:pt>
                <c:pt idx="50">
                  <c:v>25765.037579140404</c:v>
                </c:pt>
                <c:pt idx="51">
                  <c:v>24243.641546635841</c:v>
                </c:pt>
                <c:pt idx="52">
                  <c:v>29314.961654984381</c:v>
                </c:pt>
                <c:pt idx="53">
                  <c:v>30582.791682071515</c:v>
                </c:pt>
                <c:pt idx="54">
                  <c:v>30098.732299851246</c:v>
                </c:pt>
                <c:pt idx="55">
                  <c:v>39065.755367471858</c:v>
                </c:pt>
                <c:pt idx="56">
                  <c:v>26779.301600810111</c:v>
                </c:pt>
                <c:pt idx="57">
                  <c:v>31873.694337773231</c:v>
                </c:pt>
                <c:pt idx="58">
                  <c:v>20071.29995333176</c:v>
                </c:pt>
                <c:pt idx="59">
                  <c:v>22975.811519548708</c:v>
                </c:pt>
                <c:pt idx="60">
                  <c:v>28923.115150774778</c:v>
                </c:pt>
                <c:pt idx="61">
                  <c:v>22975.811519548708</c:v>
                </c:pt>
                <c:pt idx="62">
                  <c:v>22975.811519548708</c:v>
                </c:pt>
                <c:pt idx="63">
                  <c:v>21592.695985836323</c:v>
                </c:pt>
                <c:pt idx="64">
                  <c:v>24243.641546635841</c:v>
                </c:pt>
                <c:pt idx="65">
                  <c:v>21200.849481626719</c:v>
                </c:pt>
                <c:pt idx="66">
                  <c:v>30582.791682071515</c:v>
                </c:pt>
                <c:pt idx="67">
                  <c:v>22468.679508713853</c:v>
                </c:pt>
                <c:pt idx="68">
                  <c:v>33141.524364860365</c:v>
                </c:pt>
                <c:pt idx="69">
                  <c:v>44137.075475820391</c:v>
                </c:pt>
                <c:pt idx="70">
                  <c:v>24243.641546635841</c:v>
                </c:pt>
                <c:pt idx="71">
                  <c:v>22468.679508713853</c:v>
                </c:pt>
                <c:pt idx="72">
                  <c:v>30605.864310686098</c:v>
                </c:pt>
                <c:pt idx="73">
                  <c:v>29338.034283598965</c:v>
                </c:pt>
                <c:pt idx="74">
                  <c:v>38212.844473208905</c:v>
                </c:pt>
                <c:pt idx="75">
                  <c:v>17789.205904574919</c:v>
                </c:pt>
                <c:pt idx="76">
                  <c:v>29314.961654984381</c:v>
                </c:pt>
                <c:pt idx="77">
                  <c:v>23367.658023758311</c:v>
                </c:pt>
                <c:pt idx="78">
                  <c:v>31850.621709158651</c:v>
                </c:pt>
                <c:pt idx="79">
                  <c:v>29314.961654984381</c:v>
                </c:pt>
                <c:pt idx="80">
                  <c:v>28070.204256511832</c:v>
                </c:pt>
                <c:pt idx="81">
                  <c:v>52158.974771167392</c:v>
                </c:pt>
                <c:pt idx="82">
                  <c:v>31873.694337773231</c:v>
                </c:pt>
                <c:pt idx="83">
                  <c:v>22975.811519548708</c:v>
                </c:pt>
                <c:pt idx="84">
                  <c:v>22975.811519548708</c:v>
                </c:pt>
                <c:pt idx="85">
                  <c:v>72052.408700351953</c:v>
                </c:pt>
                <c:pt idx="86">
                  <c:v>35262.265286210451</c:v>
                </c:pt>
                <c:pt idx="87">
                  <c:v>29314.961654984381</c:v>
                </c:pt>
                <c:pt idx="88">
                  <c:v>56382.029565554956</c:v>
                </c:pt>
                <c:pt idx="89">
                  <c:v>26779.301600810111</c:v>
                </c:pt>
                <c:pt idx="90">
                  <c:v>81918.410283017016</c:v>
                </c:pt>
                <c:pt idx="91">
                  <c:v>20831.997969584041</c:v>
                </c:pt>
                <c:pt idx="92">
                  <c:v>22468.679508713853</c:v>
                </c:pt>
                <c:pt idx="93">
                  <c:v>42892.318077347845</c:v>
                </c:pt>
                <c:pt idx="94">
                  <c:v>87649.002005450864</c:v>
                </c:pt>
                <c:pt idx="95">
                  <c:v>41255.63653821803</c:v>
                </c:pt>
                <c:pt idx="96">
                  <c:v>23229.377524966134</c:v>
                </c:pt>
                <c:pt idx="97">
                  <c:v>30605.864310686098</c:v>
                </c:pt>
                <c:pt idx="98">
                  <c:v>40333.585394558992</c:v>
                </c:pt>
                <c:pt idx="99">
                  <c:v>22468.679508713853</c:v>
                </c:pt>
              </c:numCache>
            </c:numRef>
          </c:xVal>
          <c:yVal>
            <c:numRef>
              <c:f>'Linear Regression Output 10'!$F$98:$F$197</c:f>
              <c:numCache>
                <c:formatCode>0.000</c:formatCode>
                <c:ptCount val="100"/>
                <c:pt idx="0">
                  <c:v>5.4176621771375784E-2</c:v>
                </c:pt>
                <c:pt idx="1">
                  <c:v>0.377689550572259</c:v>
                </c:pt>
                <c:pt idx="2">
                  <c:v>6.7869034490155355E-2</c:v>
                </c:pt>
                <c:pt idx="3">
                  <c:v>-0.12435856297264025</c:v>
                </c:pt>
                <c:pt idx="4">
                  <c:v>1.5861138724497036E-2</c:v>
                </c:pt>
                <c:pt idx="5">
                  <c:v>0.61900986339529296</c:v>
                </c:pt>
                <c:pt idx="6">
                  <c:v>0.26184443545576974</c:v>
                </c:pt>
                <c:pt idx="7">
                  <c:v>-0.57003969292628687</c:v>
                </c:pt>
                <c:pt idx="8">
                  <c:v>-1.2061785123490625</c:v>
                </c:pt>
                <c:pt idx="9">
                  <c:v>0.24575403700576953</c:v>
                </c:pt>
                <c:pt idx="10">
                  <c:v>-0.25928027520067204</c:v>
                </c:pt>
                <c:pt idx="11">
                  <c:v>1.9661124834175263</c:v>
                </c:pt>
                <c:pt idx="12">
                  <c:v>-3.9949214638719338E-2</c:v>
                </c:pt>
                <c:pt idx="13">
                  <c:v>0.75872902027616684</c:v>
                </c:pt>
                <c:pt idx="14">
                  <c:v>0.38106860931916903</c:v>
                </c:pt>
                <c:pt idx="15">
                  <c:v>0.14313366838274777</c:v>
                </c:pt>
                <c:pt idx="16">
                  <c:v>-0.17027474407741824</c:v>
                </c:pt>
                <c:pt idx="17">
                  <c:v>-0.63978611093490745</c:v>
                </c:pt>
                <c:pt idx="18">
                  <c:v>0.35275350194274724</c:v>
                </c:pt>
                <c:pt idx="19">
                  <c:v>-0.12267672721418235</c:v>
                </c:pt>
                <c:pt idx="20">
                  <c:v>6.7218852261753489E-2</c:v>
                </c:pt>
                <c:pt idx="21">
                  <c:v>-0.13381497645707793</c:v>
                </c:pt>
                <c:pt idx="22">
                  <c:v>-0.67644795716293848</c:v>
                </c:pt>
                <c:pt idx="23">
                  <c:v>-0.42476691631460856</c:v>
                </c:pt>
                <c:pt idx="24">
                  <c:v>-0.21403175955677545</c:v>
                </c:pt>
                <c:pt idx="25">
                  <c:v>6.3700754869285214</c:v>
                </c:pt>
                <c:pt idx="26">
                  <c:v>-8.634088155963901E-2</c:v>
                </c:pt>
                <c:pt idx="27">
                  <c:v>-0.20571740352126719</c:v>
                </c:pt>
                <c:pt idx="28">
                  <c:v>-1.0076971552247798</c:v>
                </c:pt>
                <c:pt idx="29">
                  <c:v>7.8828782806604783E-2</c:v>
                </c:pt>
                <c:pt idx="30">
                  <c:v>2.3438040410214467E-2</c:v>
                </c:pt>
                <c:pt idx="31">
                  <c:v>-0.45941945302029408</c:v>
                </c:pt>
                <c:pt idx="32">
                  <c:v>1.4668493066706609</c:v>
                </c:pt>
                <c:pt idx="33">
                  <c:v>0.16045993673559078</c:v>
                </c:pt>
                <c:pt idx="34">
                  <c:v>1.6577288697259773E-2</c:v>
                </c:pt>
                <c:pt idx="35">
                  <c:v>-0.84950731608609986</c:v>
                </c:pt>
                <c:pt idx="36">
                  <c:v>-0.81220578464586179</c:v>
                </c:pt>
                <c:pt idx="37">
                  <c:v>-0.43343005049102984</c:v>
                </c:pt>
                <c:pt idx="38">
                  <c:v>-0.89945190479164605</c:v>
                </c:pt>
                <c:pt idx="39">
                  <c:v>2.1978167128472842E-3</c:v>
                </c:pt>
                <c:pt idx="40">
                  <c:v>-0.38645143326772985</c:v>
                </c:pt>
                <c:pt idx="41">
                  <c:v>-0.29066272565053297</c:v>
                </c:pt>
                <c:pt idx="42">
                  <c:v>-0.18241747521739929</c:v>
                </c:pt>
                <c:pt idx="43">
                  <c:v>0.52706481505759717</c:v>
                </c:pt>
                <c:pt idx="44">
                  <c:v>4.0614671350918972E-2</c:v>
                </c:pt>
                <c:pt idx="45">
                  <c:v>0.49163596214584931</c:v>
                </c:pt>
                <c:pt idx="46">
                  <c:v>0.18644933926485502</c:v>
                </c:pt>
                <c:pt idx="47">
                  <c:v>-0.35496761122667597</c:v>
                </c:pt>
                <c:pt idx="48">
                  <c:v>-0.40171387442993428</c:v>
                </c:pt>
                <c:pt idx="49">
                  <c:v>-0.72008002336985766</c:v>
                </c:pt>
                <c:pt idx="50">
                  <c:v>0.11941178928638188</c:v>
                </c:pt>
                <c:pt idx="51">
                  <c:v>-0.14606392763943923</c:v>
                </c:pt>
                <c:pt idx="52">
                  <c:v>-0.44892484567327645</c:v>
                </c:pt>
                <c:pt idx="53">
                  <c:v>0.90261166831449791</c:v>
                </c:pt>
                <c:pt idx="54">
                  <c:v>-0.91302377080541652</c:v>
                </c:pt>
                <c:pt idx="55">
                  <c:v>0.14486376996215075</c:v>
                </c:pt>
                <c:pt idx="56">
                  <c:v>0.37302656666402029</c:v>
                </c:pt>
                <c:pt idx="57">
                  <c:v>0.43121594120710161</c:v>
                </c:pt>
                <c:pt idx="58">
                  <c:v>0.15692745269272029</c:v>
                </c:pt>
                <c:pt idx="59">
                  <c:v>-7.9927568892699835E-2</c:v>
                </c:pt>
                <c:pt idx="60">
                  <c:v>-0.49466759299373414</c:v>
                </c:pt>
                <c:pt idx="61">
                  <c:v>5.4176621771375784E-2</c:v>
                </c:pt>
                <c:pt idx="62">
                  <c:v>-0.30982046717397232</c:v>
                </c:pt>
                <c:pt idx="63">
                  <c:v>2.0090597626314533E-2</c:v>
                </c:pt>
                <c:pt idx="64">
                  <c:v>0.44782605958718136</c:v>
                </c:pt>
                <c:pt idx="65">
                  <c:v>-0.61954213692076376</c:v>
                </c:pt>
                <c:pt idx="66">
                  <c:v>-0.78326958574816707</c:v>
                </c:pt>
                <c:pt idx="67">
                  <c:v>-0.55157430500342752</c:v>
                </c:pt>
                <c:pt idx="68">
                  <c:v>-0.362914595430334</c:v>
                </c:pt>
                <c:pt idx="69">
                  <c:v>3.3031681538296946</c:v>
                </c:pt>
                <c:pt idx="70">
                  <c:v>-0.35679908439727231</c:v>
                </c:pt>
                <c:pt idx="71">
                  <c:v>-0.35999688976903377</c:v>
                </c:pt>
                <c:pt idx="72">
                  <c:v>-0.51800800078844589</c:v>
                </c:pt>
                <c:pt idx="73">
                  <c:v>-0.70092228184641836</c:v>
                </c:pt>
                <c:pt idx="74">
                  <c:v>-0.28262068299538373</c:v>
                </c:pt>
                <c:pt idx="75">
                  <c:v>-8.8024190508496844E-2</c:v>
                </c:pt>
                <c:pt idx="76">
                  <c:v>0.1832806246002229</c:v>
                </c:pt>
                <c:pt idx="77">
                  <c:v>-0.22576223680663587</c:v>
                </c:pt>
                <c:pt idx="78">
                  <c:v>-1.2325607749636944</c:v>
                </c:pt>
                <c:pt idx="79">
                  <c:v>-0.64050226090767015</c:v>
                </c:pt>
                <c:pt idx="80">
                  <c:v>-2.1738194349618975E-2</c:v>
                </c:pt>
                <c:pt idx="81">
                  <c:v>0.61828740028282703</c:v>
                </c:pt>
                <c:pt idx="82">
                  <c:v>-0.6607753256289427</c:v>
                </c:pt>
                <c:pt idx="83">
                  <c:v>-0.32897820869741168</c:v>
                </c:pt>
                <c:pt idx="84">
                  <c:v>0.70553983356831451</c:v>
                </c:pt>
                <c:pt idx="85">
                  <c:v>-1.2998411017316385</c:v>
                </c:pt>
                <c:pt idx="86">
                  <c:v>-0.63377197149303821</c:v>
                </c:pt>
                <c:pt idx="87">
                  <c:v>-0.21903194739200393</c:v>
                </c:pt>
                <c:pt idx="88">
                  <c:v>-0.54370048049694175</c:v>
                </c:pt>
                <c:pt idx="89">
                  <c:v>6.6502702288990287E-2</c:v>
                </c:pt>
                <c:pt idx="90">
                  <c:v>2.3093494808722621</c:v>
                </c:pt>
                <c:pt idx="91">
                  <c:v>0.96018626447600897</c:v>
                </c:pt>
                <c:pt idx="92">
                  <c:v>-5.3473025394003802E-2</c:v>
                </c:pt>
                <c:pt idx="93">
                  <c:v>-0.88027498815439098</c:v>
                </c:pt>
                <c:pt idx="94">
                  <c:v>-2.7649732310723221</c:v>
                </c:pt>
                <c:pt idx="95">
                  <c:v>0.98909675642924766</c:v>
                </c:pt>
                <c:pt idx="96">
                  <c:v>0.28999998982673986</c:v>
                </c:pt>
                <c:pt idx="97">
                  <c:v>-0.36474606860093084</c:v>
                </c:pt>
                <c:pt idx="98">
                  <c:v>1.5730312500436825</c:v>
                </c:pt>
                <c:pt idx="99">
                  <c:v>0.23389309745758682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5-47E4-9466-EFC95CBADBB6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30582.791682071515</c:v>
              </c:pt>
            </c:numLit>
          </c:xVal>
          <c:yVal>
            <c:numLit>
              <c:formatCode>General</c:formatCode>
              <c:ptCount val="1"/>
              <c:pt idx="0">
                <c:v>0.377689550572259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4D5-47E4-9466-EFC95CBA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616232"/>
        <c:axId val="1283622712"/>
      </c:scatterChart>
      <c:valAx>
        <c:axId val="1283616232"/>
        <c:scaling>
          <c:orientation val="minMax"/>
          <c:max val="12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Pred(Current 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83622712"/>
        <c:crosses val="autoZero"/>
        <c:crossBetween val="midCat"/>
      </c:valAx>
      <c:valAx>
        <c:axId val="1283622712"/>
        <c:scaling>
          <c:orientation val="minMax"/>
          <c:max val="8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8361623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Pred(Current Salary) - Current Salary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10'!$D$98:$D$197</c:f>
              <c:numCache>
                <c:formatCode>0.000</c:formatCode>
                <c:ptCount val="100"/>
                <c:pt idx="0">
                  <c:v>22975.811519548708</c:v>
                </c:pt>
                <c:pt idx="1">
                  <c:v>30582.791682071515</c:v>
                </c:pt>
                <c:pt idx="2">
                  <c:v>26018.60358455783</c:v>
                </c:pt>
                <c:pt idx="3">
                  <c:v>31873.694337773231</c:v>
                </c:pt>
                <c:pt idx="4">
                  <c:v>22975.811519548708</c:v>
                </c:pt>
                <c:pt idx="5">
                  <c:v>25903.318077932581</c:v>
                </c:pt>
                <c:pt idx="6">
                  <c:v>22099.827996671178</c:v>
                </c:pt>
                <c:pt idx="7">
                  <c:v>65713.258564916279</c:v>
                </c:pt>
                <c:pt idx="8">
                  <c:v>51744.055638343205</c:v>
                </c:pt>
                <c:pt idx="9">
                  <c:v>22975.811519548708</c:v>
                </c:pt>
                <c:pt idx="10">
                  <c:v>36530.095313297585</c:v>
                </c:pt>
                <c:pt idx="11">
                  <c:v>30605.864310686098</c:v>
                </c:pt>
                <c:pt idx="12">
                  <c:v>30582.791682071515</c:v>
                </c:pt>
                <c:pt idx="13">
                  <c:v>34409.354391947505</c:v>
                </c:pt>
                <c:pt idx="14">
                  <c:v>42016.334554470312</c:v>
                </c:pt>
                <c:pt idx="15">
                  <c:v>26779.301600810111</c:v>
                </c:pt>
                <c:pt idx="16">
                  <c:v>58083.205773778878</c:v>
                </c:pt>
                <c:pt idx="17">
                  <c:v>34409.354391947505</c:v>
                </c:pt>
                <c:pt idx="18">
                  <c:v>29338.034283598965</c:v>
                </c:pt>
                <c:pt idx="19">
                  <c:v>22860.526012923456</c:v>
                </c:pt>
                <c:pt idx="20">
                  <c:v>31873.694337773231</c:v>
                </c:pt>
                <c:pt idx="21">
                  <c:v>46672.735529994672</c:v>
                </c:pt>
                <c:pt idx="22">
                  <c:v>108796.40685726427</c:v>
                </c:pt>
                <c:pt idx="23">
                  <c:v>22975.811519548708</c:v>
                </c:pt>
                <c:pt idx="24">
                  <c:v>22975.811519548708</c:v>
                </c:pt>
                <c:pt idx="25">
                  <c:v>53874.010083849593</c:v>
                </c:pt>
                <c:pt idx="26">
                  <c:v>29776.026045037732</c:v>
                </c:pt>
                <c:pt idx="27">
                  <c:v>61010.712332162744</c:v>
                </c:pt>
                <c:pt idx="28">
                  <c:v>27539.999617062393</c:v>
                </c:pt>
                <c:pt idx="29">
                  <c:v>30582.791682071515</c:v>
                </c:pt>
                <c:pt idx="30">
                  <c:v>34916.486402782357</c:v>
                </c:pt>
                <c:pt idx="31">
                  <c:v>28047.131627897244</c:v>
                </c:pt>
                <c:pt idx="32">
                  <c:v>29314.961654984381</c:v>
                </c:pt>
                <c:pt idx="33">
                  <c:v>24243.641546635841</c:v>
                </c:pt>
                <c:pt idx="34">
                  <c:v>28070.204256511832</c:v>
                </c:pt>
                <c:pt idx="35">
                  <c:v>41601.415421646125</c:v>
                </c:pt>
                <c:pt idx="36">
                  <c:v>34409.354391947505</c:v>
                </c:pt>
                <c:pt idx="37">
                  <c:v>24243.641546635841</c:v>
                </c:pt>
                <c:pt idx="38">
                  <c:v>32242.468213368255</c:v>
                </c:pt>
                <c:pt idx="39">
                  <c:v>30582.791682071515</c:v>
                </c:pt>
                <c:pt idx="40">
                  <c:v>22975.811519548708</c:v>
                </c:pt>
                <c:pt idx="41">
                  <c:v>22975.811519548708</c:v>
                </c:pt>
                <c:pt idx="42">
                  <c:v>27678.28011585457</c:v>
                </c:pt>
                <c:pt idx="43">
                  <c:v>63998.223252234064</c:v>
                </c:pt>
                <c:pt idx="44">
                  <c:v>20831.997969584041</c:v>
                </c:pt>
                <c:pt idx="45">
                  <c:v>31850.621709158651</c:v>
                </c:pt>
                <c:pt idx="46">
                  <c:v>20440.151465374438</c:v>
                </c:pt>
                <c:pt idx="47">
                  <c:v>26779.301600810111</c:v>
                </c:pt>
                <c:pt idx="48">
                  <c:v>63145.31235797111</c:v>
                </c:pt>
                <c:pt idx="49">
                  <c:v>29338.034283598965</c:v>
                </c:pt>
                <c:pt idx="50">
                  <c:v>25765.037579140404</c:v>
                </c:pt>
                <c:pt idx="51">
                  <c:v>24243.641546635841</c:v>
                </c:pt>
                <c:pt idx="52">
                  <c:v>29314.961654984381</c:v>
                </c:pt>
                <c:pt idx="53">
                  <c:v>30582.791682071515</c:v>
                </c:pt>
                <c:pt idx="54">
                  <c:v>30098.732299851246</c:v>
                </c:pt>
                <c:pt idx="55">
                  <c:v>39065.755367471858</c:v>
                </c:pt>
                <c:pt idx="56">
                  <c:v>26779.301600810111</c:v>
                </c:pt>
                <c:pt idx="57">
                  <c:v>31873.694337773231</c:v>
                </c:pt>
                <c:pt idx="58">
                  <c:v>20071.29995333176</c:v>
                </c:pt>
                <c:pt idx="59">
                  <c:v>22975.811519548708</c:v>
                </c:pt>
                <c:pt idx="60">
                  <c:v>28923.115150774778</c:v>
                </c:pt>
                <c:pt idx="61">
                  <c:v>22975.811519548708</c:v>
                </c:pt>
                <c:pt idx="62">
                  <c:v>22975.811519548708</c:v>
                </c:pt>
                <c:pt idx="63">
                  <c:v>21592.695985836323</c:v>
                </c:pt>
                <c:pt idx="64">
                  <c:v>24243.641546635841</c:v>
                </c:pt>
                <c:pt idx="65">
                  <c:v>21200.849481626719</c:v>
                </c:pt>
                <c:pt idx="66">
                  <c:v>30582.791682071515</c:v>
                </c:pt>
                <c:pt idx="67">
                  <c:v>22468.679508713853</c:v>
                </c:pt>
                <c:pt idx="68">
                  <c:v>33141.524364860365</c:v>
                </c:pt>
                <c:pt idx="69">
                  <c:v>44137.075475820391</c:v>
                </c:pt>
                <c:pt idx="70">
                  <c:v>24243.641546635841</c:v>
                </c:pt>
                <c:pt idx="71">
                  <c:v>22468.679508713853</c:v>
                </c:pt>
                <c:pt idx="72">
                  <c:v>30605.864310686098</c:v>
                </c:pt>
                <c:pt idx="73">
                  <c:v>29338.034283598965</c:v>
                </c:pt>
                <c:pt idx="74">
                  <c:v>38212.844473208905</c:v>
                </c:pt>
                <c:pt idx="75">
                  <c:v>17789.205904574919</c:v>
                </c:pt>
                <c:pt idx="76">
                  <c:v>29314.961654984381</c:v>
                </c:pt>
                <c:pt idx="77">
                  <c:v>23367.658023758311</c:v>
                </c:pt>
                <c:pt idx="78">
                  <c:v>31850.621709158651</c:v>
                </c:pt>
                <c:pt idx="79">
                  <c:v>29314.961654984381</c:v>
                </c:pt>
                <c:pt idx="80">
                  <c:v>28070.204256511832</c:v>
                </c:pt>
                <c:pt idx="81">
                  <c:v>52158.974771167392</c:v>
                </c:pt>
                <c:pt idx="82">
                  <c:v>31873.694337773231</c:v>
                </c:pt>
                <c:pt idx="83">
                  <c:v>22975.811519548708</c:v>
                </c:pt>
                <c:pt idx="84">
                  <c:v>22975.811519548708</c:v>
                </c:pt>
                <c:pt idx="85">
                  <c:v>72052.408700351953</c:v>
                </c:pt>
                <c:pt idx="86">
                  <c:v>35262.265286210451</c:v>
                </c:pt>
                <c:pt idx="87">
                  <c:v>29314.961654984381</c:v>
                </c:pt>
                <c:pt idx="88">
                  <c:v>56382.029565554956</c:v>
                </c:pt>
                <c:pt idx="89">
                  <c:v>26779.301600810111</c:v>
                </c:pt>
                <c:pt idx="90">
                  <c:v>81918.410283017016</c:v>
                </c:pt>
                <c:pt idx="91">
                  <c:v>20831.997969584041</c:v>
                </c:pt>
                <c:pt idx="92">
                  <c:v>22468.679508713853</c:v>
                </c:pt>
                <c:pt idx="93">
                  <c:v>42892.318077347845</c:v>
                </c:pt>
                <c:pt idx="94">
                  <c:v>87649.002005450864</c:v>
                </c:pt>
                <c:pt idx="95">
                  <c:v>41255.63653821803</c:v>
                </c:pt>
                <c:pt idx="96">
                  <c:v>23229.377524966134</c:v>
                </c:pt>
                <c:pt idx="97">
                  <c:v>30605.864310686098</c:v>
                </c:pt>
                <c:pt idx="98">
                  <c:v>40333.585394558992</c:v>
                </c:pt>
                <c:pt idx="99">
                  <c:v>22468.679508713853</c:v>
                </c:pt>
              </c:numCache>
            </c:numRef>
          </c:xVal>
          <c:yVal>
            <c:numRef>
              <c:f>'Linear Regression Output 10'!$C$98:$C$197</c:f>
              <c:numCache>
                <c:formatCode>0.000</c:formatCode>
                <c:ptCount val="100"/>
                <c:pt idx="0">
                  <c:v>23400</c:v>
                </c:pt>
                <c:pt idx="1">
                  <c:v>33540</c:v>
                </c:pt>
                <c:pt idx="2">
                  <c:v>26550</c:v>
                </c:pt>
                <c:pt idx="3">
                  <c:v>30900</c:v>
                </c:pt>
                <c:pt idx="4">
                  <c:v>23100</c:v>
                </c:pt>
                <c:pt idx="5">
                  <c:v>30750</c:v>
                </c:pt>
                <c:pt idx="6">
                  <c:v>24150</c:v>
                </c:pt>
                <c:pt idx="7">
                  <c:v>61250</c:v>
                </c:pt>
                <c:pt idx="8">
                  <c:v>42300</c:v>
                </c:pt>
                <c:pt idx="9">
                  <c:v>24900</c:v>
                </c:pt>
                <c:pt idx="10">
                  <c:v>34500</c:v>
                </c:pt>
                <c:pt idx="11">
                  <c:v>46000</c:v>
                </c:pt>
                <c:pt idx="12">
                  <c:v>30270</c:v>
                </c:pt>
                <c:pt idx="13">
                  <c:v>40350</c:v>
                </c:pt>
                <c:pt idx="14">
                  <c:v>45000</c:v>
                </c:pt>
                <c:pt idx="15">
                  <c:v>27900</c:v>
                </c:pt>
                <c:pt idx="16">
                  <c:v>56750</c:v>
                </c:pt>
                <c:pt idx="17">
                  <c:v>29400</c:v>
                </c:pt>
                <c:pt idx="18">
                  <c:v>32100</c:v>
                </c:pt>
                <c:pt idx="19">
                  <c:v>21900</c:v>
                </c:pt>
                <c:pt idx="20">
                  <c:v>32400</c:v>
                </c:pt>
                <c:pt idx="21">
                  <c:v>45625</c:v>
                </c:pt>
                <c:pt idx="22">
                  <c:v>103500</c:v>
                </c:pt>
                <c:pt idx="23">
                  <c:v>19650</c:v>
                </c:pt>
                <c:pt idx="24">
                  <c:v>21300</c:v>
                </c:pt>
                <c:pt idx="25">
                  <c:v>103750</c:v>
                </c:pt>
                <c:pt idx="26">
                  <c:v>29100</c:v>
                </c:pt>
                <c:pt idx="27">
                  <c:v>59400</c:v>
                </c:pt>
                <c:pt idx="28">
                  <c:v>19650</c:v>
                </c:pt>
                <c:pt idx="29">
                  <c:v>31200</c:v>
                </c:pt>
                <c:pt idx="30">
                  <c:v>35100</c:v>
                </c:pt>
                <c:pt idx="31">
                  <c:v>24450</c:v>
                </c:pt>
                <c:pt idx="32">
                  <c:v>40800</c:v>
                </c:pt>
                <c:pt idx="33">
                  <c:v>25500</c:v>
                </c:pt>
                <c:pt idx="34">
                  <c:v>28200</c:v>
                </c:pt>
                <c:pt idx="35">
                  <c:v>34950</c:v>
                </c:pt>
                <c:pt idx="36">
                  <c:v>28050</c:v>
                </c:pt>
                <c:pt idx="37">
                  <c:v>20850</c:v>
                </c:pt>
                <c:pt idx="38">
                  <c:v>25200</c:v>
                </c:pt>
                <c:pt idx="39">
                  <c:v>30600</c:v>
                </c:pt>
                <c:pt idx="40">
                  <c:v>19950</c:v>
                </c:pt>
                <c:pt idx="41">
                  <c:v>20700</c:v>
                </c:pt>
                <c:pt idx="42">
                  <c:v>26250</c:v>
                </c:pt>
                <c:pt idx="43">
                  <c:v>68125</c:v>
                </c:pt>
                <c:pt idx="44">
                  <c:v>21150</c:v>
                </c:pt>
                <c:pt idx="45">
                  <c:v>35700</c:v>
                </c:pt>
                <c:pt idx="46">
                  <c:v>21900</c:v>
                </c:pt>
                <c:pt idx="47">
                  <c:v>24000</c:v>
                </c:pt>
                <c:pt idx="48">
                  <c:v>60000</c:v>
                </c:pt>
                <c:pt idx="49">
                  <c:v>23700</c:v>
                </c:pt>
                <c:pt idx="50">
                  <c:v>26700</c:v>
                </c:pt>
                <c:pt idx="51">
                  <c:v>23100</c:v>
                </c:pt>
                <c:pt idx="52">
                  <c:v>25800</c:v>
                </c:pt>
                <c:pt idx="53">
                  <c:v>37650</c:v>
                </c:pt>
                <c:pt idx="54">
                  <c:v>22950</c:v>
                </c:pt>
                <c:pt idx="55">
                  <c:v>40200</c:v>
                </c:pt>
                <c:pt idx="56">
                  <c:v>29700</c:v>
                </c:pt>
                <c:pt idx="57">
                  <c:v>35250</c:v>
                </c:pt>
                <c:pt idx="58">
                  <c:v>21300</c:v>
                </c:pt>
                <c:pt idx="59">
                  <c:v>22350</c:v>
                </c:pt>
                <c:pt idx="60">
                  <c:v>25050</c:v>
                </c:pt>
                <c:pt idx="61">
                  <c:v>23400</c:v>
                </c:pt>
                <c:pt idx="62">
                  <c:v>20550</c:v>
                </c:pt>
                <c:pt idx="63">
                  <c:v>21750</c:v>
                </c:pt>
                <c:pt idx="64">
                  <c:v>27750</c:v>
                </c:pt>
                <c:pt idx="65">
                  <c:v>16350</c:v>
                </c:pt>
                <c:pt idx="66">
                  <c:v>24450</c:v>
                </c:pt>
                <c:pt idx="67">
                  <c:v>18150</c:v>
                </c:pt>
                <c:pt idx="68">
                  <c:v>30300</c:v>
                </c:pt>
                <c:pt idx="69">
                  <c:v>70000</c:v>
                </c:pt>
                <c:pt idx="70">
                  <c:v>21450</c:v>
                </c:pt>
                <c:pt idx="71">
                  <c:v>19650</c:v>
                </c:pt>
                <c:pt idx="72">
                  <c:v>26550</c:v>
                </c:pt>
                <c:pt idx="73">
                  <c:v>23850</c:v>
                </c:pt>
                <c:pt idx="74">
                  <c:v>36000</c:v>
                </c:pt>
                <c:pt idx="75">
                  <c:v>17100</c:v>
                </c:pt>
                <c:pt idx="76">
                  <c:v>30750</c:v>
                </c:pt>
                <c:pt idx="77">
                  <c:v>21600</c:v>
                </c:pt>
                <c:pt idx="78">
                  <c:v>22200</c:v>
                </c:pt>
                <c:pt idx="79">
                  <c:v>24300</c:v>
                </c:pt>
                <c:pt idx="80">
                  <c:v>27900</c:v>
                </c:pt>
                <c:pt idx="81">
                  <c:v>57000</c:v>
                </c:pt>
                <c:pt idx="82">
                  <c:v>26700</c:v>
                </c:pt>
                <c:pt idx="83">
                  <c:v>20400</c:v>
                </c:pt>
                <c:pt idx="84">
                  <c:v>28500</c:v>
                </c:pt>
                <c:pt idx="85">
                  <c:v>61875</c:v>
                </c:pt>
                <c:pt idx="86">
                  <c:v>30300</c:v>
                </c:pt>
                <c:pt idx="87">
                  <c:v>27600</c:v>
                </c:pt>
                <c:pt idx="88">
                  <c:v>52125</c:v>
                </c:pt>
                <c:pt idx="89">
                  <c:v>27300</c:v>
                </c:pt>
                <c:pt idx="90">
                  <c:v>100000</c:v>
                </c:pt>
                <c:pt idx="91">
                  <c:v>28350</c:v>
                </c:pt>
                <c:pt idx="92">
                  <c:v>22050</c:v>
                </c:pt>
                <c:pt idx="93">
                  <c:v>36000</c:v>
                </c:pt>
                <c:pt idx="94">
                  <c:v>66000</c:v>
                </c:pt>
                <c:pt idx="95">
                  <c:v>49000</c:v>
                </c:pt>
                <c:pt idx="96">
                  <c:v>25500</c:v>
                </c:pt>
                <c:pt idx="97">
                  <c:v>27750</c:v>
                </c:pt>
                <c:pt idx="98">
                  <c:v>52650</c:v>
                </c:pt>
                <c:pt idx="99">
                  <c:v>24300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FF-429F-B4D3-B1E0AB44D654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30582.791682071515</c:v>
              </c:pt>
            </c:numLit>
          </c:xVal>
          <c:yVal>
            <c:numLit>
              <c:formatCode>General</c:formatCode>
              <c:ptCount val="1"/>
              <c:pt idx="0">
                <c:v>33540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7FF-429F-B4D3-B1E0AB44D654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Sheet6_HID!xdata1</c:f>
              <c:numCache>
                <c:formatCode>General</c:formatCode>
                <c:ptCount val="70"/>
                <c:pt idx="0">
                  <c:v>14148.9178664673</c:v>
                </c:pt>
                <c:pt idx="1">
                  <c:v>15835.97250939846</c:v>
                </c:pt>
                <c:pt idx="2">
                  <c:v>17523.027152329621</c:v>
                </c:pt>
                <c:pt idx="3">
                  <c:v>19210.081795260779</c:v>
                </c:pt>
                <c:pt idx="4">
                  <c:v>20897.136438191941</c:v>
                </c:pt>
                <c:pt idx="5">
                  <c:v>22584.191081123099</c:v>
                </c:pt>
                <c:pt idx="6">
                  <c:v>24271.245724054261</c:v>
                </c:pt>
                <c:pt idx="7">
                  <c:v>25958.300366985422</c:v>
                </c:pt>
                <c:pt idx="8">
                  <c:v>27645.35500991658</c:v>
                </c:pt>
                <c:pt idx="9">
                  <c:v>29332.409652847738</c:v>
                </c:pt>
                <c:pt idx="10">
                  <c:v>31019.464295778904</c:v>
                </c:pt>
                <c:pt idx="11">
                  <c:v>32706.518938710062</c:v>
                </c:pt>
                <c:pt idx="12">
                  <c:v>34393.57358164122</c:v>
                </c:pt>
                <c:pt idx="13">
                  <c:v>36080.628224572378</c:v>
                </c:pt>
                <c:pt idx="14">
                  <c:v>37767.682867503543</c:v>
                </c:pt>
                <c:pt idx="15">
                  <c:v>39454.737510434701</c:v>
                </c:pt>
                <c:pt idx="16">
                  <c:v>41141.792153365859</c:v>
                </c:pt>
                <c:pt idx="17">
                  <c:v>42828.846796297024</c:v>
                </c:pt>
                <c:pt idx="18">
                  <c:v>44515.901439228182</c:v>
                </c:pt>
                <c:pt idx="19">
                  <c:v>46202.95608215934</c:v>
                </c:pt>
                <c:pt idx="20">
                  <c:v>47890.010725090506</c:v>
                </c:pt>
                <c:pt idx="21">
                  <c:v>49577.065368021664</c:v>
                </c:pt>
                <c:pt idx="22">
                  <c:v>51264.120010952822</c:v>
                </c:pt>
                <c:pt idx="23">
                  <c:v>52951.17465388398</c:v>
                </c:pt>
                <c:pt idx="24">
                  <c:v>54638.229296815145</c:v>
                </c:pt>
                <c:pt idx="25">
                  <c:v>56325.283939746303</c:v>
                </c:pt>
                <c:pt idx="26">
                  <c:v>58012.338582677461</c:v>
                </c:pt>
                <c:pt idx="27">
                  <c:v>59699.393225608626</c:v>
                </c:pt>
                <c:pt idx="28">
                  <c:v>61386.447868539784</c:v>
                </c:pt>
                <c:pt idx="29">
                  <c:v>63073.502511470942</c:v>
                </c:pt>
                <c:pt idx="30">
                  <c:v>64760.5571544021</c:v>
                </c:pt>
                <c:pt idx="31">
                  <c:v>66447.611797333258</c:v>
                </c:pt>
                <c:pt idx="32">
                  <c:v>68134.666440264424</c:v>
                </c:pt>
                <c:pt idx="33">
                  <c:v>69821.721083195574</c:v>
                </c:pt>
                <c:pt idx="34">
                  <c:v>71508.77572612674</c:v>
                </c:pt>
                <c:pt idx="35">
                  <c:v>73195.830369057905</c:v>
                </c:pt>
                <c:pt idx="36">
                  <c:v>74882.885011989056</c:v>
                </c:pt>
                <c:pt idx="37">
                  <c:v>76569.939654920221</c:v>
                </c:pt>
                <c:pt idx="38">
                  <c:v>78256.994297851386</c:v>
                </c:pt>
                <c:pt idx="39">
                  <c:v>79944.048940782537</c:v>
                </c:pt>
                <c:pt idx="40">
                  <c:v>81631.103583713702</c:v>
                </c:pt>
                <c:pt idx="41">
                  <c:v>83318.158226644853</c:v>
                </c:pt>
                <c:pt idx="42">
                  <c:v>85005.212869576018</c:v>
                </c:pt>
                <c:pt idx="43">
                  <c:v>86692.267512507184</c:v>
                </c:pt>
                <c:pt idx="44">
                  <c:v>88379.322155438334</c:v>
                </c:pt>
                <c:pt idx="45">
                  <c:v>90066.3767983695</c:v>
                </c:pt>
                <c:pt idx="46">
                  <c:v>91753.43144130065</c:v>
                </c:pt>
                <c:pt idx="47">
                  <c:v>93440.486084231816</c:v>
                </c:pt>
                <c:pt idx="48">
                  <c:v>95127.540727162981</c:v>
                </c:pt>
                <c:pt idx="49">
                  <c:v>96814.595370094132</c:v>
                </c:pt>
                <c:pt idx="50">
                  <c:v>98501.650013025297</c:v>
                </c:pt>
                <c:pt idx="51">
                  <c:v>100188.70465595646</c:v>
                </c:pt>
                <c:pt idx="52">
                  <c:v>101875.75929888761</c:v>
                </c:pt>
                <c:pt idx="53">
                  <c:v>103562.81394181878</c:v>
                </c:pt>
                <c:pt idx="54">
                  <c:v>105249.86858474994</c:v>
                </c:pt>
                <c:pt idx="55">
                  <c:v>106936.92322768109</c:v>
                </c:pt>
                <c:pt idx="56">
                  <c:v>108623.97787061226</c:v>
                </c:pt>
                <c:pt idx="57">
                  <c:v>110311.03251354343</c:v>
                </c:pt>
                <c:pt idx="58">
                  <c:v>111998.08715647458</c:v>
                </c:pt>
                <c:pt idx="59">
                  <c:v>113685.14179940574</c:v>
                </c:pt>
                <c:pt idx="60">
                  <c:v>115372.19644233689</c:v>
                </c:pt>
                <c:pt idx="61">
                  <c:v>117059.25108526806</c:v>
                </c:pt>
                <c:pt idx="62">
                  <c:v>118746.30572819922</c:v>
                </c:pt>
                <c:pt idx="63">
                  <c:v>120433.36037113037</c:v>
                </c:pt>
                <c:pt idx="64">
                  <c:v>122120.41501406154</c:v>
                </c:pt>
                <c:pt idx="65">
                  <c:v>123807.4696569927</c:v>
                </c:pt>
                <c:pt idx="66">
                  <c:v>125494.52429992385</c:v>
                </c:pt>
                <c:pt idx="67">
                  <c:v>127181.57894285502</c:v>
                </c:pt>
                <c:pt idx="68">
                  <c:v>128868.63358578618</c:v>
                </c:pt>
                <c:pt idx="69">
                  <c:v>130555.68822871734</c:v>
                </c:pt>
              </c:numCache>
            </c:numRef>
          </c:xVal>
          <c:yVal>
            <c:numRef>
              <c:f>Sheet6_HID!ydata1</c:f>
              <c:numCache>
                <c:formatCode>General</c:formatCode>
                <c:ptCount val="70"/>
                <c:pt idx="0">
                  <c:v>-1592.0637913435894</c:v>
                </c:pt>
                <c:pt idx="1">
                  <c:v>115.40538175915935</c:v>
                </c:pt>
                <c:pt idx="2">
                  <c:v>1821.0499546344254</c:v>
                </c:pt>
                <c:pt idx="3">
                  <c:v>3524.8634397988972</c:v>
                </c:pt>
                <c:pt idx="4">
                  <c:v>5226.8399623957976</c:v>
                </c:pt>
                <c:pt idx="5">
                  <c:v>6926.9742703539632</c:v>
                </c:pt>
                <c:pt idx="6">
                  <c:v>8625.261743531777</c:v>
                </c:pt>
                <c:pt idx="7">
                  <c:v>10321.698401809203</c:v>
                </c:pt>
                <c:pt idx="8">
                  <c:v>12016.28091209519</c:v>
                </c:pt>
                <c:pt idx="9">
                  <c:v>13709.006594221804</c:v>
                </c:pt>
                <c:pt idx="10">
                  <c:v>15399.873425700876</c:v>
                </c:pt>
                <c:pt idx="11">
                  <c:v>17088.880045323534</c:v>
                </c:pt>
                <c:pt idx="12">
                  <c:v>18776.025755587783</c:v>
                </c:pt>
                <c:pt idx="13">
                  <c:v>20461.310523943932</c:v>
                </c:pt>
                <c:pt idx="14">
                  <c:v>22144.734982852715</c:v>
                </c:pt>
                <c:pt idx="15">
                  <c:v>23826.300428655901</c:v>
                </c:pt>
                <c:pt idx="16">
                  <c:v>25506.008819264127</c:v>
                </c:pt>
                <c:pt idx="17">
                  <c:v>27183.862770671418</c:v>
                </c:pt>
                <c:pt idx="18">
                  <c:v>28859.865552310985</c:v>
                </c:pt>
                <c:pt idx="19">
                  <c:v>30534.021081271436</c:v>
                </c:pt>
                <c:pt idx="20">
                  <c:v>32206.333915397154</c:v>
                </c:pt>
                <c:pt idx="21">
                  <c:v>33876.809245300989</c:v>
                </c:pt>
                <c:pt idx="22">
                  <c:v>35545.452885321749</c:v>
                </c:pt>
                <c:pt idx="23">
                  <c:v>37212.271263462717</c:v>
                </c:pt>
                <c:pt idx="24">
                  <c:v>38877.271410351357</c:v>
                </c:pt>
                <c:pt idx="25">
                  <c:v>40540.46094726368</c:v>
                </c:pt>
                <c:pt idx="26">
                  <c:v>42201.848073259891</c:v>
                </c:pt>
                <c:pt idx="27">
                  <c:v>43861.441551480748</c:v>
                </c:pt>
                <c:pt idx="28">
                  <c:v>45519.250694656512</c:v>
                </c:pt>
                <c:pt idx="29">
                  <c:v>47175.285349882659</c:v>
                </c:pt>
                <c:pt idx="30">
                  <c:v>48829.555882717905</c:v>
                </c:pt>
                <c:pt idx="31">
                  <c:v>50482.073160662127</c:v>
                </c:pt>
                <c:pt idx="32">
                  <c:v>52132.848536072226</c:v>
                </c:pt>
                <c:pt idx="33">
                  <c:v>53781.893828575121</c:v>
                </c:pt>
                <c:pt idx="34">
                  <c:v>55429.221307037376</c:v>
                </c:pt>
                <c:pt idx="35">
                  <c:v>57074.843671150746</c:v>
                </c:pt>
                <c:pt idx="36">
                  <c:v>58718.774032693138</c:v>
                </c:pt>
                <c:pt idx="37">
                  <c:v>60361.025896523512</c:v>
                </c:pt>
                <c:pt idx="38">
                  <c:v>62001.61314136842</c:v>
                </c:pt>
                <c:pt idx="39">
                  <c:v>63640.550000457093</c:v>
                </c:pt>
                <c:pt idx="40">
                  <c:v>65277.851042060218</c:v>
                </c:pt>
                <c:pt idx="41">
                  <c:v>66913.531149985909</c:v>
                </c:pt>
                <c:pt idx="42">
                  <c:v>68547.605504085164</c:v>
                </c:pt>
                <c:pt idx="43">
                  <c:v>70180.089560815948</c:v>
                </c:pt>
                <c:pt idx="44">
                  <c:v>71810.999033914239</c:v>
                </c:pt>
                <c:pt idx="45">
                  <c:v>73440.349875216954</c:v>
                </c:pt>
                <c:pt idx="46">
                  <c:v>75068.158255679489</c:v>
                </c:pt>
                <c:pt idx="47">
                  <c:v>76694.440546628728</c:v>
                </c:pt>
                <c:pt idx="48">
                  <c:v>78319.21330128875</c:v>
                </c:pt>
                <c:pt idx="49">
                  <c:v>79942.493236614522</c:v>
                </c:pt>
                <c:pt idx="50">
                  <c:v>81564.297215465966</c:v>
                </c:pt>
                <c:pt idx="51">
                  <c:v>83184.642229151912</c:v>
                </c:pt>
                <c:pt idx="52">
                  <c:v>84803.545380370953</c:v>
                </c:pt>
                <c:pt idx="53">
                  <c:v>86421.023866573611</c:v>
                </c:pt>
                <c:pt idx="54">
                  <c:v>88037.094963767027</c:v>
                </c:pt>
                <c:pt idx="55">
                  <c:v>89651.776010781585</c:v>
                </c:pt>
                <c:pt idx="56">
                  <c:v>91265.08439401575</c:v>
                </c:pt>
                <c:pt idx="57">
                  <c:v>92877.037532673072</c:v>
                </c:pt>
                <c:pt idx="58">
                  <c:v>94487.652864503048</c:v>
                </c:pt>
                <c:pt idx="59">
                  <c:v>96096.947832055244</c:v>
                </c:pt>
                <c:pt idx="60">
                  <c:v>97704.939869453607</c:v>
                </c:pt>
                <c:pt idx="61">
                  <c:v>99311.646389696223</c:v>
                </c:pt>
                <c:pt idx="62">
                  <c:v>100917.08477248353</c:v>
                </c:pt>
                <c:pt idx="63">
                  <c:v>102521.27235257621</c:v>
                </c:pt>
                <c:pt idx="64">
                  <c:v>104124.22640868224</c:v>
                </c:pt>
                <c:pt idx="65">
                  <c:v>105725.9641528709</c:v>
                </c:pt>
                <c:pt idx="66">
                  <c:v>107326.50272051012</c:v>
                </c:pt>
                <c:pt idx="67">
                  <c:v>108925.85916072232</c:v>
                </c:pt>
                <c:pt idx="68">
                  <c:v>110524.05042735189</c:v>
                </c:pt>
                <c:pt idx="69">
                  <c:v>112121.09337043735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FF-429F-B4D3-B1E0AB44D654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Sheet6_HID!xdata2</c:f>
              <c:numCache>
                <c:formatCode>General</c:formatCode>
                <c:ptCount val="70"/>
                <c:pt idx="0">
                  <c:v>14231.364723659901</c:v>
                </c:pt>
                <c:pt idx="1">
                  <c:v>15917.224484602761</c:v>
                </c:pt>
                <c:pt idx="2">
                  <c:v>17603.084245545622</c:v>
                </c:pt>
                <c:pt idx="3">
                  <c:v>19288.94400648848</c:v>
                </c:pt>
                <c:pt idx="4">
                  <c:v>20974.803767431342</c:v>
                </c:pt>
                <c:pt idx="5">
                  <c:v>22660.6635283742</c:v>
                </c:pt>
                <c:pt idx="6">
                  <c:v>24346.523289317061</c:v>
                </c:pt>
                <c:pt idx="7">
                  <c:v>26032.383050259923</c:v>
                </c:pt>
                <c:pt idx="8">
                  <c:v>27718.242811202781</c:v>
                </c:pt>
                <c:pt idx="9">
                  <c:v>29404.102572145639</c:v>
                </c:pt>
                <c:pt idx="10">
                  <c:v>31089.962333088501</c:v>
                </c:pt>
                <c:pt idx="11">
                  <c:v>32775.822094031362</c:v>
                </c:pt>
                <c:pt idx="12">
                  <c:v>34461.681854974224</c:v>
                </c:pt>
                <c:pt idx="13">
                  <c:v>36147.541615917078</c:v>
                </c:pt>
                <c:pt idx="14">
                  <c:v>37833.40137685994</c:v>
                </c:pt>
                <c:pt idx="15">
                  <c:v>39519.261137802801</c:v>
                </c:pt>
                <c:pt idx="16">
                  <c:v>41205.120898745663</c:v>
                </c:pt>
                <c:pt idx="17">
                  <c:v>42890.980659688525</c:v>
                </c:pt>
                <c:pt idx="18">
                  <c:v>44576.840420631379</c:v>
                </c:pt>
                <c:pt idx="19">
                  <c:v>46262.700181574241</c:v>
                </c:pt>
                <c:pt idx="20">
                  <c:v>47948.559942517102</c:v>
                </c:pt>
                <c:pt idx="21">
                  <c:v>49634.419703459957</c:v>
                </c:pt>
                <c:pt idx="22">
                  <c:v>51320.279464402818</c:v>
                </c:pt>
                <c:pt idx="23">
                  <c:v>53006.13922534568</c:v>
                </c:pt>
                <c:pt idx="24">
                  <c:v>54691.998986288541</c:v>
                </c:pt>
                <c:pt idx="25">
                  <c:v>56377.858747231403</c:v>
                </c:pt>
                <c:pt idx="26">
                  <c:v>58063.718508174257</c:v>
                </c:pt>
                <c:pt idx="27">
                  <c:v>59749.578269117119</c:v>
                </c:pt>
                <c:pt idx="28">
                  <c:v>61435.438030059981</c:v>
                </c:pt>
                <c:pt idx="29">
                  <c:v>63121.297791002842</c:v>
                </c:pt>
                <c:pt idx="30">
                  <c:v>64807.157551945696</c:v>
                </c:pt>
                <c:pt idx="31">
                  <c:v>66493.017312888565</c:v>
                </c:pt>
                <c:pt idx="32">
                  <c:v>68178.87707383142</c:v>
                </c:pt>
                <c:pt idx="33">
                  <c:v>69864.736834774289</c:v>
                </c:pt>
                <c:pt idx="34">
                  <c:v>71550.596595717143</c:v>
                </c:pt>
                <c:pt idx="35">
                  <c:v>73236.456356659997</c:v>
                </c:pt>
                <c:pt idx="36">
                  <c:v>74922.316117602866</c:v>
                </c:pt>
                <c:pt idx="37">
                  <c:v>76608.17587854572</c:v>
                </c:pt>
                <c:pt idx="38">
                  <c:v>78294.035639488589</c:v>
                </c:pt>
                <c:pt idx="39">
                  <c:v>79979.895400431444</c:v>
                </c:pt>
                <c:pt idx="40">
                  <c:v>81665.755161374313</c:v>
                </c:pt>
                <c:pt idx="41">
                  <c:v>83351.614922317167</c:v>
                </c:pt>
                <c:pt idx="42">
                  <c:v>85037.474683260021</c:v>
                </c:pt>
                <c:pt idx="43">
                  <c:v>86723.33444420289</c:v>
                </c:pt>
                <c:pt idx="44">
                  <c:v>88409.194205145744</c:v>
                </c:pt>
                <c:pt idx="45">
                  <c:v>90095.053966088613</c:v>
                </c:pt>
                <c:pt idx="46">
                  <c:v>91780.913727031468</c:v>
                </c:pt>
                <c:pt idx="47">
                  <c:v>93466.773487974322</c:v>
                </c:pt>
                <c:pt idx="48">
                  <c:v>95152.633248917191</c:v>
                </c:pt>
                <c:pt idx="49">
                  <c:v>96838.493009860045</c:v>
                </c:pt>
                <c:pt idx="50">
                  <c:v>98524.352770802914</c:v>
                </c:pt>
                <c:pt idx="51">
                  <c:v>100210.21253174577</c:v>
                </c:pt>
                <c:pt idx="52">
                  <c:v>101896.07229268862</c:v>
                </c:pt>
                <c:pt idx="53">
                  <c:v>103581.93205363149</c:v>
                </c:pt>
                <c:pt idx="54">
                  <c:v>105267.79181457435</c:v>
                </c:pt>
                <c:pt idx="55">
                  <c:v>106953.6515755172</c:v>
                </c:pt>
                <c:pt idx="56">
                  <c:v>108639.51133646007</c:v>
                </c:pt>
                <c:pt idx="57">
                  <c:v>110325.37109740292</c:v>
                </c:pt>
                <c:pt idx="58">
                  <c:v>112011.23085834579</c:v>
                </c:pt>
                <c:pt idx="59">
                  <c:v>113697.09061928865</c:v>
                </c:pt>
                <c:pt idx="60">
                  <c:v>115382.9503802315</c:v>
                </c:pt>
                <c:pt idx="61">
                  <c:v>117068.81014117437</c:v>
                </c:pt>
                <c:pt idx="62">
                  <c:v>118754.66990211722</c:v>
                </c:pt>
                <c:pt idx="63">
                  <c:v>120440.52966306009</c:v>
                </c:pt>
                <c:pt idx="64">
                  <c:v>122126.38942400295</c:v>
                </c:pt>
                <c:pt idx="65">
                  <c:v>123812.2491849458</c:v>
                </c:pt>
                <c:pt idx="66">
                  <c:v>125498.10894588867</c:v>
                </c:pt>
                <c:pt idx="67">
                  <c:v>127183.96870683153</c:v>
                </c:pt>
                <c:pt idx="68">
                  <c:v>128869.82846777439</c:v>
                </c:pt>
                <c:pt idx="69">
                  <c:v>130555.68822871725</c:v>
                </c:pt>
              </c:numCache>
            </c:numRef>
          </c:xVal>
          <c:yVal>
            <c:numRef>
              <c:f>Sheet6_HID!ydata2</c:f>
              <c:numCache>
                <c:formatCode>General</c:formatCode>
                <c:ptCount val="70"/>
                <c:pt idx="0">
                  <c:v>29971.306416642277</c:v>
                </c:pt>
                <c:pt idx="1">
                  <c:v>31636.854407096638</c:v>
                </c:pt>
                <c:pt idx="2">
                  <c:v>33304.224740031364</c:v>
                </c:pt>
                <c:pt idx="3">
                  <c:v>34973.423860176015</c:v>
                </c:pt>
                <c:pt idx="4">
                  <c:v>36644.457600864145</c:v>
                </c:pt>
                <c:pt idx="5">
                  <c:v>38317.331173956889</c:v>
                </c:pt>
                <c:pt idx="6">
                  <c:v>39992.049160779206</c:v>
                </c:pt>
                <c:pt idx="7">
                  <c:v>41668.615504105124</c:v>
                </c:pt>
                <c:pt idx="8">
                  <c:v>43347.033501224432</c:v>
                </c:pt>
                <c:pt idx="9">
                  <c:v>45027.305798119123</c:v>
                </c:pt>
                <c:pt idx="10">
                  <c:v>46709.434384773347</c:v>
                </c:pt>
                <c:pt idx="11">
                  <c:v>48393.420591636394</c:v>
                </c:pt>
                <c:pt idx="12">
                  <c:v>50079.265087253181</c:v>
                </c:pt>
                <c:pt idx="13">
                  <c:v>51766.967877072188</c:v>
                </c:pt>
                <c:pt idx="14">
                  <c:v>53456.528303435749</c:v>
                </c:pt>
                <c:pt idx="15">
                  <c:v>55147.945046752691</c:v>
                </c:pt>
                <c:pt idx="16">
                  <c:v>56841.216127848602</c:v>
                </c:pt>
                <c:pt idx="17">
                  <c:v>58536.338911483756</c:v>
                </c:pt>
                <c:pt idx="18">
                  <c:v>60233.310111024344</c:v>
                </c:pt>
                <c:pt idx="19">
                  <c:v>61932.125794247644</c:v>
                </c:pt>
                <c:pt idx="20">
                  <c:v>63632.781390257245</c:v>
                </c:pt>
                <c:pt idx="21">
                  <c:v>65335.271697480333</c:v>
                </c:pt>
                <c:pt idx="22">
                  <c:v>67039.590892714506</c:v>
                </c:pt>
                <c:pt idx="23">
                  <c:v>68745.732541187812</c:v>
                </c:pt>
                <c:pt idx="24">
                  <c:v>70453.689607592125</c:v>
                </c:pt>
                <c:pt idx="25">
                  <c:v>72163.454468046373</c:v>
                </c:pt>
                <c:pt idx="26">
                  <c:v>73875.018922943083</c:v>
                </c:pt>
                <c:pt idx="27">
                  <c:v>75588.374210629248</c:v>
                </c:pt>
                <c:pt idx="28">
                  <c:v>77303.511021869315</c:v>
                </c:pt>
                <c:pt idx="29">
                  <c:v>79020.419515036876</c:v>
                </c:pt>
                <c:pt idx="30">
                  <c:v>80739.089331979427</c:v>
                </c:pt>
                <c:pt idx="31">
                  <c:v>82459.509614498878</c:v>
                </c:pt>
                <c:pt idx="32">
                  <c:v>84181.669021390102</c:v>
                </c:pt>
                <c:pt idx="33">
                  <c:v>85905.555745978665</c:v>
                </c:pt>
                <c:pt idx="34">
                  <c:v>87631.157534098296</c:v>
                </c:pt>
                <c:pt idx="35">
                  <c:v>89358.461702449422</c:v>
                </c:pt>
                <c:pt idx="36">
                  <c:v>91087.455157279299</c:v>
                </c:pt>
                <c:pt idx="37">
                  <c:v>92818.124413325655</c:v>
                </c:pt>
                <c:pt idx="38">
                  <c:v>94550.455612966529</c:v>
                </c:pt>
                <c:pt idx="39">
                  <c:v>96284.434545519412</c:v>
                </c:pt>
                <c:pt idx="40">
                  <c:v>98020.046666635375</c:v>
                </c:pt>
                <c:pt idx="41">
                  <c:v>99757.277117734266</c:v>
                </c:pt>
                <c:pt idx="42">
                  <c:v>101496.11074542983</c:v>
                </c:pt>
                <c:pt idx="43">
                  <c:v>103236.53212089502</c:v>
                </c:pt>
                <c:pt idx="44">
                  <c:v>104978.52555912014</c:v>
                </c:pt>
                <c:pt idx="45">
                  <c:v>106722.07513801905</c:v>
                </c:pt>
                <c:pt idx="46">
                  <c:v>108467.16471734029</c:v>
                </c:pt>
                <c:pt idx="47">
                  <c:v>110213.77795734364</c:v>
                </c:pt>
                <c:pt idx="48">
                  <c:v>111961.89833720421</c:v>
                </c:pt>
                <c:pt idx="49">
                  <c:v>113711.50917310925</c:v>
                </c:pt>
                <c:pt idx="50">
                  <c:v>115462.59363601582</c:v>
                </c:pt>
                <c:pt idx="51">
                  <c:v>117215.13476903939</c:v>
                </c:pt>
                <c:pt idx="52">
                  <c:v>118969.11550444711</c:v>
                </c:pt>
                <c:pt idx="53">
                  <c:v>120724.51868023127</c:v>
                </c:pt>
                <c:pt idx="54">
                  <c:v>122481.3270562415</c:v>
                </c:pt>
                <c:pt idx="55">
                  <c:v>124239.52332985727</c:v>
                </c:pt>
                <c:pt idx="56">
                  <c:v>125999.0901511837</c:v>
                </c:pt>
                <c:pt idx="57">
                  <c:v>127760.01013775723</c:v>
                </c:pt>
                <c:pt idx="58">
                  <c:v>129522.26588874952</c:v>
                </c:pt>
                <c:pt idx="59">
                  <c:v>131285.83999866017</c:v>
                </c:pt>
                <c:pt idx="60">
                  <c:v>133050.71507049134</c:v>
                </c:pt>
                <c:pt idx="61">
                  <c:v>134816.87372839925</c:v>
                </c:pt>
                <c:pt idx="62">
                  <c:v>136584.29862981927</c:v>
                </c:pt>
                <c:pt idx="63">
                  <c:v>138352.9724770638</c:v>
                </c:pt>
                <c:pt idx="64">
                  <c:v>140122.87802839308</c:v>
                </c:pt>
                <c:pt idx="65">
                  <c:v>141893.99810856127</c:v>
                </c:pt>
                <c:pt idx="66">
                  <c:v>143666.31561884156</c:v>
                </c:pt>
                <c:pt idx="67">
                  <c:v>145439.81354653495</c:v>
                </c:pt>
                <c:pt idx="68">
                  <c:v>147214.47497396951</c:v>
                </c:pt>
                <c:pt idx="69">
                  <c:v>148990.28308699722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FF-429F-B4D3-B1E0AB44D654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-20000</c:v>
              </c:pt>
              <c:pt idx="1">
                <c:v>160000</c:v>
              </c:pt>
            </c:numLit>
          </c:xVal>
          <c:yVal>
            <c:numLit>
              <c:formatCode>General</c:formatCode>
              <c:ptCount val="2"/>
              <c:pt idx="0">
                <c:v>-20000</c:v>
              </c:pt>
              <c:pt idx="1">
                <c:v>160000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7FF-429F-B4D3-B1E0AB44D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619832"/>
        <c:axId val="1283620192"/>
      </c:scatterChart>
      <c:valAx>
        <c:axId val="1283619832"/>
        <c:scaling>
          <c:orientation val="minMax"/>
          <c:max val="160000"/>
          <c:min val="-2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Pred(Current 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83620192"/>
        <c:crosses val="autoZero"/>
        <c:crossBetween val="midCat"/>
      </c:valAx>
      <c:valAx>
        <c:axId val="1283620192"/>
        <c:scaling>
          <c:orientation val="minMax"/>
          <c:max val="160000"/>
          <c:min val="-2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Current 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8361983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Current Salary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10'!$A$98:$A$197</c:f>
              <c:strCache>
                <c:ptCount val="100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</c:strCache>
            </c:strRef>
          </c:cat>
          <c:val>
            <c:numRef>
              <c:f>'Linear Regression Output 10'!$F$98:$F$197</c:f>
              <c:numCache>
                <c:formatCode>0.000</c:formatCode>
                <c:ptCount val="100"/>
                <c:pt idx="0">
                  <c:v>5.4176621771375784E-2</c:v>
                </c:pt>
                <c:pt idx="1">
                  <c:v>0.377689550572259</c:v>
                </c:pt>
                <c:pt idx="2">
                  <c:v>6.7869034490155355E-2</c:v>
                </c:pt>
                <c:pt idx="3">
                  <c:v>-0.12435856297264025</c:v>
                </c:pt>
                <c:pt idx="4">
                  <c:v>1.5861138724497036E-2</c:v>
                </c:pt>
                <c:pt idx="5">
                  <c:v>0.61900986339529296</c:v>
                </c:pt>
                <c:pt idx="6">
                  <c:v>0.26184443545576974</c:v>
                </c:pt>
                <c:pt idx="7">
                  <c:v>-0.57003969292628687</c:v>
                </c:pt>
                <c:pt idx="8">
                  <c:v>-1.2061785123490625</c:v>
                </c:pt>
                <c:pt idx="9">
                  <c:v>0.24575403700576953</c:v>
                </c:pt>
                <c:pt idx="10">
                  <c:v>-0.25928027520067204</c:v>
                </c:pt>
                <c:pt idx="11">
                  <c:v>1.9661124834175263</c:v>
                </c:pt>
                <c:pt idx="12">
                  <c:v>-3.9949214638719338E-2</c:v>
                </c:pt>
                <c:pt idx="13">
                  <c:v>0.75872902027616684</c:v>
                </c:pt>
                <c:pt idx="14">
                  <c:v>0.38106860931916903</c:v>
                </c:pt>
                <c:pt idx="15">
                  <c:v>0.14313366838274777</c:v>
                </c:pt>
                <c:pt idx="16">
                  <c:v>-0.17027474407741824</c:v>
                </c:pt>
                <c:pt idx="17">
                  <c:v>-0.63978611093490745</c:v>
                </c:pt>
                <c:pt idx="18">
                  <c:v>0.35275350194274724</c:v>
                </c:pt>
                <c:pt idx="19">
                  <c:v>-0.12267672721418235</c:v>
                </c:pt>
                <c:pt idx="20">
                  <c:v>6.7218852261753489E-2</c:v>
                </c:pt>
                <c:pt idx="21">
                  <c:v>-0.13381497645707793</c:v>
                </c:pt>
                <c:pt idx="22">
                  <c:v>-0.67644795716293848</c:v>
                </c:pt>
                <c:pt idx="23">
                  <c:v>-0.42476691631460856</c:v>
                </c:pt>
                <c:pt idx="24">
                  <c:v>-0.21403175955677545</c:v>
                </c:pt>
                <c:pt idx="25">
                  <c:v>6.3700754869285214</c:v>
                </c:pt>
                <c:pt idx="26">
                  <c:v>-8.634088155963901E-2</c:v>
                </c:pt>
                <c:pt idx="27">
                  <c:v>-0.20571740352126719</c:v>
                </c:pt>
                <c:pt idx="28">
                  <c:v>-1.0076971552247798</c:v>
                </c:pt>
                <c:pt idx="29">
                  <c:v>7.8828782806604783E-2</c:v>
                </c:pt>
                <c:pt idx="30">
                  <c:v>2.3438040410214467E-2</c:v>
                </c:pt>
                <c:pt idx="31">
                  <c:v>-0.45941945302029408</c:v>
                </c:pt>
                <c:pt idx="32">
                  <c:v>1.4668493066706609</c:v>
                </c:pt>
                <c:pt idx="33">
                  <c:v>0.16045993673559078</c:v>
                </c:pt>
                <c:pt idx="34">
                  <c:v>1.6577288697259773E-2</c:v>
                </c:pt>
                <c:pt idx="35">
                  <c:v>-0.84950731608609986</c:v>
                </c:pt>
                <c:pt idx="36">
                  <c:v>-0.81220578464586179</c:v>
                </c:pt>
                <c:pt idx="37">
                  <c:v>-0.43343005049102984</c:v>
                </c:pt>
                <c:pt idx="38">
                  <c:v>-0.89945190479164605</c:v>
                </c:pt>
                <c:pt idx="39">
                  <c:v>2.1978167128472842E-3</c:v>
                </c:pt>
                <c:pt idx="40">
                  <c:v>-0.38645143326772985</c:v>
                </c:pt>
                <c:pt idx="41">
                  <c:v>-0.29066272565053297</c:v>
                </c:pt>
                <c:pt idx="42">
                  <c:v>-0.18241747521739929</c:v>
                </c:pt>
                <c:pt idx="43">
                  <c:v>0.52706481505759717</c:v>
                </c:pt>
                <c:pt idx="44">
                  <c:v>4.0614671350918972E-2</c:v>
                </c:pt>
                <c:pt idx="45">
                  <c:v>0.49163596214584931</c:v>
                </c:pt>
                <c:pt idx="46">
                  <c:v>0.18644933926485502</c:v>
                </c:pt>
                <c:pt idx="47">
                  <c:v>-0.35496761122667597</c:v>
                </c:pt>
                <c:pt idx="48">
                  <c:v>-0.40171387442993428</c:v>
                </c:pt>
                <c:pt idx="49">
                  <c:v>-0.72008002336985766</c:v>
                </c:pt>
                <c:pt idx="50">
                  <c:v>0.11941178928638188</c:v>
                </c:pt>
                <c:pt idx="51">
                  <c:v>-0.14606392763943923</c:v>
                </c:pt>
                <c:pt idx="52">
                  <c:v>-0.44892484567327645</c:v>
                </c:pt>
                <c:pt idx="53">
                  <c:v>0.90261166831449791</c:v>
                </c:pt>
                <c:pt idx="54">
                  <c:v>-0.91302377080541652</c:v>
                </c:pt>
                <c:pt idx="55">
                  <c:v>0.14486376996215075</c:v>
                </c:pt>
                <c:pt idx="56">
                  <c:v>0.37302656666402029</c:v>
                </c:pt>
                <c:pt idx="57">
                  <c:v>0.43121594120710161</c:v>
                </c:pt>
                <c:pt idx="58">
                  <c:v>0.15692745269272029</c:v>
                </c:pt>
                <c:pt idx="59">
                  <c:v>-7.9927568892699835E-2</c:v>
                </c:pt>
                <c:pt idx="60">
                  <c:v>-0.49466759299373414</c:v>
                </c:pt>
                <c:pt idx="61">
                  <c:v>5.4176621771375784E-2</c:v>
                </c:pt>
                <c:pt idx="62">
                  <c:v>-0.30982046717397232</c:v>
                </c:pt>
                <c:pt idx="63">
                  <c:v>2.0090597626314533E-2</c:v>
                </c:pt>
                <c:pt idx="64">
                  <c:v>0.44782605958718136</c:v>
                </c:pt>
                <c:pt idx="65">
                  <c:v>-0.61954213692076376</c:v>
                </c:pt>
                <c:pt idx="66">
                  <c:v>-0.78326958574816707</c:v>
                </c:pt>
                <c:pt idx="67">
                  <c:v>-0.55157430500342752</c:v>
                </c:pt>
                <c:pt idx="68">
                  <c:v>-0.362914595430334</c:v>
                </c:pt>
                <c:pt idx="69">
                  <c:v>3.3031681538296946</c:v>
                </c:pt>
                <c:pt idx="70">
                  <c:v>-0.35679908439727231</c:v>
                </c:pt>
                <c:pt idx="71">
                  <c:v>-0.35999688976903377</c:v>
                </c:pt>
                <c:pt idx="72">
                  <c:v>-0.51800800078844589</c:v>
                </c:pt>
                <c:pt idx="73">
                  <c:v>-0.70092228184641836</c:v>
                </c:pt>
                <c:pt idx="74">
                  <c:v>-0.28262068299538373</c:v>
                </c:pt>
                <c:pt idx="75">
                  <c:v>-8.8024190508496844E-2</c:v>
                </c:pt>
                <c:pt idx="76">
                  <c:v>0.1832806246002229</c:v>
                </c:pt>
                <c:pt idx="77">
                  <c:v>-0.22576223680663587</c:v>
                </c:pt>
                <c:pt idx="78">
                  <c:v>-1.2325607749636944</c:v>
                </c:pt>
                <c:pt idx="79">
                  <c:v>-0.64050226090767015</c:v>
                </c:pt>
                <c:pt idx="80">
                  <c:v>-2.1738194349618975E-2</c:v>
                </c:pt>
                <c:pt idx="81">
                  <c:v>0.61828740028282703</c:v>
                </c:pt>
                <c:pt idx="82">
                  <c:v>-0.6607753256289427</c:v>
                </c:pt>
                <c:pt idx="83">
                  <c:v>-0.32897820869741168</c:v>
                </c:pt>
                <c:pt idx="84">
                  <c:v>0.70553983356831451</c:v>
                </c:pt>
                <c:pt idx="85">
                  <c:v>-1.2998411017316385</c:v>
                </c:pt>
                <c:pt idx="86">
                  <c:v>-0.63377197149303821</c:v>
                </c:pt>
                <c:pt idx="87">
                  <c:v>-0.21903194739200393</c:v>
                </c:pt>
                <c:pt idx="88">
                  <c:v>-0.54370048049694175</c:v>
                </c:pt>
                <c:pt idx="89">
                  <c:v>6.6502702288990287E-2</c:v>
                </c:pt>
                <c:pt idx="90">
                  <c:v>2.3093494808722621</c:v>
                </c:pt>
                <c:pt idx="91">
                  <c:v>0.96018626447600897</c:v>
                </c:pt>
                <c:pt idx="92">
                  <c:v>-5.3473025394003802E-2</c:v>
                </c:pt>
                <c:pt idx="93">
                  <c:v>-0.88027498815439098</c:v>
                </c:pt>
                <c:pt idx="94">
                  <c:v>-2.7649732310723221</c:v>
                </c:pt>
                <c:pt idx="95">
                  <c:v>0.98909675642924766</c:v>
                </c:pt>
                <c:pt idx="96">
                  <c:v>0.28999998982673986</c:v>
                </c:pt>
                <c:pt idx="97">
                  <c:v>-0.36474606860093084</c:v>
                </c:pt>
                <c:pt idx="98">
                  <c:v>1.5730312500436825</c:v>
                </c:pt>
                <c:pt idx="99">
                  <c:v>0.23389309745758682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F-491C-9531-649F0AE86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278694296"/>
        <c:axId val="1278694656"/>
      </c:barChart>
      <c:catAx>
        <c:axId val="1278694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78694656"/>
        <c:crosses val="autoZero"/>
        <c:auto val="1"/>
        <c:lblAlgn val="ctr"/>
        <c:lblOffset val="100"/>
        <c:noMultiLvlLbl val="0"/>
      </c:catAx>
      <c:valAx>
        <c:axId val="1278694656"/>
        <c:scaling>
          <c:orientation val="minMax"/>
          <c:max val="8"/>
          <c:min val="-8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7869429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6" noThreeD="1" sel="5" val="0">
  <itemLst>
    <item val="Summary statistics"/>
    <item val="Correlation matrix"/>
    <item val="Regression of variable Market Value"/>
    <item val="Goodness of fit statistics (Market Value)"/>
    <item val="Analysis of variance (Market Value)"/>
    <item val="Model parameters (Market Value)"/>
    <item val="Equation of the model (Market Value)"/>
    <item val="Standardized coefficients (Market Value)"/>
    <item val="Predictions and residuals (Market Value)"/>
    <item val="Test on the normality of the residuals (Shapiro-Wilk) (Market Value)"/>
    <item val="Interpretation (Market Value)"/>
  </itemLst>
</formControlPr>
</file>

<file path=xl/ctrlProps/ctrlProp2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Market Value"/>
    <item val="Goodness of fit statistics (Market Value)"/>
    <item val="Analysis of variance (Market Value)"/>
    <item val="Model parameters (Market Value)"/>
    <item val="Equation of the model (Market Value)"/>
    <item val="Standardized coefficients (Market Value)"/>
    <item val="Predictions and residuals (Market Value)"/>
    <item val="Test on the normality of the residuals (Shapiro-Wilk) (Market Value)"/>
    <item val="Interpretation (Market Value)"/>
  </itemLst>
</formControlPr>
</file>

<file path=xl/ctrlProps/ctrlProp3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Comparative Salary"/>
    <item val="Goodness of fit statistics (Comparative Salary)"/>
    <item val="Analysis of variance (Comparative Salary)"/>
    <item val="Model parameters (Comparative Salary)"/>
    <item val="Equation of the model (Comparative Salary)"/>
    <item val="Standardized coefficients (Comparative Salary)"/>
    <item val="Predictions and residuals (Comparative Salary)"/>
    <item val="Test on the normality of the residuals (Shapiro-Wilk) (Comparative Salary)"/>
    <item val="Interpretation (Comparative Salary)"/>
  </itemLst>
</formControlPr>
</file>

<file path=xl/ctrlProps/ctrlProp4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Comparative Salary"/>
    <item val="Goodness of fit statistics (Comparative Salary)"/>
    <item val="Analysis of variance (Comparative Salary)"/>
    <item val="Model parameters (Comparative Salary)"/>
    <item val="Equation of the model (Comparative Salary)"/>
    <item val="Standardized coefficients (Comparative Salary)"/>
    <item val="Predictions and residuals (Comparative Salary)"/>
    <item val="Test on the normality of the residuals (Shapiro-Wilk) (Comparative Salary)"/>
    <item val="Interpretation (Comparative Salary)"/>
  </itemLst>
</formControlPr>
</file>

<file path=xl/ctrlProps/ctrlProp5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Satisfaction"/>
    <item val="Goodness of fit statistics (Satisfaction)"/>
    <item val="Analysis of variance (Satisfaction)"/>
    <item val="Model parameters (Satisfaction)"/>
    <item val="Equation of the model (Satisfaction)"/>
    <item val="Standardized coefficients (Satisfaction)"/>
    <item val="Predictions and residuals (Satisfaction)"/>
    <item val="Test on the normality of the residuals (Shapiro-Wilk) (Satisfaction)"/>
    <item val="Interpretation (Satisfaction)"/>
  </itemLst>
</formControlPr>
</file>

<file path=xl/ctrlProps/ctrlProp6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Satisfaction"/>
    <item val="Goodness of fit statistics (Satisfaction)"/>
    <item val="Analysis of variance (Satisfaction)"/>
    <item val="Model parameters (Satisfaction)"/>
    <item val="Equation of the model (Satisfaction)"/>
    <item val="Standardized coefficients (Satisfaction)"/>
    <item val="Predictions and residuals (Satisfaction)"/>
    <item val="Test on the normality of the residuals (Shapiro-Wilk) (Satisfaction)"/>
    <item val="Interpretation (Satisfaction)"/>
  </itemLst>
</formControlPr>
</file>

<file path=xl/ctrlProps/ctrlProp7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Calories"/>
    <item val="Goodness of fit statistics (Calories)"/>
    <item val="Analysis of variance (Calories)"/>
    <item val="Model parameters (Calories)"/>
    <item val="Equation of the model (Calories)"/>
    <item val="Standardized coefficients (Calories)"/>
    <item val="Predictions and residuals (Calories)"/>
    <item val="Test on the normality of the residuals (Shapiro-Wilk) (Calories)"/>
    <item val="Interpretation (Calories)"/>
  </itemLst>
</formControlPr>
</file>

<file path=xl/ctrlProps/ctrlProp8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Calories"/>
    <item val="Goodness of fit statistics (Calories)"/>
    <item val="Analysis of variance (Calories)"/>
    <item val="Model parameters (Calories)"/>
    <item val="Equation of the model (Calories)"/>
    <item val="Standardized coefficients (Calories)"/>
    <item val="Predictions and residuals (Calories)"/>
    <item val="Test on the normality of the residuals (Shapiro-Wilk) (Calories)"/>
    <item val="Interpretation (Calories)"/>
  </itemLst>
</formControlPr>
</file>

<file path=xl/ctrlProps/ctrlProp9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Current Salary"/>
    <item val="Goodness of fit statistics (Current Salary)"/>
    <item val="Analysis of variance (Current Salary)"/>
    <item val="Model parameters (Current Salary)"/>
    <item val="Equation of the model (Current Salary)"/>
    <item val="Standardized coefficients (Current Salary)"/>
    <item val="Predictions and residuals (Current Salary)"/>
    <item val="Test on the normality of the residuals (Shapiro-Wilk) (Current Salary)"/>
    <item val="Interpretation (Current Salary)"/>
  </itemLst>
</formControlPr>
</file>

<file path=xl/ctrlProps/ctrlProp10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Current Salary"/>
    <item val="Goodness of fit statistics (Current Salary)"/>
    <item val="Analysis of variance (Current Salary)"/>
    <item val="Model parameters (Current Salary)"/>
    <item val="Equation of the model (Current Salary)"/>
    <item val="Standardized coefficients (Current Salary)"/>
    <item val="Predictions and residuals (Current Salary)"/>
    <item val="Test on the normality of the residuals (Shapiro-Wilk) (Current Salary)"/>
    <item val="Interpretation (Current Salary)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image" Target="../media/image4.png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chart" Target="../charts/chart10.xml"/><Relationship Id="rId5" Type="http://schemas.openxmlformats.org/officeDocument/2006/relationships/image" Target="../media/image6.png"/><Relationship Id="rId10" Type="http://schemas.openxmlformats.org/officeDocument/2006/relationships/chart" Target="../charts/chart9.xml"/><Relationship Id="rId4" Type="http://schemas.openxmlformats.org/officeDocument/2006/relationships/image" Target="../media/image5.png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16.xml"/><Relationship Id="rId5" Type="http://schemas.openxmlformats.org/officeDocument/2006/relationships/image" Target="../media/image5.png"/><Relationship Id="rId10" Type="http://schemas.openxmlformats.org/officeDocument/2006/relationships/chart" Target="../charts/chart15.xml"/><Relationship Id="rId4" Type="http://schemas.openxmlformats.org/officeDocument/2006/relationships/image" Target="../media/image4.png"/><Relationship Id="rId9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image" Target="../media/image4.png"/><Relationship Id="rId7" Type="http://schemas.openxmlformats.org/officeDocument/2006/relationships/chart" Target="../charts/chart18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chart" Target="../charts/chart22.xml"/><Relationship Id="rId5" Type="http://schemas.openxmlformats.org/officeDocument/2006/relationships/image" Target="../media/image6.png"/><Relationship Id="rId10" Type="http://schemas.openxmlformats.org/officeDocument/2006/relationships/chart" Target="../charts/chart21.xml"/><Relationship Id="rId4" Type="http://schemas.openxmlformats.org/officeDocument/2006/relationships/image" Target="../media/image5.png"/><Relationship Id="rId9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6.xml"/><Relationship Id="rId5" Type="http://schemas.openxmlformats.org/officeDocument/2006/relationships/image" Target="../media/image5.png"/><Relationship Id="rId10" Type="http://schemas.openxmlformats.org/officeDocument/2006/relationships/chart" Target="../charts/chart25.xml"/><Relationship Id="rId4" Type="http://schemas.openxmlformats.org/officeDocument/2006/relationships/image" Target="../media/image4.png"/><Relationship Id="rId9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image" Target="../media/image4.png"/><Relationship Id="rId7" Type="http://schemas.openxmlformats.org/officeDocument/2006/relationships/chart" Target="../charts/chart28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chart" Target="../charts/chart32.xml"/><Relationship Id="rId5" Type="http://schemas.openxmlformats.org/officeDocument/2006/relationships/image" Target="../media/image6.png"/><Relationship Id="rId10" Type="http://schemas.openxmlformats.org/officeDocument/2006/relationships/chart" Target="../charts/chart31.xml"/><Relationship Id="rId4" Type="http://schemas.openxmlformats.org/officeDocument/2006/relationships/image" Target="../media/image5.png"/><Relationship Id="rId9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3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7.xml"/><Relationship Id="rId5" Type="http://schemas.openxmlformats.org/officeDocument/2006/relationships/image" Target="../media/image5.png"/><Relationship Id="rId10" Type="http://schemas.openxmlformats.org/officeDocument/2006/relationships/chart" Target="../charts/chart36.xml"/><Relationship Id="rId4" Type="http://schemas.openxmlformats.org/officeDocument/2006/relationships/image" Target="../media/image4.png"/><Relationship Id="rId9" Type="http://schemas.openxmlformats.org/officeDocument/2006/relationships/chart" Target="../charts/chart3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image" Target="../media/image4.png"/><Relationship Id="rId7" Type="http://schemas.openxmlformats.org/officeDocument/2006/relationships/chart" Target="../charts/chart39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chart" Target="../charts/chart43.xml"/><Relationship Id="rId5" Type="http://schemas.openxmlformats.org/officeDocument/2006/relationships/image" Target="../media/image6.png"/><Relationship Id="rId10" Type="http://schemas.openxmlformats.org/officeDocument/2006/relationships/chart" Target="../charts/chart42.xml"/><Relationship Id="rId4" Type="http://schemas.openxmlformats.org/officeDocument/2006/relationships/image" Target="../media/image5.png"/><Relationship Id="rId9" Type="http://schemas.openxmlformats.org/officeDocument/2006/relationships/chart" Target="../charts/chart4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7.xml"/><Relationship Id="rId5" Type="http://schemas.openxmlformats.org/officeDocument/2006/relationships/image" Target="../media/image5.png"/><Relationship Id="rId10" Type="http://schemas.openxmlformats.org/officeDocument/2006/relationships/chart" Target="../charts/chart46.xml"/><Relationship Id="rId4" Type="http://schemas.openxmlformats.org/officeDocument/2006/relationships/image" Target="../media/image4.png"/><Relationship Id="rId9" Type="http://schemas.openxmlformats.org/officeDocument/2006/relationships/chart" Target="../charts/chart4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3" Type="http://schemas.openxmlformats.org/officeDocument/2006/relationships/image" Target="../media/image4.png"/><Relationship Id="rId7" Type="http://schemas.openxmlformats.org/officeDocument/2006/relationships/chart" Target="../charts/chart49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chart" Target="../charts/chart53.xml"/><Relationship Id="rId5" Type="http://schemas.openxmlformats.org/officeDocument/2006/relationships/image" Target="../media/image6.png"/><Relationship Id="rId10" Type="http://schemas.openxmlformats.org/officeDocument/2006/relationships/chart" Target="../charts/chart52.xml"/><Relationship Id="rId4" Type="http://schemas.openxmlformats.org/officeDocument/2006/relationships/image" Target="../media/image5.png"/><Relationship Id="rId9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893318</xdr:colOff>
      <xdr:row>5</xdr:row>
      <xdr:rowOff>43434</xdr:rowOff>
    </xdr:from>
    <xdr:to>
      <xdr:col>1</xdr:col>
      <xdr:colOff>39878</xdr:colOff>
      <xdr:row>5</xdr:row>
      <xdr:rowOff>386334</xdr:rowOff>
    </xdr:to>
    <xdr:pic macro="AddRemovGrid">
      <xdr:nvPicPr>
        <xdr:cNvPr id="8" name="AD479860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318" y="1034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oneCell">
    <xdr:from>
      <xdr:col>1</xdr:col>
      <xdr:colOff>12700</xdr:colOff>
      <xdr:row>5</xdr:row>
      <xdr:rowOff>0</xdr:rowOff>
    </xdr:from>
    <xdr:to>
      <xdr:col>1</xdr:col>
      <xdr:colOff>38100</xdr:colOff>
      <xdr:row>5</xdr:row>
      <xdr:rowOff>25400</xdr:rowOff>
    </xdr:to>
    <xdr:sp macro="" textlink="">
      <xdr:nvSpPr>
        <xdr:cNvPr id="2" name="TX182486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TextBox_Threshold,TextBox,0.1,False,100000000901_Options|Model,False,Probability for removal:,False,,,
TextBox_MinVar,TextBox,2,True,100000000501_Options|Model,True,Min variables:,False,,,
TextBox_MaxVar,TextBox,2,True,100000000701_Options|Model,True,Max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CheckBox_Predict,CheckBox,0,True,300000000000_Prediction,True,Prediction,False,,,
CheckBox_ObsLabelsPred,CheckBox,0,True,300000000700_Prediction,True,Observation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FileSelect2,CommandButton,,False,300000001000_Prediction,False,,False,,,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CheckBox_PredVarLabels,CheckBox,0,True,300000000900_Prediction,True,Variable labels,False,,,
ScrollBarLevel,SpinButton,2,False,100000020100_Options|Model,False,,,,,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RefEdit_QPred,TextBox0,,True,300000000600_Prediction,True,Qualitative:,False,,,
RefEdit_XPred,TextBox0,,True,300000000400_Prediction,True,Quantitative:,False,,,
RefEdit_PredLabels,TextBox0,,True,300000000800_Prediction,True,,False,,,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RefEdit_Y,TextBox0,'Sheet7'!$D$4:$D$46,True,000000020000_General,True,Y / Dependent variables:,False,,43,1
RefEdit_X,TextBox0,'Sheet7'!$B$4:$C$46,True,000002040000_General,True,X / Explanatory variables:,False,,43,2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RefEdit_R,RefEdit,'Sheet8'!$A$1,True,0306,True,Range:,False,,0,0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5</xdr:row>
      <xdr:rowOff>0</xdr:rowOff>
    </xdr:from>
    <xdr:to>
      <xdr:col>1</xdr:col>
      <xdr:colOff>38100</xdr:colOff>
      <xdr:row>5</xdr:row>
      <xdr:rowOff>25400</xdr:rowOff>
    </xdr:to>
    <xdr:sp macro="" textlink="">
      <xdr:nvSpPr>
        <xdr:cNvPr id="3" name="TX339937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402590</xdr:rowOff>
    </xdr:from>
    <xdr:to>
      <xdr:col>2</xdr:col>
      <xdr:colOff>539750</xdr:colOff>
      <xdr:row>7</xdr:row>
      <xdr:rowOff>188595</xdr:rowOff>
    </xdr:to>
    <xdr:sp macro="" textlink="">
      <xdr:nvSpPr>
        <xdr:cNvPr id="4" name="BK18248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450215</xdr:rowOff>
    </xdr:from>
    <xdr:to>
      <xdr:col>0</xdr:col>
      <xdr:colOff>489162</xdr:colOff>
      <xdr:row>7</xdr:row>
      <xdr:rowOff>158115</xdr:rowOff>
    </xdr:to>
    <xdr:pic macro="[0]!ReRunXLSTAT">
      <xdr:nvPicPr>
        <xdr:cNvPr id="5" name="BT18248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450215</xdr:rowOff>
    </xdr:from>
    <xdr:to>
      <xdr:col>0</xdr:col>
      <xdr:colOff>1012190</xdr:colOff>
      <xdr:row>7</xdr:row>
      <xdr:rowOff>158115</xdr:rowOff>
    </xdr:to>
    <xdr:pic macro="[0]!AddRemovGrid">
      <xdr:nvPicPr>
        <xdr:cNvPr id="6" name="RM18248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450215</xdr:rowOff>
    </xdr:from>
    <xdr:to>
      <xdr:col>0</xdr:col>
      <xdr:colOff>1012190</xdr:colOff>
      <xdr:row>7</xdr:row>
      <xdr:rowOff>158115</xdr:rowOff>
    </xdr:to>
    <xdr:pic macro="[0]!AddRemovGrid">
      <xdr:nvPicPr>
        <xdr:cNvPr id="7" name="AD182486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1149138</xdr:colOff>
      <xdr:row>5</xdr:row>
      <xdr:rowOff>450215</xdr:rowOff>
    </xdr:from>
    <xdr:to>
      <xdr:col>1</xdr:col>
      <xdr:colOff>338878</xdr:colOff>
      <xdr:row>7</xdr:row>
      <xdr:rowOff>158115</xdr:rowOff>
    </xdr:to>
    <xdr:pic macro="[0]!SendToOfficeLocal">
      <xdr:nvPicPr>
        <xdr:cNvPr id="9" name="WD18248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475827</xdr:colOff>
      <xdr:row>5</xdr:row>
      <xdr:rowOff>450215</xdr:rowOff>
    </xdr:from>
    <xdr:to>
      <xdr:col>1</xdr:col>
      <xdr:colOff>861907</xdr:colOff>
      <xdr:row>7</xdr:row>
      <xdr:rowOff>158115</xdr:rowOff>
    </xdr:to>
    <xdr:pic macro="[0]!SendToOfficeLocal">
      <xdr:nvPicPr>
        <xdr:cNvPr id="10" name="PT18248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46355</xdr:colOff>
      <xdr:row>5</xdr:row>
      <xdr:rowOff>450215</xdr:rowOff>
    </xdr:from>
    <xdr:to>
      <xdr:col>2</xdr:col>
      <xdr:colOff>432435</xdr:colOff>
      <xdr:row>7</xdr:row>
      <xdr:rowOff>158115</xdr:rowOff>
    </xdr:to>
    <xdr:pic macro="[0]!getAIAResultsLocal">
      <xdr:nvPicPr>
        <xdr:cNvPr id="11" name="IA33993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4</xdr:col>
      <xdr:colOff>0</xdr:colOff>
      <xdr:row>94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143</xdr:row>
      <xdr:rowOff>1</xdr:rowOff>
    </xdr:from>
    <xdr:to>
      <xdr:col>4</xdr:col>
      <xdr:colOff>0</xdr:colOff>
      <xdr:row>160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127000</xdr:colOff>
      <xdr:row>143</xdr:row>
      <xdr:rowOff>1</xdr:rowOff>
    </xdr:from>
    <xdr:to>
      <xdr:col>9</xdr:col>
      <xdr:colOff>127000</xdr:colOff>
      <xdr:row>160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254000</xdr:colOff>
      <xdr:row>143</xdr:row>
      <xdr:rowOff>1</xdr:rowOff>
    </xdr:from>
    <xdr:to>
      <xdr:col>14</xdr:col>
      <xdr:colOff>490220</xdr:colOff>
      <xdr:row>160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161</xdr:row>
      <xdr:rowOff>198119</xdr:rowOff>
    </xdr:from>
    <xdr:to>
      <xdr:col>4</xdr:col>
      <xdr:colOff>0</xdr:colOff>
      <xdr:row>178</xdr:row>
      <xdr:rowOff>198119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182486" hidden="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1*SEP*Summary statistics*SEP*$A$12
Linear Regression Output 1*SEP*Correlation matrix*SEP*$A$20
Linear Regression Output 1*SEP*Regression of variable Market Value*SEP*$A$28
Linear Regression Output 1*SEP*Goodness of fit statistics (Market Value)*SEP*$A$30
Linear Regression Output 1*SEP*Analysis of variance (Market Value)*SEP*$A$48
Linear Regression Output 1*SEP*Model parameters (Market Value)*SEP*$A$58
Linear Regression Output 1*SEP*Equation of the model (Market Value)*SEP*$A$67
Linear Regression Output 1*SEP*Standardized coefficients (Market Value)*SEP*$A$72
Linear Regression Output 1*SEP*Predictions and residuals (Market Value)*SEP*$A$99
Linear Regression Output 1*SEP*Test on the normality of the residuals (Shapiro-Wilk) (Market Value)*SEP*$A$186
Linear Regression Output 1*SEP*Interpretation (Market Value)*SEP*$A$200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339937" hidden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1*SEP*Summary statistics*SEP*$A$12
Linear Regression Output 1*SEP*Correlation matrix*SEP*$A$20
Linear Regression Output 1*SEP*Regression of variable Market Value*SEP*$A$28
Linear Regression Output 1*SEP*Goodness of fit statistics (Market Value)*SEP*$A$30
Linear Regression Output 1*SEP*Analysis of variance (Market Value)*SEP*$A$48
Linear Regression Output 1*SEP*Model parameters (Market Value)*SEP*$A$58
Linear Regression Output 1*SEP*Equation of the model (Market Value)*SEP*$A$67
Linear Regression Output 1*SEP*Standardized coefficients (Market Value)*SEP*$A$72
Linear Regression Output 1*SEP*Predictions and residuals (Market Value)*SEP*$A$99
Linear Regression Output 1*SEP*Test on the normality of the residuals (Shapiro-Wilk) (Market Value)*SEP*$A$186
Linear Regression Output 1*SEP*Interpretation (Market Value)*SEP*$A$200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3</xdr:col>
          <xdr:colOff>577850</xdr:colOff>
          <xdr:row>7</xdr:row>
          <xdr:rowOff>0</xdr:rowOff>
        </xdr:to>
        <xdr:sp macro="" textlink="">
          <xdr:nvSpPr>
            <xdr:cNvPr id="1025" name="DD287323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0</xdr:rowOff>
    </xdr:from>
    <xdr:to>
      <xdr:col>1</xdr:col>
      <xdr:colOff>38100</xdr:colOff>
      <xdr:row>0</xdr:row>
      <xdr:rowOff>25400</xdr:rowOff>
    </xdr:to>
    <xdr:sp macro="" textlink="">
      <xdr:nvSpPr>
        <xdr:cNvPr id="2" name="TX691784" hidden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RefEdit_Y,TextBox0,'Sheet7'!$D$4:$D$46,True,000000020000_General,True,Y / Dependent variables:,False,,43,1
RefEdit_X,TextBox0,'Sheet7'!$B$4:$C$46,True,000002040000_General,True,X / Explanatory variables:,False,,43,2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RefEdit_R,RefEdit,'Sheet9'!$A$1,True,0306,True,Range:,False,,0,0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691784" hidden="1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2*SEP*Summary statistics*SEP*$A$12
Linear Regression Output 2*SEP*Correlation matrix*SEP*$A$20
Linear Regression Output 2*SEP*Regression of variable Market Value*SEP*$A$28
Linear Regression Output 2*SEP*Goodness of fit statistics (Market Value)*SEP*$A$30
Linear Regression Output 2*SEP*Analysis of variance (Market Value)*SEP*$A$48
Linear Regression Output 2*SEP*Model parameters (Market Value)*SEP*$A$58
Linear Regression Output 2*SEP*Equation of the model (Market Value)*SEP*$A$67
Linear Regression Output 2*SEP*Standardized coefficients (Market Value)*SEP*$A$72
Linear Regression Output 2*SEP*Predictions and residuals (Market Value)*SEP*$A$99
Linear Regression Output 2*SEP*Test on the normality of the residuals (Shapiro-Wilk) (Market Value)*SEP*$A$186
Linear Regression Output 2*SEP*Interpretation (Market Value)*SEP*$A$200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920001" hidden="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2*SEP*Summary statistics*SEP*$A$12
Linear Regression Output 2*SEP*Correlation matrix*SEP*$A$20
Linear Regression Output 2*SEP*Regression of variable Market Value*SEP*$A$28
Linear Regression Output 2*SEP*Goodness of fit statistics (Market Value)*SEP*$A$30
Linear Regression Output 2*SEP*Analysis of variance (Market Value)*SEP*$A$48
Linear Regression Output 2*SEP*Model parameters (Market Value)*SEP*$A$58
Linear Regression Output 2*SEP*Equation of the model (Market Value)*SEP*$A$67
Linear Regression Output 2*SEP*Standardized coefficients (Market Value)*SEP*$A$72
Linear Regression Output 2*SEP*Predictions and residuals (Market Value)*SEP*$A$99
Linear Regression Output 2*SEP*Test on the normality of the residuals (Shapiro-Wilk) (Market Value)*SEP*$A$186
Linear Regression Output 2*SEP*Interpretation (Market Value)*SEP*$A$200</a:t>
          </a:r>
        </a:p>
      </xdr:txBody>
    </xdr:sp>
    <xdr:clientData/>
  </xdr:twoCellAnchor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2" name="TX822400" hidden="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RefEdit_Y,TextBox0,'Sheet7'!$D$4:$D$46,True,000000020000_General,True,Y / Dependent variables:,False,,43,1
RefEdit_X,TextBox0,'Sheet7'!$C$4:$C$46,True,000002040000_General,True,X / Explanatory variables:,False,,43,1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RefEdit_R,RefEdit,'Sheet9'!$A$1,True,0306,True,Range:,False,,0,0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3" name="TX830252" hidden="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120650</xdr:rowOff>
    </xdr:from>
    <xdr:to>
      <xdr:col>2</xdr:col>
      <xdr:colOff>1065530</xdr:colOff>
      <xdr:row>7</xdr:row>
      <xdr:rowOff>188595</xdr:rowOff>
    </xdr:to>
    <xdr:sp macro="" textlink="">
      <xdr:nvSpPr>
        <xdr:cNvPr id="24" name="BK822400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168275</xdr:rowOff>
    </xdr:from>
    <xdr:to>
      <xdr:col>0</xdr:col>
      <xdr:colOff>489162</xdr:colOff>
      <xdr:row>7</xdr:row>
      <xdr:rowOff>158115</xdr:rowOff>
    </xdr:to>
    <xdr:pic macro="[0]!ReRunXLSTAT">
      <xdr:nvPicPr>
        <xdr:cNvPr id="25" name="BT822400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26" name="RM822400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27" name="AD822400" hidden="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168275</xdr:rowOff>
    </xdr:from>
    <xdr:to>
      <xdr:col>1</xdr:col>
      <xdr:colOff>864658</xdr:colOff>
      <xdr:row>7</xdr:row>
      <xdr:rowOff>158115</xdr:rowOff>
    </xdr:to>
    <xdr:pic macro="[0]!SendToOfficeLocal">
      <xdr:nvPicPr>
        <xdr:cNvPr id="28" name="WD822400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49107</xdr:colOff>
      <xdr:row>5</xdr:row>
      <xdr:rowOff>168275</xdr:rowOff>
    </xdr:from>
    <xdr:to>
      <xdr:col>2</xdr:col>
      <xdr:colOff>435187</xdr:colOff>
      <xdr:row>7</xdr:row>
      <xdr:rowOff>158115</xdr:rowOff>
    </xdr:to>
    <xdr:pic macro="[0]!SendToOfficeLocal">
      <xdr:nvPicPr>
        <xdr:cNvPr id="29" name="PT822400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572135</xdr:colOff>
      <xdr:row>5</xdr:row>
      <xdr:rowOff>168275</xdr:rowOff>
    </xdr:from>
    <xdr:to>
      <xdr:col>2</xdr:col>
      <xdr:colOff>958215</xdr:colOff>
      <xdr:row>7</xdr:row>
      <xdr:rowOff>158115</xdr:rowOff>
    </xdr:to>
    <xdr:pic macro="[0]!getAIAResultsLocal">
      <xdr:nvPicPr>
        <xdr:cNvPr id="30" name="IA83025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198119</xdr:rowOff>
    </xdr:from>
    <xdr:to>
      <xdr:col>4</xdr:col>
      <xdr:colOff>0</xdr:colOff>
      <xdr:row>87</xdr:row>
      <xdr:rowOff>198119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136</xdr:row>
      <xdr:rowOff>198119</xdr:rowOff>
    </xdr:from>
    <xdr:to>
      <xdr:col>4</xdr:col>
      <xdr:colOff>0</xdr:colOff>
      <xdr:row>153</xdr:row>
      <xdr:rowOff>198119</xdr:rowOff>
    </xdr:to>
    <xdr:graphicFrame macro="">
      <xdr:nvGraphicFramePr>
        <xdr:cNvPr id="2048" name="Chart 2047">
          <a:extLst>
            <a:ext uri="{FF2B5EF4-FFF2-40B4-BE49-F238E27FC236}">
              <a16:creationId xmlns:a16="http://schemas.microsoft.com/office/drawing/2014/main" id="{00000000-0008-0000-0300-0000000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127000</xdr:colOff>
      <xdr:row>136</xdr:row>
      <xdr:rowOff>198119</xdr:rowOff>
    </xdr:from>
    <xdr:to>
      <xdr:col>9</xdr:col>
      <xdr:colOff>134620</xdr:colOff>
      <xdr:row>153</xdr:row>
      <xdr:rowOff>198119</xdr:rowOff>
    </xdr:to>
    <xdr:graphicFrame macro="">
      <xdr:nvGraphicFramePr>
        <xdr:cNvPr id="2050" name="Chart 2049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156</xdr:row>
      <xdr:rowOff>1</xdr:rowOff>
    </xdr:from>
    <xdr:to>
      <xdr:col>4</xdr:col>
      <xdr:colOff>0</xdr:colOff>
      <xdr:row>173</xdr:row>
      <xdr:rowOff>1</xdr:rowOff>
    </xdr:to>
    <xdr:graphicFrame macro="">
      <xdr:nvGraphicFramePr>
        <xdr:cNvPr id="2051" name="Chart 2050">
          <a:extLst>
            <a:ext uri="{FF2B5EF4-FFF2-40B4-BE49-F238E27FC236}">
              <a16:creationId xmlns:a16="http://schemas.microsoft.com/office/drawing/2014/main" id="{00000000-0008-0000-0300-0000030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127000</xdr:colOff>
      <xdr:row>156</xdr:row>
      <xdr:rowOff>1</xdr:rowOff>
    </xdr:from>
    <xdr:to>
      <xdr:col>9</xdr:col>
      <xdr:colOff>134620</xdr:colOff>
      <xdr:row>173</xdr:row>
      <xdr:rowOff>1</xdr:rowOff>
    </xdr:to>
    <xdr:graphicFrame macro="">
      <xdr:nvGraphicFramePr>
        <xdr:cNvPr id="2052" name="Chart 2051">
          <a:extLst>
            <a:ext uri="{FF2B5EF4-FFF2-40B4-BE49-F238E27FC236}">
              <a16:creationId xmlns:a16="http://schemas.microsoft.com/office/drawing/2014/main" id="{00000000-0008-0000-0300-0000040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261620</xdr:colOff>
      <xdr:row>156</xdr:row>
      <xdr:rowOff>1</xdr:rowOff>
    </xdr:from>
    <xdr:to>
      <xdr:col>14</xdr:col>
      <xdr:colOff>452120</xdr:colOff>
      <xdr:row>173</xdr:row>
      <xdr:rowOff>1</xdr:rowOff>
    </xdr:to>
    <xdr:graphicFrame macro="">
      <xdr:nvGraphicFramePr>
        <xdr:cNvPr id="2053" name="Chart 2052">
          <a:extLst>
            <a:ext uri="{FF2B5EF4-FFF2-40B4-BE49-F238E27FC236}">
              <a16:creationId xmlns:a16="http://schemas.microsoft.com/office/drawing/2014/main" id="{00000000-0008-0000-0300-0000050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174</xdr:row>
      <xdr:rowOff>198119</xdr:rowOff>
    </xdr:from>
    <xdr:to>
      <xdr:col>4</xdr:col>
      <xdr:colOff>0</xdr:colOff>
      <xdr:row>191</xdr:row>
      <xdr:rowOff>198119</xdr:rowOff>
    </xdr:to>
    <xdr:graphicFrame macro="">
      <xdr:nvGraphicFramePr>
        <xdr:cNvPr id="2054" name="Chart 2053">
          <a:extLst>
            <a:ext uri="{FF2B5EF4-FFF2-40B4-BE49-F238E27FC236}">
              <a16:creationId xmlns:a16="http://schemas.microsoft.com/office/drawing/2014/main" id="{00000000-0008-0000-0300-0000060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57" name="XP822400" hidden="1">
          <a:extLst>
            <a:ext uri="{FF2B5EF4-FFF2-40B4-BE49-F238E27FC236}">
              <a16:creationId xmlns:a16="http://schemas.microsoft.com/office/drawing/2014/main" id="{00000000-0008-0000-0300-00000908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2*SEP*Summary statistics*SEP*$A$12
Linear Regression Output 2*SEP*Correlation matrix*SEP*$A$19
Linear Regression Output 2*SEP*Regression of variable Market Value*SEP*$A$26
Linear Regression Output 2*SEP*Goodness of fit statistics (Market Value)*SEP*$A$28
Linear Regression Output 2*SEP*Analysis of variance (Market Value)*SEP*$A$46
Linear Regression Output 2*SEP*Model parameters (Market Value)*SEP*$A$56
Linear Regression Output 2*SEP*Equation of the model (Market Value)*SEP*$A$64
Linear Regression Output 2*SEP*Standardized coefficients (Market Value)*SEP*$A$69
Linear Regression Output 2*SEP*Predictions and residuals (Market Value)*SEP*$A$95
Linear Regression Output 2*SEP*Test on the normality of the residuals (Shapiro-Wilk) (Market Value)*SEP*$A$201
Linear Regression Output 2*SEP*Interpretation (Market Value)*SEP*$A$215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58" name="XP830252" hidden="1">
          <a:extLst>
            <a:ext uri="{FF2B5EF4-FFF2-40B4-BE49-F238E27FC236}">
              <a16:creationId xmlns:a16="http://schemas.microsoft.com/office/drawing/2014/main" id="{00000000-0008-0000-0300-00000A08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2*SEP*Summary statistics*SEP*$A$12
Linear Regression Output 2*SEP*Correlation matrix*SEP*$A$19
Linear Regression Output 2*SEP*Regression of variable Market Value*SEP*$A$26
Linear Regression Output 2*SEP*Goodness of fit statistics (Market Value)*SEP*$A$28
Linear Regression Output 2*SEP*Analysis of variance (Market Value)*SEP*$A$46
Linear Regression Output 2*SEP*Model parameters (Market Value)*SEP*$A$56
Linear Regression Output 2*SEP*Equation of the model (Market Value)*SEP*$A$64
Linear Regression Output 2*SEP*Standardized coefficients (Market Value)*SEP*$A$69
Linear Regression Output 2*SEP*Predictions and residuals (Market Value)*SEP*$A$95
Linear Regression Output 2*SEP*Test on the normality of the residuals (Shapiro-Wilk) (Market Value)*SEP*$A$201
Linear Regression Output 2*SEP*Interpretation (Market Value)*SEP*$A$215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3" name="DD701205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222758</xdr:colOff>
      <xdr:row>5</xdr:row>
      <xdr:rowOff>43434</xdr:rowOff>
    </xdr:from>
    <xdr:to>
      <xdr:col>1</xdr:col>
      <xdr:colOff>565658</xdr:colOff>
      <xdr:row>5</xdr:row>
      <xdr:rowOff>386334</xdr:rowOff>
    </xdr:to>
    <xdr:pic macro="AddRemovGrid">
      <xdr:nvPicPr>
        <xdr:cNvPr id="8" name="AD852657" hidden="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318" y="1034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oneCell">
    <xdr:from>
      <xdr:col>1</xdr:col>
      <xdr:colOff>12700</xdr:colOff>
      <xdr:row>5</xdr:row>
      <xdr:rowOff>0</xdr:rowOff>
    </xdr:from>
    <xdr:to>
      <xdr:col>1</xdr:col>
      <xdr:colOff>38100</xdr:colOff>
      <xdr:row>5</xdr:row>
      <xdr:rowOff>25400</xdr:rowOff>
    </xdr:to>
    <xdr:sp macro="" textlink="">
      <xdr:nvSpPr>
        <xdr:cNvPr id="2" name="TX655056" hidden="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RefEdit_Y,TextBox0,'Sheet11'!$B$4:$B$29,True,000000020000_General,True,Y / Dependent variables:,False,,26,1
RefEdit_X,TextBox0,'Sheet11'!$C$4:$G$29,True,000002040000_General,True,X / Explanatory variables:,False,,26,3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RefEdit_R,RefEdit,'Sheet12'!$A$1,True,0306,True,Range:,False,,0,0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5</xdr:row>
      <xdr:rowOff>0</xdr:rowOff>
    </xdr:from>
    <xdr:to>
      <xdr:col>1</xdr:col>
      <xdr:colOff>38100</xdr:colOff>
      <xdr:row>5</xdr:row>
      <xdr:rowOff>25400</xdr:rowOff>
    </xdr:to>
    <xdr:sp macro="" textlink="">
      <xdr:nvSpPr>
        <xdr:cNvPr id="3" name="TX669048" hidden="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402590</xdr:rowOff>
    </xdr:from>
    <xdr:to>
      <xdr:col>3</xdr:col>
      <xdr:colOff>36830</xdr:colOff>
      <xdr:row>7</xdr:row>
      <xdr:rowOff>188595</xdr:rowOff>
    </xdr:to>
    <xdr:sp macro="" textlink="">
      <xdr:nvSpPr>
        <xdr:cNvPr id="4" name="BK655056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450215</xdr:rowOff>
    </xdr:from>
    <xdr:to>
      <xdr:col>0</xdr:col>
      <xdr:colOff>489162</xdr:colOff>
      <xdr:row>7</xdr:row>
      <xdr:rowOff>158115</xdr:rowOff>
    </xdr:to>
    <xdr:pic macro="[0]!ReRunXLSTAT">
      <xdr:nvPicPr>
        <xdr:cNvPr id="5" name="BT65505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450215</xdr:rowOff>
    </xdr:from>
    <xdr:to>
      <xdr:col>1</xdr:col>
      <xdr:colOff>341630</xdr:colOff>
      <xdr:row>7</xdr:row>
      <xdr:rowOff>158115</xdr:rowOff>
    </xdr:to>
    <xdr:pic macro="[0]!AddRemovGrid">
      <xdr:nvPicPr>
        <xdr:cNvPr id="6" name="RM65505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450215</xdr:rowOff>
    </xdr:from>
    <xdr:to>
      <xdr:col>1</xdr:col>
      <xdr:colOff>341630</xdr:colOff>
      <xdr:row>7</xdr:row>
      <xdr:rowOff>158115</xdr:rowOff>
    </xdr:to>
    <xdr:pic macro="[0]!AddRemovGrid">
      <xdr:nvPicPr>
        <xdr:cNvPr id="7" name="AD655056" hidden="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450215</xdr:rowOff>
    </xdr:from>
    <xdr:to>
      <xdr:col>1</xdr:col>
      <xdr:colOff>864658</xdr:colOff>
      <xdr:row>7</xdr:row>
      <xdr:rowOff>158115</xdr:rowOff>
    </xdr:to>
    <xdr:pic macro="[0]!SendToOfficeLocal">
      <xdr:nvPicPr>
        <xdr:cNvPr id="9" name="WD655056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125307</xdr:colOff>
      <xdr:row>5</xdr:row>
      <xdr:rowOff>450215</xdr:rowOff>
    </xdr:from>
    <xdr:to>
      <xdr:col>2</xdr:col>
      <xdr:colOff>511387</xdr:colOff>
      <xdr:row>7</xdr:row>
      <xdr:rowOff>158115</xdr:rowOff>
    </xdr:to>
    <xdr:pic macro="[0]!SendToOfficeLocal">
      <xdr:nvPicPr>
        <xdr:cNvPr id="10" name="PT655056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648335</xdr:colOff>
      <xdr:row>5</xdr:row>
      <xdr:rowOff>450215</xdr:rowOff>
    </xdr:from>
    <xdr:to>
      <xdr:col>2</xdr:col>
      <xdr:colOff>1034415</xdr:colOff>
      <xdr:row>7</xdr:row>
      <xdr:rowOff>158115</xdr:rowOff>
    </xdr:to>
    <xdr:pic macro="[0]!getAIAResultsLocal">
      <xdr:nvPicPr>
        <xdr:cNvPr id="11" name="IA669048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1</xdr:rowOff>
    </xdr:from>
    <xdr:to>
      <xdr:col>4</xdr:col>
      <xdr:colOff>0</xdr:colOff>
      <xdr:row>106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138</xdr:row>
      <xdr:rowOff>1</xdr:rowOff>
    </xdr:from>
    <xdr:to>
      <xdr:col>4</xdr:col>
      <xdr:colOff>0</xdr:colOff>
      <xdr:row>155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127000</xdr:colOff>
      <xdr:row>138</xdr:row>
      <xdr:rowOff>1</xdr:rowOff>
    </xdr:from>
    <xdr:to>
      <xdr:col>9</xdr:col>
      <xdr:colOff>50800</xdr:colOff>
      <xdr:row>155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177800</xdr:colOff>
      <xdr:row>138</xdr:row>
      <xdr:rowOff>1</xdr:rowOff>
    </xdr:from>
    <xdr:to>
      <xdr:col>14</xdr:col>
      <xdr:colOff>337820</xdr:colOff>
      <xdr:row>155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156</xdr:row>
      <xdr:rowOff>198119</xdr:rowOff>
    </xdr:from>
    <xdr:to>
      <xdr:col>4</xdr:col>
      <xdr:colOff>0</xdr:colOff>
      <xdr:row>173</xdr:row>
      <xdr:rowOff>198119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655056" hidden="1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3*SEP*Summary statistics*SEP*$A$12
Linear Regression Output 3*SEP*Correlation matrix*SEP*$A$23
Linear Regression Output 3*SEP*Regression of variable Comparative Salary*SEP*$A$34
Linear Regression Output 3*SEP*Goodness of fit statistics (Comparative Salary)*SEP*$A$36
Linear Regression Output 3*SEP*Analysis of variance (Comparative Salary)*SEP*$A$54
Linear Regression Output 3*SEP*Model parameters (Comparative Salary)*SEP*$A$64
Linear Regression Output 3*SEP*Equation of the model (Comparative Salary)*SEP*$A$76
Linear Regression Output 3*SEP*Standardized coefficients (Comparative Salary)*SEP*$A$81
Linear Regression Output 3*SEP*Predictions and residuals (Comparative Salary)*SEP*$A$111
Linear Regression Output 3*SEP*Test on the normality of the residuals (Shapiro-Wilk) (Comparative Salary)*SEP*$A$181
Linear Regression Output 3*SEP*Interpretation (Comparative Salary)*SEP*$A$193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669048" hidden="1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3*SEP*Summary statistics*SEP*$A$12
Linear Regression Output 3*SEP*Correlation matrix*SEP*$A$23
Linear Regression Output 3*SEP*Regression of variable Comparative Salary*SEP*$A$34
Linear Regression Output 3*SEP*Goodness of fit statistics (Comparative Salary)*SEP*$A$36
Linear Regression Output 3*SEP*Analysis of variance (Comparative Salary)*SEP*$A$54
Linear Regression Output 3*SEP*Model parameters (Comparative Salary)*SEP*$A$64
Linear Regression Output 3*SEP*Equation of the model (Comparative Salary)*SEP*$A$76
Linear Regression Output 3*SEP*Standardized coefficients (Comparative Salary)*SEP*$A$81
Linear Regression Output 3*SEP*Predictions and residuals (Comparative Salary)*SEP*$A$111
Linear Regression Output 3*SEP*Test on the normality of the residuals (Shapiro-Wilk) (Comparative Salary)*SEP*$A$181
Linear Regression Output 3*SEP*Interpretation (Comparative Salary)*SEP*$A$193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3073" name="DD199948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7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0</xdr:rowOff>
    </xdr:from>
    <xdr:to>
      <xdr:col>1</xdr:col>
      <xdr:colOff>38100</xdr:colOff>
      <xdr:row>0</xdr:row>
      <xdr:rowOff>25400</xdr:rowOff>
    </xdr:to>
    <xdr:sp macro="" textlink="">
      <xdr:nvSpPr>
        <xdr:cNvPr id="2" name="TX344556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RefEdit_Y,TextBox0,'Sheet11'!$B$4:$B$29,True,000000020000_General,True,Y / Dependent variables:,False,,26,1
RefEdit_X,TextBox0,'Sheet11'!$C$4:$G$29,True,000002040000_General,True,X / Explanatory variables:,False,,26,5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RefEdit_R,RefEdit,'Sheet14'!$A$1,True,0306,True,Range:,False,,0,0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344556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4*SEP*Summary statistics*SEP*$A$12
Linear Regression Output 4*SEP*Correlation matrix*SEP*$A$23
Linear Regression Output 4*SEP*Regression of variable Comparative Salary*SEP*$A$34
Linear Regression Output 4*SEP*Goodness of fit statistics (Comparative Salary)*SEP*$A$36
Linear Regression Output 4*SEP*Analysis of variance (Comparative Salary)*SEP*$A$54
Linear Regression Output 4*SEP*Model parameters (Comparative Salary)*SEP*$A$64
Linear Regression Output 4*SEP*Equation of the model (Comparative Salary)*SEP*$A$76
Linear Regression Output 4*SEP*Standardized coefficients (Comparative Salary)*SEP*$A$81
Linear Regression Output 4*SEP*Predictions and residuals (Comparative Salary)*SEP*$A$111
Linear Regression Output 4*SEP*Test on the normality of the residuals (Shapiro-Wilk) (Comparative Salary)*SEP*$A$181
Linear Regression Output 4*SEP*Interpretation (Comparative Salary)*SEP*$A$193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195212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4*SEP*Summary statistics*SEP*$A$12
Linear Regression Output 4*SEP*Correlation matrix*SEP*$A$23
Linear Regression Output 4*SEP*Regression of variable Comparative Salary*SEP*$A$34
Linear Regression Output 4*SEP*Goodness of fit statistics (Comparative Salary)*SEP*$A$36
Linear Regression Output 4*SEP*Analysis of variance (Comparative Salary)*SEP*$A$54
Linear Regression Output 4*SEP*Model parameters (Comparative Salary)*SEP*$A$64
Linear Regression Output 4*SEP*Equation of the model (Comparative Salary)*SEP*$A$76
Linear Regression Output 4*SEP*Standardized coefficients (Comparative Salary)*SEP*$A$81
Linear Regression Output 4*SEP*Predictions and residuals (Comparative Salary)*SEP*$A$111
Linear Regression Output 4*SEP*Test on the normality of the residuals (Shapiro-Wilk) (Comparative Salary)*SEP*$A$181
Linear Regression Output 4*SEP*Interpretation (Comparative Salary)*SEP*$A$193</a:t>
          </a:r>
        </a:p>
      </xdr:txBody>
    </xdr:sp>
    <xdr:clientData/>
  </xdr:twoCellAnchor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8" name="TX66065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RefEdit_Y,TextBox0,'Sheet11'!$B$4:$B$29,True,000000020000_General,True,Y / Dependent variables:,False,,26,1
RefEdit_X,TextBox0,'Sheet11'!$C$4:$C$29&lt;LS&gt;'Sheet11'!$D$4:$D$29&lt;LS&gt;'Sheet11'!$E$4:$E$29&lt;LS&gt;'Sheet11'!$G$4:$G$29,True,000002040000_General,True,X / Explanatory variables:,False,,26,4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RefEdit_R,RefEdit,'Sheet14'!$A$1,True,0306,True,Range:,False,,0,0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17" name="TX286613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120650</xdr:rowOff>
    </xdr:from>
    <xdr:to>
      <xdr:col>3</xdr:col>
      <xdr:colOff>36830</xdr:colOff>
      <xdr:row>7</xdr:row>
      <xdr:rowOff>188595</xdr:rowOff>
    </xdr:to>
    <xdr:sp macro="" textlink="">
      <xdr:nvSpPr>
        <xdr:cNvPr id="18" name="BK66065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168275</xdr:rowOff>
    </xdr:from>
    <xdr:to>
      <xdr:col>0</xdr:col>
      <xdr:colOff>489162</xdr:colOff>
      <xdr:row>7</xdr:row>
      <xdr:rowOff>158115</xdr:rowOff>
    </xdr:to>
    <xdr:pic macro="[0]!ReRunXLSTAT">
      <xdr:nvPicPr>
        <xdr:cNvPr id="21" name="BT66065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22" name="RM66065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23" name="AD66065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168275</xdr:rowOff>
    </xdr:from>
    <xdr:to>
      <xdr:col>1</xdr:col>
      <xdr:colOff>864658</xdr:colOff>
      <xdr:row>7</xdr:row>
      <xdr:rowOff>158115</xdr:rowOff>
    </xdr:to>
    <xdr:pic macro="[0]!SendToOfficeLocal">
      <xdr:nvPicPr>
        <xdr:cNvPr id="24" name="WD66065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125307</xdr:colOff>
      <xdr:row>5</xdr:row>
      <xdr:rowOff>168275</xdr:rowOff>
    </xdr:from>
    <xdr:to>
      <xdr:col>2</xdr:col>
      <xdr:colOff>511387</xdr:colOff>
      <xdr:row>7</xdr:row>
      <xdr:rowOff>158115</xdr:rowOff>
    </xdr:to>
    <xdr:pic macro="[0]!SendToOfficeLocal">
      <xdr:nvPicPr>
        <xdr:cNvPr id="25" name="PT66065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648335</xdr:colOff>
      <xdr:row>5</xdr:row>
      <xdr:rowOff>168275</xdr:rowOff>
    </xdr:from>
    <xdr:to>
      <xdr:col>2</xdr:col>
      <xdr:colOff>1034415</xdr:colOff>
      <xdr:row>7</xdr:row>
      <xdr:rowOff>158115</xdr:rowOff>
    </xdr:to>
    <xdr:pic macro="[0]!getAIAResultsLocal">
      <xdr:nvPicPr>
        <xdr:cNvPr id="26" name="IA28661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4</xdr:col>
      <xdr:colOff>0</xdr:colOff>
      <xdr:row>100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131</xdr:row>
      <xdr:rowOff>198119</xdr:rowOff>
    </xdr:from>
    <xdr:to>
      <xdr:col>4</xdr:col>
      <xdr:colOff>0</xdr:colOff>
      <xdr:row>148</xdr:row>
      <xdr:rowOff>198119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127000</xdr:colOff>
      <xdr:row>131</xdr:row>
      <xdr:rowOff>198119</xdr:rowOff>
    </xdr:from>
    <xdr:to>
      <xdr:col>9</xdr:col>
      <xdr:colOff>50800</xdr:colOff>
      <xdr:row>148</xdr:row>
      <xdr:rowOff>198119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177800</xdr:colOff>
      <xdr:row>131</xdr:row>
      <xdr:rowOff>198119</xdr:rowOff>
    </xdr:from>
    <xdr:to>
      <xdr:col>14</xdr:col>
      <xdr:colOff>337820</xdr:colOff>
      <xdr:row>148</xdr:row>
      <xdr:rowOff>198119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151</xdr:row>
      <xdr:rowOff>1</xdr:rowOff>
    </xdr:from>
    <xdr:to>
      <xdr:col>4</xdr:col>
      <xdr:colOff>0</xdr:colOff>
      <xdr:row>168</xdr:row>
      <xdr:rowOff>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4099" name="XP660651" hidden="1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4*SEP*Summary statistics*SEP*$A$12
Linear Regression Output 4*SEP*Correlation matrix*SEP*$A$22
Linear Regression Output 4*SEP*Regression of variable Comparative Salary*SEP*$A$32
Linear Regression Output 4*SEP*Goodness of fit statistics (Comparative Salary)*SEP*$A$34
Linear Regression Output 4*SEP*Analysis of variance (Comparative Salary)*SEP*$A$52
Linear Regression Output 4*SEP*Model parameters (Comparative Salary)*SEP*$A$62
Linear Regression Output 4*SEP*Equation of the model (Comparative Salary)*SEP*$A$73
Linear Regression Output 4*SEP*Standardized coefficients (Comparative Salary)*SEP*$A$78
Linear Regression Output 4*SEP*Predictions and residuals (Comparative Salary)*SEP*$A$107
Linear Regression Output 4*SEP*Test on the normality of the residuals (Shapiro-Wilk) (Comparative Salary)*SEP*$A$177
Linear Regression Output 4*SEP*Interpretation (Comparative Salary)*SEP*$A$189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4100" name="XP286613" hidden="1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4*SEP*Summary statistics*SEP*$A$12
Linear Regression Output 4*SEP*Correlation matrix*SEP*$A$22
Linear Regression Output 4*SEP*Regression of variable Comparative Salary*SEP*$A$32
Linear Regression Output 4*SEP*Goodness of fit statistics (Comparative Salary)*SEP*$A$34
Linear Regression Output 4*SEP*Analysis of variance (Comparative Salary)*SEP*$A$52
Linear Regression Output 4*SEP*Model parameters (Comparative Salary)*SEP*$A$62
Linear Regression Output 4*SEP*Equation of the model (Comparative Salary)*SEP*$A$73
Linear Regression Output 4*SEP*Standardized coefficients (Comparative Salary)*SEP*$A$78
Linear Regression Output 4*SEP*Predictions and residuals (Comparative Salary)*SEP*$A$107
Linear Regression Output 4*SEP*Test on the normality of the residuals (Shapiro-Wilk) (Comparative Salary)*SEP*$A$177
Linear Regression Output 4*SEP*Interpretation (Comparative Salary)*SEP*$A$189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4098" name="DD35144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9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222758</xdr:colOff>
      <xdr:row>3</xdr:row>
      <xdr:rowOff>439674</xdr:rowOff>
    </xdr:from>
    <xdr:to>
      <xdr:col>1</xdr:col>
      <xdr:colOff>565658</xdr:colOff>
      <xdr:row>5</xdr:row>
      <xdr:rowOff>104394</xdr:rowOff>
    </xdr:to>
    <xdr:pic macro="AddRemovGrid">
      <xdr:nvPicPr>
        <xdr:cNvPr id="8" name="AD959500" hidden="1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318" y="1034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547286" hidden="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RefEdit_Y,TextBox0,'Sheet1'!$J$1:$J$33,True,000000020000_General,True,Y / Dependent variables:,False,,24,1
RefEdit_X,TextBox0,'Sheet1'!$B$1:$I$33,True,000002040000_General,True,X / Explanatory variables:,False,,26,6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RefEdit_R,RefEdit,'Sheet2'!$A$1,True,0306,True,Range:,False,,0,0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541283" hidden="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120650</xdr:rowOff>
    </xdr:from>
    <xdr:to>
      <xdr:col>4</xdr:col>
      <xdr:colOff>6350</xdr:colOff>
      <xdr:row>7</xdr:row>
      <xdr:rowOff>188595</xdr:rowOff>
    </xdr:to>
    <xdr:sp macro="" textlink="">
      <xdr:nvSpPr>
        <xdr:cNvPr id="4" name="BK547286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168275</xdr:rowOff>
    </xdr:from>
    <xdr:to>
      <xdr:col>0</xdr:col>
      <xdr:colOff>489162</xdr:colOff>
      <xdr:row>7</xdr:row>
      <xdr:rowOff>158115</xdr:rowOff>
    </xdr:to>
    <xdr:pic macro="[0]!ReRunXLSTAT">
      <xdr:nvPicPr>
        <xdr:cNvPr id="5" name="BT547286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6" name="RM547286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7" name="AD547286" hidden="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168275</xdr:rowOff>
    </xdr:from>
    <xdr:to>
      <xdr:col>2</xdr:col>
      <xdr:colOff>194098</xdr:colOff>
      <xdr:row>7</xdr:row>
      <xdr:rowOff>158115</xdr:rowOff>
    </xdr:to>
    <xdr:pic macro="[0]!SendToOfficeLocal">
      <xdr:nvPicPr>
        <xdr:cNvPr id="9" name="WD54728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331047</xdr:colOff>
      <xdr:row>5</xdr:row>
      <xdr:rowOff>168275</xdr:rowOff>
    </xdr:from>
    <xdr:to>
      <xdr:col>3</xdr:col>
      <xdr:colOff>46567</xdr:colOff>
      <xdr:row>7</xdr:row>
      <xdr:rowOff>158115</xdr:rowOff>
    </xdr:to>
    <xdr:pic macro="[0]!SendToOfficeLocal">
      <xdr:nvPicPr>
        <xdr:cNvPr id="10" name="PT547286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183515</xdr:colOff>
      <xdr:row>5</xdr:row>
      <xdr:rowOff>168275</xdr:rowOff>
    </xdr:from>
    <xdr:to>
      <xdr:col>3</xdr:col>
      <xdr:colOff>569595</xdr:colOff>
      <xdr:row>7</xdr:row>
      <xdr:rowOff>158115</xdr:rowOff>
    </xdr:to>
    <xdr:pic macro="[0]!getAIAResultsLocal">
      <xdr:nvPicPr>
        <xdr:cNvPr id="11" name="IA54128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6</xdr:col>
      <xdr:colOff>0</xdr:colOff>
      <xdr:row>116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155</xdr:row>
      <xdr:rowOff>1</xdr:rowOff>
    </xdr:from>
    <xdr:to>
      <xdr:col>6</xdr:col>
      <xdr:colOff>0</xdr:colOff>
      <xdr:row>172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127000</xdr:colOff>
      <xdr:row>155</xdr:row>
      <xdr:rowOff>1</xdr:rowOff>
    </xdr:from>
    <xdr:to>
      <xdr:col>12</xdr:col>
      <xdr:colOff>127000</xdr:colOff>
      <xdr:row>172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254000</xdr:colOff>
      <xdr:row>155</xdr:row>
      <xdr:rowOff>1</xdr:rowOff>
    </xdr:from>
    <xdr:to>
      <xdr:col>18</xdr:col>
      <xdr:colOff>254000</xdr:colOff>
      <xdr:row>172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173</xdr:row>
      <xdr:rowOff>198119</xdr:rowOff>
    </xdr:from>
    <xdr:to>
      <xdr:col>6</xdr:col>
      <xdr:colOff>0</xdr:colOff>
      <xdr:row>190</xdr:row>
      <xdr:rowOff>198119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547286" hidden="1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5*SEP*Summary statistics*SEP*$A$12
Linear Regression Output 5*SEP*Correlation matrix*SEP*$A$26
Linear Regression Output 5*SEP*Regression of variable Satisfaction*SEP*$A$40
Linear Regression Output 5*SEP*Goodness of fit statistics (Satisfaction)*SEP*$A$42
Linear Regression Output 5*SEP*Analysis of variance (Satisfaction)*SEP*$A$60
Linear Regression Output 5*SEP*Model parameters (Satisfaction)*SEP*$A$70
Linear Regression Output 5*SEP*Equation of the model (Satisfaction)*SEP*$A$85
Linear Regression Output 5*SEP*Standardized coefficients (Satisfaction)*SEP*$A$90
Linear Regression Output 5*SEP*Predictions and residuals (Satisfaction)*SEP*$A$123
Linear Regression Output 5*SEP*Test on the normality of the residuals (Shapiro-Wilk) (Satisfaction)*SEP*$A$200
Linear Regression Output 5*SEP*Interpretation (Satisfaction)*SEP*$A$214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541283" hidden="1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5*SEP*Summary statistics*SEP*$A$12
Linear Regression Output 5*SEP*Correlation matrix*SEP*$A$26
Linear Regression Output 5*SEP*Regression of variable Satisfaction*SEP*$A$40
Linear Regression Output 5*SEP*Goodness of fit statistics (Satisfaction)*SEP*$A$42
Linear Regression Output 5*SEP*Analysis of variance (Satisfaction)*SEP*$A$60
Linear Regression Output 5*SEP*Model parameters (Satisfaction)*SEP*$A$70
Linear Regression Output 5*SEP*Equation of the model (Satisfaction)*SEP*$A$85
Linear Regression Output 5*SEP*Standardized coefficients (Satisfaction)*SEP*$A$90
Linear Regression Output 5*SEP*Predictions and residuals (Satisfaction)*SEP*$A$123
Linear Regression Output 5*SEP*Test on the normality of the residuals (Shapiro-Wilk) (Satisfaction)*SEP*$A$200
Linear Regression Output 5*SEP*Interpretation (Satisfaction)*SEP*$A$214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5</xdr:col>
          <xdr:colOff>12700</xdr:colOff>
          <xdr:row>5</xdr:row>
          <xdr:rowOff>0</xdr:rowOff>
        </xdr:to>
        <xdr:sp macro="" textlink="">
          <xdr:nvSpPr>
            <xdr:cNvPr id="5121" name="DD761674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D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608936" hidden="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RefEdit_Y,TextBox0,'Sheet1'!$J$4:$J$36,True,000000020000_General,True,Y / Dependent variables:,False,,24,1
RefEdit_X,TextBox0,'Sheet1'!$C$4:$C$36&lt;LS&gt;'Sheet1'!$F$4:$F$36,True,000002040000_General,True,X / Explanatory variables:,False,,26,2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RefEdit_R,RefEdit,'Sheet3'!$A$1,True,0306,True,Range:,False,,0,0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980023" hidden="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120650</xdr:rowOff>
    </xdr:from>
    <xdr:to>
      <xdr:col>4</xdr:col>
      <xdr:colOff>6350</xdr:colOff>
      <xdr:row>7</xdr:row>
      <xdr:rowOff>188595</xdr:rowOff>
    </xdr:to>
    <xdr:sp macro="" textlink="">
      <xdr:nvSpPr>
        <xdr:cNvPr id="4" name="BK608936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168275</xdr:rowOff>
    </xdr:from>
    <xdr:to>
      <xdr:col>0</xdr:col>
      <xdr:colOff>489162</xdr:colOff>
      <xdr:row>7</xdr:row>
      <xdr:rowOff>158115</xdr:rowOff>
    </xdr:to>
    <xdr:pic macro="[0]!ReRunXLSTAT">
      <xdr:nvPicPr>
        <xdr:cNvPr id="5" name="BT608936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6" name="RM608936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7" name="AD608936" hidden="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168275</xdr:rowOff>
    </xdr:from>
    <xdr:to>
      <xdr:col>2</xdr:col>
      <xdr:colOff>194098</xdr:colOff>
      <xdr:row>7</xdr:row>
      <xdr:rowOff>158115</xdr:rowOff>
    </xdr:to>
    <xdr:pic macro="[0]!SendToOfficeLocal">
      <xdr:nvPicPr>
        <xdr:cNvPr id="9" name="WD608936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331047</xdr:colOff>
      <xdr:row>5</xdr:row>
      <xdr:rowOff>168275</xdr:rowOff>
    </xdr:from>
    <xdr:to>
      <xdr:col>3</xdr:col>
      <xdr:colOff>46567</xdr:colOff>
      <xdr:row>7</xdr:row>
      <xdr:rowOff>158115</xdr:rowOff>
    </xdr:to>
    <xdr:pic macro="[0]!SendToOfficeLocal">
      <xdr:nvPicPr>
        <xdr:cNvPr id="10" name="PT608936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183515</xdr:colOff>
      <xdr:row>5</xdr:row>
      <xdr:rowOff>168275</xdr:rowOff>
    </xdr:from>
    <xdr:to>
      <xdr:col>3</xdr:col>
      <xdr:colOff>569595</xdr:colOff>
      <xdr:row>7</xdr:row>
      <xdr:rowOff>158115</xdr:rowOff>
    </xdr:to>
    <xdr:pic macro="[0]!getAIAResultsLocal">
      <xdr:nvPicPr>
        <xdr:cNvPr id="11" name="IA980023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6</xdr:col>
      <xdr:colOff>0</xdr:colOff>
      <xdr:row>92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131</xdr:row>
      <xdr:rowOff>1</xdr:rowOff>
    </xdr:from>
    <xdr:to>
      <xdr:col>6</xdr:col>
      <xdr:colOff>0</xdr:colOff>
      <xdr:row>148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127000</xdr:colOff>
      <xdr:row>131</xdr:row>
      <xdr:rowOff>1</xdr:rowOff>
    </xdr:from>
    <xdr:to>
      <xdr:col>12</xdr:col>
      <xdr:colOff>127000</xdr:colOff>
      <xdr:row>148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254000</xdr:colOff>
      <xdr:row>131</xdr:row>
      <xdr:rowOff>1</xdr:rowOff>
    </xdr:from>
    <xdr:to>
      <xdr:col>18</xdr:col>
      <xdr:colOff>254000</xdr:colOff>
      <xdr:row>148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149</xdr:row>
      <xdr:rowOff>198119</xdr:rowOff>
    </xdr:from>
    <xdr:to>
      <xdr:col>6</xdr:col>
      <xdr:colOff>0</xdr:colOff>
      <xdr:row>166</xdr:row>
      <xdr:rowOff>198119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608936" hidden="1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6*SEP*Summary statistics*SEP*$A$12
Linear Regression Output 6*SEP*Correlation matrix*SEP*$A$20
Linear Regression Output 6*SEP*Regression of variable Satisfaction*SEP*$A$28
Linear Regression Output 6*SEP*Goodness of fit statistics (Satisfaction)*SEP*$A$30
Linear Regression Output 6*SEP*Analysis of variance (Satisfaction)*SEP*$A$48
Linear Regression Output 6*SEP*Model parameters (Satisfaction)*SEP*$A$58
Linear Regression Output 6*SEP*Equation of the model (Satisfaction)*SEP*$A$67
Linear Regression Output 6*SEP*Standardized coefficients (Satisfaction)*SEP*$A$72
Linear Regression Output 6*SEP*Predictions and residuals (Satisfaction)*SEP*$A$99
Linear Regression Output 6*SEP*Test on the normality of the residuals (Shapiro-Wilk) (Satisfaction)*SEP*$A$176
Linear Regression Output 6*SEP*Interpretation (Satisfaction)*SEP*$A$189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980023" hidden="1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6*SEP*Summary statistics*SEP*$A$12
Linear Regression Output 6*SEP*Correlation matrix*SEP*$A$20
Linear Regression Output 6*SEP*Regression of variable Satisfaction*SEP*$A$28
Linear Regression Output 6*SEP*Goodness of fit statistics (Satisfaction)*SEP*$A$30
Linear Regression Output 6*SEP*Analysis of variance (Satisfaction)*SEP*$A$48
Linear Regression Output 6*SEP*Model parameters (Satisfaction)*SEP*$A$58
Linear Regression Output 6*SEP*Equation of the model (Satisfaction)*SEP*$A$67
Linear Regression Output 6*SEP*Standardized coefficients (Satisfaction)*SEP*$A$72
Linear Regression Output 6*SEP*Predictions and residuals (Satisfaction)*SEP*$A$99
Linear Regression Output 6*SEP*Test on the normality of the residuals (Shapiro-Wilk) (Satisfaction)*SEP*$A$176
Linear Regression Output 6*SEP*Interpretation (Satisfaction)*SEP*$A$189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5</xdr:col>
          <xdr:colOff>12700</xdr:colOff>
          <xdr:row>5</xdr:row>
          <xdr:rowOff>0</xdr:rowOff>
        </xdr:to>
        <xdr:sp macro="" textlink="">
          <xdr:nvSpPr>
            <xdr:cNvPr id="11265" name="DD582594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F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3596640</xdr:colOff>
      <xdr:row>1</xdr:row>
      <xdr:rowOff>1333500</xdr:rowOff>
    </xdr:from>
    <xdr:to>
      <xdr:col>0</xdr:col>
      <xdr:colOff>7620000</xdr:colOff>
      <xdr:row>1</xdr:row>
      <xdr:rowOff>4701540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222758</xdr:colOff>
      <xdr:row>3</xdr:row>
      <xdr:rowOff>439674</xdr:rowOff>
    </xdr:from>
    <xdr:to>
      <xdr:col>1</xdr:col>
      <xdr:colOff>565658</xdr:colOff>
      <xdr:row>5</xdr:row>
      <xdr:rowOff>104394</xdr:rowOff>
    </xdr:to>
    <xdr:pic macro="AddRemovGrid">
      <xdr:nvPicPr>
        <xdr:cNvPr id="8" name="AD697333" hidden="1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318" y="1034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564735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RefEdit_Y,TextBox0,'Sheet15'!$B$4:$B$71,True,000000020000_General,True,Y / Dependent variables:,False,,33,1
RefEdit_X,TextBox0,'Sheet15'!$C$4:$F$71,True,000002040000_General,True,X / Explanatory variables:,False,,33,4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RefEdit_R,RefEdit,'Sheet16'!$A$1,True,0306,True,Range:,False,,0,0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227536" hidden="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120650</xdr:rowOff>
    </xdr:from>
    <xdr:to>
      <xdr:col>3</xdr:col>
      <xdr:colOff>631190</xdr:colOff>
      <xdr:row>7</xdr:row>
      <xdr:rowOff>188595</xdr:rowOff>
    </xdr:to>
    <xdr:sp macro="" textlink="">
      <xdr:nvSpPr>
        <xdr:cNvPr id="4" name="BK564735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168275</xdr:rowOff>
    </xdr:from>
    <xdr:to>
      <xdr:col>0</xdr:col>
      <xdr:colOff>489162</xdr:colOff>
      <xdr:row>7</xdr:row>
      <xdr:rowOff>158115</xdr:rowOff>
    </xdr:to>
    <xdr:pic macro="[0]!ReRunXLSTAT">
      <xdr:nvPicPr>
        <xdr:cNvPr id="5" name="BT56473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6" name="RM56473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7" name="AD564735" hidden="1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168275</xdr:rowOff>
    </xdr:from>
    <xdr:to>
      <xdr:col>2</xdr:col>
      <xdr:colOff>194098</xdr:colOff>
      <xdr:row>7</xdr:row>
      <xdr:rowOff>158115</xdr:rowOff>
    </xdr:to>
    <xdr:pic macro="[0]!SendToOfficeLocal">
      <xdr:nvPicPr>
        <xdr:cNvPr id="9" name="WD564735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331047</xdr:colOff>
      <xdr:row>5</xdr:row>
      <xdr:rowOff>168275</xdr:rowOff>
    </xdr:from>
    <xdr:to>
      <xdr:col>3</xdr:col>
      <xdr:colOff>847</xdr:colOff>
      <xdr:row>7</xdr:row>
      <xdr:rowOff>158115</xdr:rowOff>
    </xdr:to>
    <xdr:pic macro="[0]!SendToOfficeLocal">
      <xdr:nvPicPr>
        <xdr:cNvPr id="10" name="PT564735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137795</xdr:colOff>
      <xdr:row>5</xdr:row>
      <xdr:rowOff>168275</xdr:rowOff>
    </xdr:from>
    <xdr:to>
      <xdr:col>3</xdr:col>
      <xdr:colOff>523875</xdr:colOff>
      <xdr:row>7</xdr:row>
      <xdr:rowOff>158115</xdr:rowOff>
    </xdr:to>
    <xdr:pic macro="[0]!getAIAResultsLocal">
      <xdr:nvPicPr>
        <xdr:cNvPr id="11" name="IA227536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1</xdr:rowOff>
    </xdr:from>
    <xdr:to>
      <xdr:col>6</xdr:col>
      <xdr:colOff>0</xdr:colOff>
      <xdr:row>100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174</xdr:row>
      <xdr:rowOff>0</xdr:rowOff>
    </xdr:from>
    <xdr:to>
      <xdr:col>6</xdr:col>
      <xdr:colOff>0</xdr:colOff>
      <xdr:row>191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127000</xdr:colOff>
      <xdr:row>174</xdr:row>
      <xdr:rowOff>0</xdr:rowOff>
    </xdr:from>
    <xdr:to>
      <xdr:col>12</xdr:col>
      <xdr:colOff>172720</xdr:colOff>
      <xdr:row>191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299720</xdr:colOff>
      <xdr:row>174</xdr:row>
      <xdr:rowOff>0</xdr:rowOff>
    </xdr:from>
    <xdr:to>
      <xdr:col>18</xdr:col>
      <xdr:colOff>345440</xdr:colOff>
      <xdr:row>191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192</xdr:row>
      <xdr:rowOff>198119</xdr:rowOff>
    </xdr:from>
    <xdr:to>
      <xdr:col>6</xdr:col>
      <xdr:colOff>0</xdr:colOff>
      <xdr:row>209</xdr:row>
      <xdr:rowOff>198119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564735" hidden="1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7*SEP*Summary statistics*SEP*$A$12
Linear Regression Output 7*SEP*Correlation matrix*SEP*$A$22
Linear Regression Output 7*SEP*Regression of variable Calories*SEP*$A$32
Linear Regression Output 7*SEP*Goodness of fit statistics (Calories)*SEP*$A$34
Linear Regression Output 7*SEP*Analysis of variance (Calories)*SEP*$A$52
Linear Regression Output 7*SEP*Model parameters (Calories)*SEP*$A$62
Linear Regression Output 7*SEP*Equation of the model (Calories)*SEP*$A$73
Linear Regression Output 7*SEP*Standardized coefficients (Calories)*SEP*$A$78
Linear Regression Output 7*SEP*Predictions and residuals (Calories)*SEP*$A$107
Linear Regression Output 7*SEP*Test on the normality of the residuals (Shapiro-Wilk) (Calories)*SEP*$A$219
Linear Regression Output 7*SEP*Interpretation (Calories)*SEP*$A$233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227536" hidden="1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7*SEP*Summary statistics*SEP*$A$12
Linear Regression Output 7*SEP*Correlation matrix*SEP*$A$22
Linear Regression Output 7*SEP*Regression of variable Calories*SEP*$A$32
Linear Regression Output 7*SEP*Goodness of fit statistics (Calories)*SEP*$A$34
Linear Regression Output 7*SEP*Analysis of variance (Calories)*SEP*$A$52
Linear Regression Output 7*SEP*Model parameters (Calories)*SEP*$A$62
Linear Regression Output 7*SEP*Equation of the model (Calories)*SEP*$A$73
Linear Regression Output 7*SEP*Standardized coefficients (Calories)*SEP*$A$78
Linear Regression Output 7*SEP*Predictions and residuals (Calories)*SEP*$A$107
Linear Regression Output 7*SEP*Test on the normality of the residuals (Shapiro-Wilk) (Calories)*SEP*$A$219
Linear Regression Output 7*SEP*Interpretation (Calories)*SEP*$A$233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5</xdr:col>
          <xdr:colOff>6350</xdr:colOff>
          <xdr:row>5</xdr:row>
          <xdr:rowOff>0</xdr:rowOff>
        </xdr:to>
        <xdr:sp macro="" textlink="">
          <xdr:nvSpPr>
            <xdr:cNvPr id="12289" name="DD257077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1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352301" hidden="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RefEdit_Y,TextBox0,'Sheet15'!$B$4:$B$71,True,000000020000_General,True,Y / Dependent variables:,False,,68,1
RefEdit_X,TextBox0,'Sheet15'!$C$4:$D$71,True,000002040000_General,True,X / Explanatory variables:,False,,68,2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RefEdit_R,RefEdit,'Sheet17'!$A$1,True,0306,True,Range:,False,,0,0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944108" hidden="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120650</xdr:rowOff>
    </xdr:from>
    <xdr:to>
      <xdr:col>3</xdr:col>
      <xdr:colOff>631190</xdr:colOff>
      <xdr:row>7</xdr:row>
      <xdr:rowOff>188595</xdr:rowOff>
    </xdr:to>
    <xdr:sp macro="" textlink="">
      <xdr:nvSpPr>
        <xdr:cNvPr id="4" name="BK35230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168275</xdr:rowOff>
    </xdr:from>
    <xdr:to>
      <xdr:col>0</xdr:col>
      <xdr:colOff>489162</xdr:colOff>
      <xdr:row>7</xdr:row>
      <xdr:rowOff>158115</xdr:rowOff>
    </xdr:to>
    <xdr:pic macro="[0]!ReRunXLSTAT">
      <xdr:nvPicPr>
        <xdr:cNvPr id="5" name="BT35230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6" name="RM35230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7" name="AD352301" hidden="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168275</xdr:rowOff>
    </xdr:from>
    <xdr:to>
      <xdr:col>2</xdr:col>
      <xdr:colOff>194098</xdr:colOff>
      <xdr:row>7</xdr:row>
      <xdr:rowOff>158115</xdr:rowOff>
    </xdr:to>
    <xdr:pic macro="[0]!SendToOfficeLocal">
      <xdr:nvPicPr>
        <xdr:cNvPr id="9" name="WD35230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331047</xdr:colOff>
      <xdr:row>5</xdr:row>
      <xdr:rowOff>168275</xdr:rowOff>
    </xdr:from>
    <xdr:to>
      <xdr:col>3</xdr:col>
      <xdr:colOff>847</xdr:colOff>
      <xdr:row>7</xdr:row>
      <xdr:rowOff>158115</xdr:rowOff>
    </xdr:to>
    <xdr:pic macro="[0]!SendToOfficeLocal">
      <xdr:nvPicPr>
        <xdr:cNvPr id="10" name="PT352301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137795</xdr:colOff>
      <xdr:row>5</xdr:row>
      <xdr:rowOff>168275</xdr:rowOff>
    </xdr:from>
    <xdr:to>
      <xdr:col>3</xdr:col>
      <xdr:colOff>523875</xdr:colOff>
      <xdr:row>7</xdr:row>
      <xdr:rowOff>158115</xdr:rowOff>
    </xdr:to>
    <xdr:pic macro="[0]!getAIAResultsLocal">
      <xdr:nvPicPr>
        <xdr:cNvPr id="11" name="IA94410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6</xdr:col>
      <xdr:colOff>0</xdr:colOff>
      <xdr:row>92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165</xdr:row>
      <xdr:rowOff>198119</xdr:rowOff>
    </xdr:from>
    <xdr:to>
      <xdr:col>6</xdr:col>
      <xdr:colOff>0</xdr:colOff>
      <xdr:row>182</xdr:row>
      <xdr:rowOff>198119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127000</xdr:colOff>
      <xdr:row>165</xdr:row>
      <xdr:rowOff>198119</xdr:rowOff>
    </xdr:from>
    <xdr:to>
      <xdr:col>12</xdr:col>
      <xdr:colOff>172720</xdr:colOff>
      <xdr:row>182</xdr:row>
      <xdr:rowOff>198119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299720</xdr:colOff>
      <xdr:row>165</xdr:row>
      <xdr:rowOff>198119</xdr:rowOff>
    </xdr:from>
    <xdr:to>
      <xdr:col>18</xdr:col>
      <xdr:colOff>345440</xdr:colOff>
      <xdr:row>182</xdr:row>
      <xdr:rowOff>198119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185</xdr:row>
      <xdr:rowOff>1</xdr:rowOff>
    </xdr:from>
    <xdr:to>
      <xdr:col>6</xdr:col>
      <xdr:colOff>0</xdr:colOff>
      <xdr:row>202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352301" hidden="1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8*SEP*Summary statistics*SEP*$A$12
Linear Regression Output 8*SEP*Correlation matrix*SEP*$A$20
Linear Regression Output 8*SEP*Regression of variable Calories*SEP*$A$28
Linear Regression Output 8*SEP*Goodness of fit statistics (Calories)*SEP*$A$30
Linear Regression Output 8*SEP*Analysis of variance (Calories)*SEP*$A$48
Linear Regression Output 8*SEP*Model parameters (Calories)*SEP*$A$58
Linear Regression Output 8*SEP*Equation of the model (Calories)*SEP*$A$67
Linear Regression Output 8*SEP*Standardized coefficients (Calories)*SEP*$A$72
Linear Regression Output 8*SEP*Predictions and residuals (Calories)*SEP*$A$99
Linear Regression Output 8*SEP*Test on the normality of the residuals (Shapiro-Wilk) (Calories)*SEP*$A$211
Linear Regression Output 8*SEP*Interpretation (Calories)*SEP*$A$225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944108" hidden="1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8*SEP*Summary statistics*SEP*$A$12
Linear Regression Output 8*SEP*Correlation matrix*SEP*$A$20
Linear Regression Output 8*SEP*Regression of variable Calories*SEP*$A$28
Linear Regression Output 8*SEP*Goodness of fit statistics (Calories)*SEP*$A$30
Linear Regression Output 8*SEP*Analysis of variance (Calories)*SEP*$A$48
Linear Regression Output 8*SEP*Model parameters (Calories)*SEP*$A$58
Linear Regression Output 8*SEP*Equation of the model (Calories)*SEP*$A$67
Linear Regression Output 8*SEP*Standardized coefficients (Calories)*SEP*$A$72
Linear Regression Output 8*SEP*Predictions and residuals (Calories)*SEP*$A$99
Linear Regression Output 8*SEP*Test on the normality of the residuals (Shapiro-Wilk) (Calories)*SEP*$A$211
Linear Regression Output 8*SEP*Interpretation (Calories)*SEP*$A$225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5</xdr:col>
          <xdr:colOff>6350</xdr:colOff>
          <xdr:row>5</xdr:row>
          <xdr:rowOff>0</xdr:rowOff>
        </xdr:to>
        <xdr:sp macro="" textlink="">
          <xdr:nvSpPr>
            <xdr:cNvPr id="13313" name="DD336745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15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222758</xdr:colOff>
      <xdr:row>3</xdr:row>
      <xdr:rowOff>439674</xdr:rowOff>
    </xdr:from>
    <xdr:to>
      <xdr:col>1</xdr:col>
      <xdr:colOff>565658</xdr:colOff>
      <xdr:row>5</xdr:row>
      <xdr:rowOff>104394</xdr:rowOff>
    </xdr:to>
    <xdr:pic macro="AddRemovGrid">
      <xdr:nvPicPr>
        <xdr:cNvPr id="8" name="AD703345" hidden="1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318" y="1034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667435" hidden="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RefEdit_Y,TextBox0,'Sheet4'!$B$1:$B$101,True,000000020000_General,True,Y / Dependent variables:,False,,68,1
RefEdit_X,TextBox0,'Sheet4'!$C$1:$E$101,True,000002040000_General,True,X / Explanatory variables:,False,,68,3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RefEdit_R,RefEdit,'Sheet5'!$A$1,True,0306,True,Range:,False,,0,0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815007" hidden="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120650</xdr:rowOff>
    </xdr:from>
    <xdr:to>
      <xdr:col>2</xdr:col>
      <xdr:colOff>1065530</xdr:colOff>
      <xdr:row>7</xdr:row>
      <xdr:rowOff>188595</xdr:rowOff>
    </xdr:to>
    <xdr:sp macro="" textlink="">
      <xdr:nvSpPr>
        <xdr:cNvPr id="4" name="BK667435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168275</xdr:rowOff>
    </xdr:from>
    <xdr:to>
      <xdr:col>0</xdr:col>
      <xdr:colOff>489162</xdr:colOff>
      <xdr:row>7</xdr:row>
      <xdr:rowOff>158115</xdr:rowOff>
    </xdr:to>
    <xdr:pic macro="[0]!ReRunXLSTAT">
      <xdr:nvPicPr>
        <xdr:cNvPr id="5" name="BT667435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6" name="RM66743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7" name="AD667435" hidden="1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168275</xdr:rowOff>
    </xdr:from>
    <xdr:to>
      <xdr:col>1</xdr:col>
      <xdr:colOff>864658</xdr:colOff>
      <xdr:row>7</xdr:row>
      <xdr:rowOff>158115</xdr:rowOff>
    </xdr:to>
    <xdr:pic macro="[0]!SendToOfficeLocal">
      <xdr:nvPicPr>
        <xdr:cNvPr id="9" name="WD667435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49107</xdr:colOff>
      <xdr:row>5</xdr:row>
      <xdr:rowOff>168275</xdr:rowOff>
    </xdr:from>
    <xdr:to>
      <xdr:col>2</xdr:col>
      <xdr:colOff>435187</xdr:colOff>
      <xdr:row>7</xdr:row>
      <xdr:rowOff>158115</xdr:rowOff>
    </xdr:to>
    <xdr:pic macro="[0]!SendToOfficeLocal">
      <xdr:nvPicPr>
        <xdr:cNvPr id="10" name="PT667435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572135</xdr:colOff>
      <xdr:row>5</xdr:row>
      <xdr:rowOff>168275</xdr:rowOff>
    </xdr:from>
    <xdr:to>
      <xdr:col>2</xdr:col>
      <xdr:colOff>958215</xdr:colOff>
      <xdr:row>7</xdr:row>
      <xdr:rowOff>158115</xdr:rowOff>
    </xdr:to>
    <xdr:pic macro="[0]!getAIAResultsLocal">
      <xdr:nvPicPr>
        <xdr:cNvPr id="11" name="IA815007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4</xdr:col>
      <xdr:colOff>0</xdr:colOff>
      <xdr:row>96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203</xdr:row>
      <xdr:rowOff>0</xdr:rowOff>
    </xdr:from>
    <xdr:to>
      <xdr:col>4</xdr:col>
      <xdr:colOff>0</xdr:colOff>
      <xdr:row>220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127000</xdr:colOff>
      <xdr:row>203</xdr:row>
      <xdr:rowOff>0</xdr:rowOff>
    </xdr:from>
    <xdr:to>
      <xdr:col>9</xdr:col>
      <xdr:colOff>157480</xdr:colOff>
      <xdr:row>220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284480</xdr:colOff>
      <xdr:row>203</xdr:row>
      <xdr:rowOff>0</xdr:rowOff>
    </xdr:from>
    <xdr:to>
      <xdr:col>15</xdr:col>
      <xdr:colOff>2540</xdr:colOff>
      <xdr:row>220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221</xdr:row>
      <xdr:rowOff>198119</xdr:rowOff>
    </xdr:from>
    <xdr:to>
      <xdr:col>4</xdr:col>
      <xdr:colOff>0</xdr:colOff>
      <xdr:row>238</xdr:row>
      <xdr:rowOff>198119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9" name="XP667435" hidden="1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9*SEP*Summary statistics*SEP*$A$12
Linear Regression Output 9*SEP*Correlation matrix*SEP*$A$21
Linear Regression Output 9*SEP*Regression of variable Current Salary*SEP*$A$30
Linear Regression Output 9*SEP*Goodness of fit statistics (Current Salary)*SEP*$A$32
Linear Regression Output 9*SEP*Analysis of variance (Current Salary)*SEP*$A$50
Linear Regression Output 9*SEP*Model parameters (Current Salary)*SEP*$A$60
Linear Regression Output 9*SEP*Equation of the model (Current Salary)*SEP*$A$70
Linear Regression Output 9*SEP*Standardized coefficients (Current Salary)*SEP*$A$75
Linear Regression Output 9*SEP*Predictions and residuals (Current Salary)*SEP*$A$103
Linear Regression Output 9*SEP*Test on the normality of the residuals (Shapiro-Wilk) (Current Salary)*SEP*$A$248
Linear Regression Output 9*SEP*Interpretation (Current Salary)*SEP*$A$262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815007" hidden="1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9*SEP*Summary statistics*SEP*$A$12
Linear Regression Output 9*SEP*Correlation matrix*SEP*$A$21
Linear Regression Output 9*SEP*Regression of variable Current Salary*SEP*$A$30
Linear Regression Output 9*SEP*Goodness of fit statistics (Current Salary)*SEP*$A$32
Linear Regression Output 9*SEP*Analysis of variance (Current Salary)*SEP*$A$50
Linear Regression Output 9*SEP*Model parameters (Current Salary)*SEP*$A$60
Linear Regression Output 9*SEP*Equation of the model (Current Salary)*SEP*$A$70
Linear Regression Output 9*SEP*Standardized coefficients (Current Salary)*SEP*$A$75
Linear Regression Output 9*SEP*Predictions and residuals (Current Salary)*SEP*$A$103
Linear Regression Output 9*SEP*Test on the normality of the residuals (Shapiro-Wilk) (Current Salary)*SEP*$A$248
Linear Regression Output 9*SEP*Interpretation (Current Salary)*SEP*$A$262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14337" name="DD628616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1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451768" hidden="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CheckBoxNorm,CheckBox,-1,True,530000000000_Outputs|Test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RefEdit_Y,TextBox0,'Sheet4'!$B$3:$B$103,True,000000020000_General,True,Y / Dependent variables:,False,,101,1
RefEdit_X,TextBox0,'Sheet4'!$C$3:$C$103&lt;LS&gt;'Sheet4'!$E$3:$E$103,True,000002040000_General,True,X / Explanatory variables:,False,,101,2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CheckBoxInterpret_SV,CheckBox,-1,True,000000040201_General,True,Interpretation,False,,,
OptionButton_W,OptionButton,0,True,0006,True,Workbook,False,,,
OptionButton_R,OptionButton,-1,True,0106,True,Range,False,,,
OptionButton_S,OptionButton,0,True,0206,True,Sheet,False,,,
RefEdit_R,RefEdit,'Sheet6'!$A$1,True,0306,True,Range:,False,,0,0
CheckBoxGroupsColor,CheckBox,-1,True,000000080101_General,True,Regression by group,False,,,
CheckBox_SV,CheckBox,0,False,23,False,SV,False,,,
</a:t>
          </a:r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833678" hidden="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/>
      </xdr:nvSpPr>
      <xdr:spPr>
        <a:xfrm>
          <a:off x="683260" y="13868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Form53.txt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120650</xdr:rowOff>
    </xdr:from>
    <xdr:to>
      <xdr:col>2</xdr:col>
      <xdr:colOff>1065530</xdr:colOff>
      <xdr:row>7</xdr:row>
      <xdr:rowOff>188595</xdr:rowOff>
    </xdr:to>
    <xdr:sp macro="" textlink="">
      <xdr:nvSpPr>
        <xdr:cNvPr id="4" name="BK451768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350" y="139319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103082</xdr:colOff>
      <xdr:row>5</xdr:row>
      <xdr:rowOff>168275</xdr:rowOff>
    </xdr:from>
    <xdr:to>
      <xdr:col>0</xdr:col>
      <xdr:colOff>489162</xdr:colOff>
      <xdr:row>7</xdr:row>
      <xdr:rowOff>158115</xdr:rowOff>
    </xdr:to>
    <xdr:pic macro="[0]!ReRunXLSTAT">
      <xdr:nvPicPr>
        <xdr:cNvPr id="5" name="BT451768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82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6" name="RM451768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5</xdr:row>
      <xdr:rowOff>168275</xdr:rowOff>
    </xdr:from>
    <xdr:to>
      <xdr:col>1</xdr:col>
      <xdr:colOff>341630</xdr:colOff>
      <xdr:row>7</xdr:row>
      <xdr:rowOff>158115</xdr:rowOff>
    </xdr:to>
    <xdr:pic macro="[0]!AddRemovGrid">
      <xdr:nvPicPr>
        <xdr:cNvPr id="7" name="AD451768" hidden="1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5</xdr:row>
      <xdr:rowOff>168275</xdr:rowOff>
    </xdr:from>
    <xdr:to>
      <xdr:col>1</xdr:col>
      <xdr:colOff>864658</xdr:colOff>
      <xdr:row>7</xdr:row>
      <xdr:rowOff>158115</xdr:rowOff>
    </xdr:to>
    <xdr:pic macro="[0]!SendToOfficeLocal">
      <xdr:nvPicPr>
        <xdr:cNvPr id="9" name="WD45176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9138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49107</xdr:colOff>
      <xdr:row>5</xdr:row>
      <xdr:rowOff>168275</xdr:rowOff>
    </xdr:from>
    <xdr:to>
      <xdr:col>2</xdr:col>
      <xdr:colOff>435187</xdr:colOff>
      <xdr:row>7</xdr:row>
      <xdr:rowOff>158115</xdr:rowOff>
    </xdr:to>
    <xdr:pic macro="[0]!SendToOfficeLocal">
      <xdr:nvPicPr>
        <xdr:cNvPr id="10" name="PT451768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2167" y="14408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572135</xdr:colOff>
      <xdr:row>5</xdr:row>
      <xdr:rowOff>168275</xdr:rowOff>
    </xdr:from>
    <xdr:to>
      <xdr:col>2</xdr:col>
      <xdr:colOff>958215</xdr:colOff>
      <xdr:row>7</xdr:row>
      <xdr:rowOff>158115</xdr:rowOff>
    </xdr:to>
    <xdr:pic macro="[0]!getAIAResultsLocal">
      <xdr:nvPicPr>
        <xdr:cNvPr id="11" name="IA833678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5195" y="1440815"/>
          <a:ext cx="386080" cy="386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4</xdr:col>
      <xdr:colOff>0</xdr:colOff>
      <xdr:row>92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199</xdr:row>
      <xdr:rowOff>1</xdr:rowOff>
    </xdr:from>
    <xdr:to>
      <xdr:col>4</xdr:col>
      <xdr:colOff>0</xdr:colOff>
      <xdr:row>216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127000</xdr:colOff>
      <xdr:row>199</xdr:row>
      <xdr:rowOff>1</xdr:rowOff>
    </xdr:from>
    <xdr:to>
      <xdr:col>9</xdr:col>
      <xdr:colOff>233680</xdr:colOff>
      <xdr:row>216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360680</xdr:colOff>
      <xdr:row>199</xdr:row>
      <xdr:rowOff>1</xdr:rowOff>
    </xdr:from>
    <xdr:to>
      <xdr:col>15</xdr:col>
      <xdr:colOff>154940</xdr:colOff>
      <xdr:row>216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218</xdr:row>
      <xdr:rowOff>0</xdr:rowOff>
    </xdr:from>
    <xdr:to>
      <xdr:col>4</xdr:col>
      <xdr:colOff>0</xdr:colOff>
      <xdr:row>235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0" name="XP451768" hidden="1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10*SEP*Summary statistics*SEP*$A$12
Linear Regression Output 10*SEP*Correlation matrix*SEP*$A$20
Linear Regression Output 10*SEP*Regression of variable Current Salary*SEP*$A$28
Linear Regression Output 10*SEP*Goodness of fit statistics (Current Salary)*SEP*$A$30
Linear Regression Output 10*SEP*Analysis of variance (Current Salary)*SEP*$A$48
Linear Regression Output 10*SEP*Model parameters (Current Salary)*SEP*$A$58
Linear Regression Output 10*SEP*Equation of the model (Current Salary)*SEP*$A$67
Linear Regression Output 10*SEP*Standardized coefficients (Current Salary)*SEP*$A$72
Linear Regression Output 10*SEP*Predictions and residuals (Current Salary)*SEP*$A$99
Linear Regression Output 10*SEP*Test on the normality of the residuals (Shapiro-Wilk) (Current Salary)*SEP*$A$244
Linear Regression Output 10*SEP*Interpretation (Current Salary)*SEP*$A$258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1" name="XP833678" hidden="1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Linear Regression Output 10*SEP*Summary statistics*SEP*$A$12
Linear Regression Output 10*SEP*Correlation matrix*SEP*$A$20
Linear Regression Output 10*SEP*Regression of variable Current Salary*SEP*$A$28
Linear Regression Output 10*SEP*Goodness of fit statistics (Current Salary)*SEP*$A$30
Linear Regression Output 10*SEP*Analysis of variance (Current Salary)*SEP*$A$48
Linear Regression Output 10*SEP*Model parameters (Current Salary)*SEP*$A$58
Linear Regression Output 10*SEP*Equation of the model (Current Salary)*SEP*$A$67
Linear Regression Output 10*SEP*Standardized coefficients (Current Salary)*SEP*$A$72
Linear Regression Output 10*SEP*Predictions and residuals (Current Salary)*SEP*$A$99
Linear Regression Output 10*SEP*Test on the normality of the residuals (Shapiro-Wilk) (Current Salary)*SEP*$A$244
Linear Regression Output 10*SEP*Interpretation (Current Salary)*SEP*$A$258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15361" name="DD924879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1A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DB33-B63F-4234-B673-92E2E6F1ED5D}">
  <sheetPr codeName="Sheet7"/>
  <dimension ref="A1:XX1000"/>
  <sheetViews>
    <sheetView zoomScaleNormal="100" workbookViewId="0">
      <selection activeCell="H9" sqref="H9"/>
    </sheetView>
  </sheetViews>
  <sheetFormatPr defaultRowHeight="15.5" x14ac:dyDescent="0.35"/>
  <cols>
    <col min="1" max="1" width="10.6640625" customWidth="1"/>
    <col min="2" max="4" width="15.6640625" customWidth="1"/>
    <col min="7" max="7" width="60.6640625" customWidth="1"/>
    <col min="8" max="8" width="15.6640625" customWidth="1"/>
  </cols>
  <sheetData>
    <row r="1" spans="1:13" ht="16" thickBot="1" x14ac:dyDescent="0.4">
      <c r="A1" s="17" t="s">
        <v>25</v>
      </c>
      <c r="B1" s="17" t="s">
        <v>22</v>
      </c>
      <c r="C1" s="17" t="s">
        <v>23</v>
      </c>
      <c r="D1" s="18" t="s">
        <v>24</v>
      </c>
    </row>
    <row r="2" spans="1:13" ht="16" thickBot="1" x14ac:dyDescent="0.4">
      <c r="A2">
        <v>1102674</v>
      </c>
      <c r="B2">
        <v>32</v>
      </c>
      <c r="C2">
        <v>1836</v>
      </c>
      <c r="D2" s="15">
        <v>101900</v>
      </c>
      <c r="G2" s="41" t="s">
        <v>80</v>
      </c>
      <c r="H2" s="2"/>
      <c r="J2" s="6"/>
      <c r="K2" s="6"/>
      <c r="L2" s="6"/>
      <c r="M2" s="6"/>
    </row>
    <row r="3" spans="1:13" ht="16" thickBot="1" x14ac:dyDescent="0.4">
      <c r="A3">
        <v>1571461</v>
      </c>
      <c r="B3">
        <v>27</v>
      </c>
      <c r="C3">
        <v>1684</v>
      </c>
      <c r="D3" s="15">
        <v>96700</v>
      </c>
      <c r="G3" s="42" t="s">
        <v>84</v>
      </c>
      <c r="H3" s="92">
        <v>0.532981049369607</v>
      </c>
    </row>
    <row r="4" spans="1:13" ht="18" thickBot="1" x14ac:dyDescent="0.4">
      <c r="A4">
        <v>2952717</v>
      </c>
      <c r="B4">
        <v>28</v>
      </c>
      <c r="C4">
        <v>1520</v>
      </c>
      <c r="D4" s="15">
        <v>84400</v>
      </c>
      <c r="G4" s="43" t="s">
        <v>79</v>
      </c>
      <c r="H4" s="44" t="s">
        <v>210</v>
      </c>
    </row>
    <row r="5" spans="1:13" ht="18" thickBot="1" x14ac:dyDescent="0.4">
      <c r="A5">
        <v>3036008</v>
      </c>
      <c r="B5">
        <v>33</v>
      </c>
      <c r="C5">
        <v>1850</v>
      </c>
      <c r="D5" s="15">
        <v>96000</v>
      </c>
      <c r="G5" s="45" t="s">
        <v>82</v>
      </c>
      <c r="H5" s="46">
        <v>1</v>
      </c>
    </row>
    <row r="6" spans="1:13" x14ac:dyDescent="0.35">
      <c r="A6">
        <v>12322570</v>
      </c>
      <c r="B6">
        <v>28</v>
      </c>
      <c r="C6">
        <v>1484</v>
      </c>
      <c r="D6" s="15">
        <v>78800</v>
      </c>
    </row>
    <row r="7" spans="1:13" ht="16" thickBot="1" x14ac:dyDescent="0.4">
      <c r="A7">
        <v>17087186</v>
      </c>
      <c r="B7">
        <v>32</v>
      </c>
      <c r="C7">
        <v>1731</v>
      </c>
      <c r="D7" s="15">
        <v>86400</v>
      </c>
    </row>
    <row r="8" spans="1:13" ht="16" thickBot="1" x14ac:dyDescent="0.4">
      <c r="A8">
        <v>17743019</v>
      </c>
      <c r="B8">
        <v>28</v>
      </c>
      <c r="C8">
        <v>1484</v>
      </c>
      <c r="D8" s="15">
        <v>82000</v>
      </c>
      <c r="G8" s="41" t="s">
        <v>81</v>
      </c>
      <c r="H8" s="2"/>
    </row>
    <row r="9" spans="1:13" ht="16" thickBot="1" x14ac:dyDescent="0.4">
      <c r="A9">
        <v>18214593</v>
      </c>
      <c r="B9">
        <v>27</v>
      </c>
      <c r="C9">
        <v>1581</v>
      </c>
      <c r="D9" s="15">
        <v>120700</v>
      </c>
      <c r="G9" s="42" t="s">
        <v>84</v>
      </c>
      <c r="H9" s="93" t="s">
        <v>71</v>
      </c>
    </row>
    <row r="10" spans="1:13" ht="18" thickBot="1" x14ac:dyDescent="0.4">
      <c r="A10">
        <v>18795424</v>
      </c>
      <c r="B10">
        <v>28</v>
      </c>
      <c r="C10">
        <v>1588</v>
      </c>
      <c r="D10" s="15">
        <v>81500</v>
      </c>
      <c r="G10" s="43" t="s">
        <v>79</v>
      </c>
      <c r="H10" s="44" t="s">
        <v>210</v>
      </c>
    </row>
    <row r="11" spans="1:13" ht="18" thickBot="1" x14ac:dyDescent="0.4">
      <c r="A11">
        <v>20920393</v>
      </c>
      <c r="B11">
        <v>32</v>
      </c>
      <c r="C11">
        <v>2372</v>
      </c>
      <c r="D11" s="15">
        <v>114000</v>
      </c>
      <c r="G11" s="45" t="s">
        <v>83</v>
      </c>
      <c r="H11" s="46">
        <v>1</v>
      </c>
    </row>
    <row r="12" spans="1:13" x14ac:dyDescent="0.35">
      <c r="A12">
        <v>21206073</v>
      </c>
      <c r="B12">
        <v>27</v>
      </c>
      <c r="C12">
        <v>1484</v>
      </c>
      <c r="D12" s="15">
        <v>76600</v>
      </c>
    </row>
    <row r="13" spans="1:13" x14ac:dyDescent="0.35">
      <c r="A13">
        <v>23011219</v>
      </c>
      <c r="B13">
        <v>33</v>
      </c>
      <c r="C13">
        <v>1812</v>
      </c>
      <c r="D13" s="15">
        <v>90000</v>
      </c>
    </row>
    <row r="14" spans="1:13" x14ac:dyDescent="0.35">
      <c r="A14">
        <v>26079663</v>
      </c>
      <c r="B14">
        <v>32</v>
      </c>
      <c r="C14">
        <v>1842</v>
      </c>
      <c r="D14" s="15">
        <v>93300</v>
      </c>
    </row>
    <row r="15" spans="1:13" x14ac:dyDescent="0.35">
      <c r="A15">
        <v>31317248</v>
      </c>
      <c r="B15">
        <v>27</v>
      </c>
      <c r="C15">
        <v>1484</v>
      </c>
      <c r="D15" s="15">
        <v>81300</v>
      </c>
    </row>
    <row r="16" spans="1:13" x14ac:dyDescent="0.35">
      <c r="A16">
        <v>33082529</v>
      </c>
      <c r="B16">
        <v>32</v>
      </c>
      <c r="C16">
        <v>1692</v>
      </c>
      <c r="D16" s="15">
        <v>87500</v>
      </c>
    </row>
    <row r="17" spans="1:9" x14ac:dyDescent="0.35">
      <c r="A17">
        <v>35038072</v>
      </c>
      <c r="B17">
        <v>28</v>
      </c>
      <c r="C17">
        <v>1520</v>
      </c>
      <c r="D17" s="15">
        <v>87600</v>
      </c>
    </row>
    <row r="18" spans="1:9" x14ac:dyDescent="0.35">
      <c r="A18">
        <v>35071419</v>
      </c>
      <c r="B18">
        <v>32</v>
      </c>
      <c r="C18">
        <v>2123</v>
      </c>
      <c r="D18" s="15">
        <v>116100</v>
      </c>
    </row>
    <row r="19" spans="1:9" x14ac:dyDescent="0.35">
      <c r="A19">
        <v>35148028</v>
      </c>
      <c r="B19">
        <v>28</v>
      </c>
      <c r="C19">
        <v>1784</v>
      </c>
      <c r="D19" s="15">
        <v>91300</v>
      </c>
    </row>
    <row r="20" spans="1:9" x14ac:dyDescent="0.35">
      <c r="A20">
        <v>38711332</v>
      </c>
      <c r="B20">
        <v>27</v>
      </c>
      <c r="C20">
        <v>1520</v>
      </c>
      <c r="D20" s="15">
        <v>100700</v>
      </c>
      <c r="G20" s="6" t="s">
        <v>77</v>
      </c>
      <c r="H20" s="6"/>
      <c r="I20" s="6"/>
    </row>
    <row r="21" spans="1:9" x14ac:dyDescent="0.35">
      <c r="A21">
        <v>38772776</v>
      </c>
      <c r="B21">
        <v>28</v>
      </c>
      <c r="C21">
        <v>1520</v>
      </c>
      <c r="D21" s="15">
        <v>88100</v>
      </c>
      <c r="H21" s="20" t="s">
        <v>76</v>
      </c>
    </row>
    <row r="22" spans="1:9" x14ac:dyDescent="0.35">
      <c r="A22">
        <v>42789261</v>
      </c>
      <c r="B22">
        <v>33</v>
      </c>
      <c r="C22">
        <v>1812</v>
      </c>
      <c r="D22" s="15">
        <v>91000</v>
      </c>
      <c r="H22" s="34" t="s">
        <v>74</v>
      </c>
    </row>
    <row r="23" spans="1:9" x14ac:dyDescent="0.35">
      <c r="A23">
        <v>45522962</v>
      </c>
      <c r="B23">
        <v>28</v>
      </c>
      <c r="C23">
        <v>1484</v>
      </c>
      <c r="D23" s="15">
        <v>82600</v>
      </c>
      <c r="H23" s="38" t="s">
        <v>71</v>
      </c>
    </row>
    <row r="24" spans="1:9" x14ac:dyDescent="0.35">
      <c r="A24">
        <v>52215313</v>
      </c>
      <c r="B24">
        <v>33</v>
      </c>
      <c r="C24">
        <v>2028</v>
      </c>
      <c r="D24" s="15">
        <v>108500</v>
      </c>
    </row>
    <row r="25" spans="1:9" x14ac:dyDescent="0.35">
      <c r="A25">
        <v>53931300</v>
      </c>
      <c r="B25">
        <v>28</v>
      </c>
      <c r="C25">
        <v>1468</v>
      </c>
      <c r="D25" s="15">
        <v>88100</v>
      </c>
      <c r="G25" s="6" t="s">
        <v>78</v>
      </c>
    </row>
    <row r="26" spans="1:9" x14ac:dyDescent="0.35">
      <c r="A26">
        <v>54116506</v>
      </c>
      <c r="B26">
        <v>27</v>
      </c>
      <c r="C26">
        <v>1701</v>
      </c>
      <c r="D26" s="15">
        <v>94200</v>
      </c>
      <c r="H26" s="38" t="s">
        <v>72</v>
      </c>
    </row>
    <row r="27" spans="1:9" x14ac:dyDescent="0.35">
      <c r="A27">
        <v>54855200</v>
      </c>
      <c r="B27">
        <v>33</v>
      </c>
      <c r="C27">
        <v>1666</v>
      </c>
      <c r="D27" s="15">
        <v>87500</v>
      </c>
      <c r="H27" s="20" t="s">
        <v>73</v>
      </c>
      <c r="I27" s="19"/>
    </row>
    <row r="28" spans="1:9" x14ac:dyDescent="0.35">
      <c r="A28">
        <v>58450407</v>
      </c>
      <c r="B28">
        <v>28</v>
      </c>
      <c r="C28">
        <v>1588</v>
      </c>
      <c r="D28" s="15">
        <v>81000</v>
      </c>
    </row>
    <row r="29" spans="1:9" x14ac:dyDescent="0.35">
      <c r="A29">
        <v>59494390</v>
      </c>
      <c r="B29">
        <v>33</v>
      </c>
      <c r="C29">
        <v>1666</v>
      </c>
      <c r="D29" s="15">
        <v>88400</v>
      </c>
    </row>
    <row r="30" spans="1:9" x14ac:dyDescent="0.35">
      <c r="A30">
        <v>62119367</v>
      </c>
      <c r="B30">
        <v>28</v>
      </c>
      <c r="C30">
        <v>1520</v>
      </c>
      <c r="D30" s="15">
        <v>83400</v>
      </c>
    </row>
    <row r="31" spans="1:9" x14ac:dyDescent="0.35">
      <c r="A31">
        <v>66088489</v>
      </c>
      <c r="B31">
        <v>32</v>
      </c>
      <c r="C31">
        <v>1620</v>
      </c>
      <c r="D31" s="15">
        <v>96700</v>
      </c>
    </row>
    <row r="32" spans="1:9" x14ac:dyDescent="0.35">
      <c r="A32">
        <v>70073187</v>
      </c>
      <c r="B32">
        <v>32</v>
      </c>
      <c r="C32">
        <v>2372</v>
      </c>
      <c r="D32" s="15">
        <v>113200</v>
      </c>
    </row>
    <row r="33" spans="1:4" x14ac:dyDescent="0.35">
      <c r="A33">
        <v>71696195</v>
      </c>
      <c r="B33">
        <v>32</v>
      </c>
      <c r="C33">
        <v>1852</v>
      </c>
      <c r="D33" s="15">
        <v>100800</v>
      </c>
    </row>
    <row r="34" spans="1:4" x14ac:dyDescent="0.35">
      <c r="A34">
        <v>72039234</v>
      </c>
      <c r="B34">
        <v>27</v>
      </c>
      <c r="C34">
        <v>1668</v>
      </c>
      <c r="D34" s="15">
        <v>90900</v>
      </c>
    </row>
    <row r="35" spans="1:4" x14ac:dyDescent="0.35">
      <c r="A35">
        <v>81566464</v>
      </c>
      <c r="B35">
        <v>32</v>
      </c>
      <c r="C35">
        <v>1791</v>
      </c>
      <c r="D35" s="15">
        <v>89200</v>
      </c>
    </row>
    <row r="36" spans="1:4" x14ac:dyDescent="0.35">
      <c r="A36">
        <v>83725451</v>
      </c>
      <c r="B36">
        <v>32</v>
      </c>
      <c r="C36">
        <v>1620</v>
      </c>
      <c r="D36" s="15">
        <v>94700</v>
      </c>
    </row>
    <row r="37" spans="1:4" x14ac:dyDescent="0.35">
      <c r="A37">
        <v>89966677</v>
      </c>
      <c r="B37">
        <v>32</v>
      </c>
      <c r="C37">
        <v>1914</v>
      </c>
      <c r="D37" s="15">
        <v>104400</v>
      </c>
    </row>
    <row r="38" spans="1:4" x14ac:dyDescent="0.35">
      <c r="A38">
        <v>90415006</v>
      </c>
      <c r="B38">
        <v>32</v>
      </c>
      <c r="C38">
        <v>1666</v>
      </c>
      <c r="D38" s="15">
        <v>87100</v>
      </c>
    </row>
    <row r="39" spans="1:4" x14ac:dyDescent="0.35">
      <c r="A39">
        <v>92199935</v>
      </c>
      <c r="B39">
        <v>27</v>
      </c>
      <c r="C39">
        <v>1520</v>
      </c>
      <c r="D39" s="15">
        <v>88600</v>
      </c>
    </row>
    <row r="40" spans="1:4" x14ac:dyDescent="0.35">
      <c r="A40">
        <v>95062224</v>
      </c>
      <c r="B40">
        <v>28</v>
      </c>
      <c r="C40">
        <v>1598</v>
      </c>
      <c r="D40" s="15">
        <v>87100</v>
      </c>
    </row>
    <row r="41" spans="1:4" x14ac:dyDescent="0.35">
      <c r="A41">
        <v>95364404</v>
      </c>
      <c r="B41">
        <v>28</v>
      </c>
      <c r="C41">
        <v>1520</v>
      </c>
      <c r="D41" s="15">
        <v>87200</v>
      </c>
    </row>
    <row r="42" spans="1:4" x14ac:dyDescent="0.35">
      <c r="A42">
        <v>95939603</v>
      </c>
      <c r="B42">
        <v>27</v>
      </c>
      <c r="C42">
        <v>1484</v>
      </c>
      <c r="D42" s="15">
        <v>79800</v>
      </c>
    </row>
    <row r="43" spans="1:4" x14ac:dyDescent="0.35">
      <c r="A43">
        <v>97045129</v>
      </c>
      <c r="B43">
        <v>32</v>
      </c>
      <c r="C43">
        <v>1732</v>
      </c>
      <c r="D43" s="15">
        <v>87600</v>
      </c>
    </row>
    <row r="1000" spans="648:648" x14ac:dyDescent="0.35">
      <c r="XX1000" s="47">
        <v>166765</v>
      </c>
    </row>
  </sheetData>
  <sortState xmlns:xlrd2="http://schemas.microsoft.com/office/spreadsheetml/2017/richdata2" ref="A2:D43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1893-15FD-4F20-8F0D-A572C08DE0A8}">
  <sheetPr codeName="Sheet8">
    <tabColor rgb="FF007800"/>
  </sheetPr>
  <dimension ref="A1:XX998"/>
  <sheetViews>
    <sheetView topLeftCell="A25" zoomScaleNormal="100" workbookViewId="0">
      <selection activeCell="B34" sqref="B34"/>
    </sheetView>
  </sheetViews>
  <sheetFormatPr defaultRowHeight="15.5" x14ac:dyDescent="0.35"/>
  <cols>
    <col min="1" max="1" width="15.6640625" customWidth="1"/>
    <col min="2" max="2" width="12.5" bestFit="1" customWidth="1"/>
    <col min="3" max="4" width="14.5" bestFit="1" customWidth="1"/>
    <col min="5" max="5" width="9.5" bestFit="1" customWidth="1"/>
    <col min="6" max="6" width="10.5" bestFit="1" customWidth="1"/>
    <col min="7" max="7" width="9.5" bestFit="1" customWidth="1"/>
    <col min="8" max="9" width="10.4140625" bestFit="1" customWidth="1"/>
    <col min="11" max="12" width="10.4140625" bestFit="1" customWidth="1"/>
  </cols>
  <sheetData>
    <row r="1" spans="1:8" x14ac:dyDescent="0.35">
      <c r="A1" t="s">
        <v>209</v>
      </c>
    </row>
    <row r="2" spans="1:8" x14ac:dyDescent="0.35">
      <c r="A2" t="s">
        <v>86</v>
      </c>
    </row>
    <row r="3" spans="1:8" x14ac:dyDescent="0.35">
      <c r="A3" t="s">
        <v>87</v>
      </c>
    </row>
    <row r="4" spans="1:8" x14ac:dyDescent="0.35">
      <c r="A4" t="s">
        <v>88</v>
      </c>
    </row>
    <row r="5" spans="1:8" x14ac:dyDescent="0.35">
      <c r="A5" t="s">
        <v>89</v>
      </c>
    </row>
    <row r="6" spans="1:8" ht="38" customHeight="1" x14ac:dyDescent="0.35"/>
    <row r="7" spans="1:8" ht="15.65" customHeight="1" x14ac:dyDescent="0.35">
      <c r="A7" s="30"/>
    </row>
    <row r="10" spans="1:8" x14ac:dyDescent="0.35">
      <c r="A10" s="2" t="s">
        <v>90</v>
      </c>
    </row>
    <row r="11" spans="1:8" ht="16" thickBot="1" x14ac:dyDescent="0.4"/>
    <row r="12" spans="1:8" ht="31.25" customHeight="1" x14ac:dyDescent="0.35">
      <c r="A12" s="49" t="s">
        <v>91</v>
      </c>
      <c r="B12" s="50" t="s">
        <v>92</v>
      </c>
      <c r="C12" s="50" t="s">
        <v>93</v>
      </c>
      <c r="D12" s="50" t="s">
        <v>94</v>
      </c>
      <c r="E12" s="50" t="s">
        <v>95</v>
      </c>
      <c r="F12" s="50" t="s">
        <v>96</v>
      </c>
      <c r="G12" s="50" t="s">
        <v>97</v>
      </c>
      <c r="H12" s="50" t="s">
        <v>98</v>
      </c>
    </row>
    <row r="13" spans="1:8" x14ac:dyDescent="0.35">
      <c r="A13" s="51" t="s">
        <v>24</v>
      </c>
      <c r="B13" s="53">
        <v>42</v>
      </c>
      <c r="C13" s="53">
        <v>0</v>
      </c>
      <c r="D13" s="53">
        <v>42</v>
      </c>
      <c r="E13" s="56">
        <v>76600</v>
      </c>
      <c r="F13" s="56">
        <v>120700</v>
      </c>
      <c r="G13" s="56">
        <v>92069.047619047604</v>
      </c>
      <c r="H13" s="56">
        <v>10553.082732946277</v>
      </c>
    </row>
    <row r="14" spans="1:8" x14ac:dyDescent="0.35">
      <c r="A14" s="48" t="s">
        <v>22</v>
      </c>
      <c r="B14" s="54">
        <v>42</v>
      </c>
      <c r="C14" s="54">
        <v>0</v>
      </c>
      <c r="D14" s="54">
        <v>42</v>
      </c>
      <c r="E14" s="57">
        <v>27</v>
      </c>
      <c r="F14" s="57">
        <v>33</v>
      </c>
      <c r="G14" s="57">
        <v>29.833333333333336</v>
      </c>
      <c r="H14" s="57">
        <v>2.428656827083612</v>
      </c>
    </row>
    <row r="15" spans="1:8" ht="16" thickBot="1" x14ac:dyDescent="0.4">
      <c r="A15" s="52" t="s">
        <v>23</v>
      </c>
      <c r="B15" s="55">
        <v>42</v>
      </c>
      <c r="C15" s="55">
        <v>0</v>
      </c>
      <c r="D15" s="55">
        <v>42</v>
      </c>
      <c r="E15" s="58">
        <v>1468</v>
      </c>
      <c r="F15" s="58">
        <v>2372</v>
      </c>
      <c r="G15" s="58">
        <v>1695.2619047619046</v>
      </c>
      <c r="H15" s="58">
        <v>220.25673041667616</v>
      </c>
    </row>
    <row r="18" spans="1:4" x14ac:dyDescent="0.35">
      <c r="A18" s="6" t="s">
        <v>99</v>
      </c>
    </row>
    <row r="19" spans="1:4" ht="16" thickBot="1" x14ac:dyDescent="0.4"/>
    <row r="20" spans="1:4" x14ac:dyDescent="0.35">
      <c r="A20" s="49"/>
      <c r="B20" s="50" t="s">
        <v>22</v>
      </c>
      <c r="C20" s="50" t="s">
        <v>23</v>
      </c>
      <c r="D20" s="59" t="s">
        <v>24</v>
      </c>
    </row>
    <row r="21" spans="1:4" x14ac:dyDescent="0.35">
      <c r="A21" s="60" t="s">
        <v>22</v>
      </c>
      <c r="B21" s="66">
        <v>1</v>
      </c>
      <c r="C21" s="62">
        <v>0.6456685219123045</v>
      </c>
      <c r="D21" s="63">
        <v>0.36141531316747799</v>
      </c>
    </row>
    <row r="22" spans="1:4" x14ac:dyDescent="0.35">
      <c r="A22" s="48" t="s">
        <v>23</v>
      </c>
      <c r="B22" s="57">
        <v>0.6456685219123045</v>
      </c>
      <c r="C22" s="67">
        <v>1</v>
      </c>
      <c r="D22" s="64">
        <v>0.73125522334851911</v>
      </c>
    </row>
    <row r="23" spans="1:4" ht="16" thickBot="1" x14ac:dyDescent="0.4">
      <c r="A23" s="61" t="s">
        <v>24</v>
      </c>
      <c r="B23" s="65">
        <v>0.36141531316747799</v>
      </c>
      <c r="C23" s="65">
        <v>0.73125522334851911</v>
      </c>
      <c r="D23" s="68">
        <v>1</v>
      </c>
    </row>
    <row r="26" spans="1:4" x14ac:dyDescent="0.35">
      <c r="A26" s="6" t="s">
        <v>100</v>
      </c>
    </row>
    <row r="28" spans="1:4" x14ac:dyDescent="0.35">
      <c r="A28" s="2" t="s">
        <v>101</v>
      </c>
    </row>
    <row r="29" spans="1:4" ht="16" thickBot="1" x14ac:dyDescent="0.4"/>
    <row r="30" spans="1:4" x14ac:dyDescent="0.35">
      <c r="A30" s="69" t="s">
        <v>92</v>
      </c>
      <c r="B30" s="70">
        <v>42</v>
      </c>
    </row>
    <row r="31" spans="1:4" x14ac:dyDescent="0.35">
      <c r="A31" s="48" t="s">
        <v>102</v>
      </c>
      <c r="B31" s="54">
        <v>42</v>
      </c>
    </row>
    <row r="32" spans="1:4" x14ac:dyDescent="0.35">
      <c r="A32" s="48" t="s">
        <v>103</v>
      </c>
      <c r="B32" s="54">
        <v>39</v>
      </c>
    </row>
    <row r="33" spans="1:7" x14ac:dyDescent="0.35">
      <c r="A33" s="48" t="s">
        <v>104</v>
      </c>
      <c r="B33" s="57">
        <v>0.55576246159547982</v>
      </c>
    </row>
    <row r="34" spans="1:7" x14ac:dyDescent="0.35">
      <c r="A34" s="48" t="s">
        <v>105</v>
      </c>
      <c r="B34" s="57">
        <v>0.532981049369607</v>
      </c>
    </row>
    <row r="35" spans="1:7" x14ac:dyDescent="0.35">
      <c r="A35" s="48" t="s">
        <v>106</v>
      </c>
      <c r="B35" s="57">
        <v>52010758.749022692</v>
      </c>
    </row>
    <row r="36" spans="1:7" x14ac:dyDescent="0.35">
      <c r="A36" s="48" t="s">
        <v>107</v>
      </c>
      <c r="B36" s="57">
        <v>7211.8484973703307</v>
      </c>
    </row>
    <row r="37" spans="1:7" x14ac:dyDescent="0.35">
      <c r="A37" s="48" t="s">
        <v>108</v>
      </c>
      <c r="B37" s="57">
        <v>5.1429496012481355</v>
      </c>
    </row>
    <row r="38" spans="1:7" x14ac:dyDescent="0.35">
      <c r="A38" s="48" t="s">
        <v>109</v>
      </c>
      <c r="B38" s="57">
        <v>2.2726965848074689</v>
      </c>
    </row>
    <row r="39" spans="1:7" x14ac:dyDescent="0.35">
      <c r="A39" s="48" t="s">
        <v>110</v>
      </c>
      <c r="B39" s="57">
        <v>3</v>
      </c>
    </row>
    <row r="40" spans="1:7" x14ac:dyDescent="0.35">
      <c r="A40" s="48" t="s">
        <v>111</v>
      </c>
      <c r="B40" s="57">
        <v>749.0998336444618</v>
      </c>
    </row>
    <row r="41" spans="1:7" x14ac:dyDescent="0.35">
      <c r="A41" s="48" t="s">
        <v>112</v>
      </c>
      <c r="B41" s="57">
        <v>749.73141259183024</v>
      </c>
    </row>
    <row r="42" spans="1:7" x14ac:dyDescent="0.35">
      <c r="A42" s="48" t="s">
        <v>113</v>
      </c>
      <c r="B42" s="57">
        <v>754.31284249931196</v>
      </c>
    </row>
    <row r="43" spans="1:7" ht="16" thickBot="1" x14ac:dyDescent="0.4">
      <c r="A43" s="52" t="s">
        <v>114</v>
      </c>
      <c r="B43" s="58">
        <v>0.51258177508213865</v>
      </c>
    </row>
    <row r="46" spans="1:7" x14ac:dyDescent="0.35">
      <c r="A46" s="2" t="s">
        <v>115</v>
      </c>
    </row>
    <row r="47" spans="1:7" ht="16" thickBot="1" x14ac:dyDescent="0.4"/>
    <row r="48" spans="1:7" ht="46.5" x14ac:dyDescent="0.35">
      <c r="A48" s="49" t="s">
        <v>116</v>
      </c>
      <c r="B48" s="50" t="s">
        <v>103</v>
      </c>
      <c r="C48" s="50" t="s">
        <v>117</v>
      </c>
      <c r="D48" s="50" t="s">
        <v>118</v>
      </c>
      <c r="E48" s="50" t="s">
        <v>119</v>
      </c>
      <c r="F48" s="50" t="s">
        <v>120</v>
      </c>
      <c r="G48" s="50" t="s">
        <v>121</v>
      </c>
    </row>
    <row r="49" spans="1:8" x14ac:dyDescent="0.35">
      <c r="A49" s="60" t="s">
        <v>122</v>
      </c>
      <c r="B49" s="62">
        <v>2</v>
      </c>
      <c r="C49" s="62">
        <v>2537650170.6928773</v>
      </c>
      <c r="D49" s="62">
        <v>1268825085.3464386</v>
      </c>
      <c r="E49" s="62">
        <v>24.395435018918668</v>
      </c>
      <c r="F49" s="74">
        <v>1.344303881031797E-7</v>
      </c>
      <c r="G49" s="77" t="s">
        <v>125</v>
      </c>
    </row>
    <row r="50" spans="1:8" x14ac:dyDescent="0.35">
      <c r="A50" s="48" t="s">
        <v>123</v>
      </c>
      <c r="B50" s="57">
        <v>39</v>
      </c>
      <c r="C50" s="57">
        <v>2028419591.211885</v>
      </c>
      <c r="D50" s="57">
        <v>52010758.749022692</v>
      </c>
      <c r="E50" s="57"/>
      <c r="F50" s="75"/>
      <c r="G50" s="78" t="s">
        <v>126</v>
      </c>
    </row>
    <row r="51" spans="1:8" ht="16" thickBot="1" x14ac:dyDescent="0.4">
      <c r="A51" s="52" t="s">
        <v>124</v>
      </c>
      <c r="B51" s="58">
        <v>41</v>
      </c>
      <c r="C51" s="58">
        <v>4566069761.9047623</v>
      </c>
      <c r="D51" s="58"/>
      <c r="E51" s="58"/>
      <c r="F51" s="76"/>
      <c r="G51" s="79" t="s">
        <v>126</v>
      </c>
    </row>
    <row r="52" spans="1:8" x14ac:dyDescent="0.35">
      <c r="A52" s="80" t="s">
        <v>127</v>
      </c>
    </row>
    <row r="53" spans="1:8" x14ac:dyDescent="0.35">
      <c r="A53" s="80" t="s">
        <v>128</v>
      </c>
    </row>
    <row r="56" spans="1:8" x14ac:dyDescent="0.35">
      <c r="A56" s="2" t="s">
        <v>129</v>
      </c>
    </row>
    <row r="57" spans="1:8" ht="16" thickBot="1" x14ac:dyDescent="0.4"/>
    <row r="58" spans="1:8" ht="46.5" x14ac:dyDescent="0.35">
      <c r="A58" s="49" t="s">
        <v>116</v>
      </c>
      <c r="B58" s="50" t="s">
        <v>130</v>
      </c>
      <c r="C58" s="50" t="s">
        <v>131</v>
      </c>
      <c r="D58" s="50" t="s">
        <v>132</v>
      </c>
      <c r="E58" s="50" t="s">
        <v>133</v>
      </c>
      <c r="F58" s="50" t="s">
        <v>134</v>
      </c>
      <c r="G58" s="50" t="s">
        <v>135</v>
      </c>
      <c r="H58" s="50" t="s">
        <v>121</v>
      </c>
    </row>
    <row r="59" spans="1:8" x14ac:dyDescent="0.35">
      <c r="A59" s="60" t="s">
        <v>16</v>
      </c>
      <c r="B59" s="62">
        <v>47331.381535615728</v>
      </c>
      <c r="C59" s="62">
        <v>13884.346643674533</v>
      </c>
      <c r="D59" s="62">
        <v>3.4089743471781642</v>
      </c>
      <c r="E59" s="74">
        <v>1.5278314783177794E-3</v>
      </c>
      <c r="F59" s="62">
        <v>19247.639648917157</v>
      </c>
      <c r="G59" s="62">
        <v>75415.123422314296</v>
      </c>
      <c r="H59" s="77" t="s">
        <v>136</v>
      </c>
    </row>
    <row r="60" spans="1:8" x14ac:dyDescent="0.35">
      <c r="A60" s="48" t="s">
        <v>22</v>
      </c>
      <c r="B60" s="57">
        <v>-825.16122034561795</v>
      </c>
      <c r="C60" s="57">
        <v>607.31284208342515</v>
      </c>
      <c r="D60" s="57">
        <v>-1.3587086640797026</v>
      </c>
      <c r="E60" s="72">
        <v>0.18204590958146083</v>
      </c>
      <c r="F60" s="57">
        <v>-2053.5673916448977</v>
      </c>
      <c r="G60" s="57">
        <v>403.24495095366206</v>
      </c>
      <c r="H60" s="78" t="s">
        <v>137</v>
      </c>
    </row>
    <row r="61" spans="1:8" ht="16" thickBot="1" x14ac:dyDescent="0.4">
      <c r="A61" s="52" t="s">
        <v>23</v>
      </c>
      <c r="B61" s="58">
        <v>40.911068448437504</v>
      </c>
      <c r="C61" s="58">
        <v>6.6965239941189552</v>
      </c>
      <c r="D61" s="58">
        <v>6.1092991654127671</v>
      </c>
      <c r="E61" s="76">
        <v>3.6510130119182804E-7</v>
      </c>
      <c r="F61" s="58">
        <v>27.366070169775327</v>
      </c>
      <c r="G61" s="58">
        <v>54.456066727099682</v>
      </c>
      <c r="H61" s="79" t="s">
        <v>125</v>
      </c>
    </row>
    <row r="62" spans="1:8" x14ac:dyDescent="0.35">
      <c r="A62" s="80" t="s">
        <v>128</v>
      </c>
    </row>
    <row r="65" spans="1:8" x14ac:dyDescent="0.35">
      <c r="A65" s="2" t="s">
        <v>138</v>
      </c>
    </row>
    <row r="67" spans="1:8" x14ac:dyDescent="0.35">
      <c r="A67" t="s">
        <v>139</v>
      </c>
    </row>
    <row r="70" spans="1:8" x14ac:dyDescent="0.35">
      <c r="A70" s="2" t="s">
        <v>140</v>
      </c>
    </row>
    <row r="71" spans="1:8" ht="16" thickBot="1" x14ac:dyDescent="0.4"/>
    <row r="72" spans="1:8" ht="46.5" x14ac:dyDescent="0.35">
      <c r="A72" s="49" t="s">
        <v>116</v>
      </c>
      <c r="B72" s="50" t="s">
        <v>130</v>
      </c>
      <c r="C72" s="50" t="s">
        <v>131</v>
      </c>
      <c r="D72" s="50" t="s">
        <v>132</v>
      </c>
      <c r="E72" s="50" t="s">
        <v>133</v>
      </c>
      <c r="F72" s="50" t="s">
        <v>134</v>
      </c>
      <c r="G72" s="50" t="s">
        <v>135</v>
      </c>
      <c r="H72" s="50" t="s">
        <v>121</v>
      </c>
    </row>
    <row r="73" spans="1:8" x14ac:dyDescent="0.35">
      <c r="A73" s="60" t="s">
        <v>22</v>
      </c>
      <c r="B73" s="62">
        <v>-0.18990028619604418</v>
      </c>
      <c r="C73" s="62">
        <v>0.13976527214144896</v>
      </c>
      <c r="D73" s="62">
        <v>-1.3587086640797026</v>
      </c>
      <c r="E73" s="71">
        <v>0.18204590958146083</v>
      </c>
      <c r="F73" s="62">
        <v>-0.47260223309196503</v>
      </c>
      <c r="G73" s="62">
        <v>9.2801660699876692E-2</v>
      </c>
      <c r="H73" s="77" t="s">
        <v>137</v>
      </c>
    </row>
    <row r="74" spans="1:8" ht="16" thickBot="1" x14ac:dyDescent="0.4">
      <c r="A74" s="52" t="s">
        <v>23</v>
      </c>
      <c r="B74" s="58">
        <v>0.85386786044744245</v>
      </c>
      <c r="C74" s="58">
        <v>0.13976527214144896</v>
      </c>
      <c r="D74" s="58">
        <v>6.1092991654127671</v>
      </c>
      <c r="E74" s="76">
        <v>3.6510130119182804E-7</v>
      </c>
      <c r="F74" s="58">
        <v>0.57116591355152158</v>
      </c>
      <c r="G74" s="58">
        <v>1.1365698073433634</v>
      </c>
      <c r="H74" s="79" t="s">
        <v>125</v>
      </c>
    </row>
    <row r="75" spans="1:8" x14ac:dyDescent="0.35">
      <c r="A75" s="80" t="s">
        <v>128</v>
      </c>
    </row>
    <row r="94" spans="4:4" x14ac:dyDescent="0.35">
      <c r="D94" t="s">
        <v>141</v>
      </c>
    </row>
    <row r="97" spans="1:12" x14ac:dyDescent="0.35">
      <c r="A97" s="2" t="s">
        <v>142</v>
      </c>
    </row>
    <row r="98" spans="1:12" ht="16" thickBot="1" x14ac:dyDescent="0.4"/>
    <row r="99" spans="1:12" ht="62" x14ac:dyDescent="0.35">
      <c r="A99" s="49" t="s">
        <v>143</v>
      </c>
      <c r="B99" s="50" t="s">
        <v>144</v>
      </c>
      <c r="C99" s="50" t="s">
        <v>24</v>
      </c>
      <c r="D99" s="50" t="s">
        <v>187</v>
      </c>
      <c r="E99" s="50" t="s">
        <v>188</v>
      </c>
      <c r="F99" s="50" t="s">
        <v>189</v>
      </c>
      <c r="G99" s="50" t="s">
        <v>190</v>
      </c>
      <c r="H99" s="50" t="s">
        <v>191</v>
      </c>
      <c r="I99" s="50" t="s">
        <v>192</v>
      </c>
      <c r="J99" s="50" t="s">
        <v>193</v>
      </c>
      <c r="K99" s="50" t="s">
        <v>194</v>
      </c>
      <c r="L99" s="50" t="s">
        <v>195</v>
      </c>
    </row>
    <row r="100" spans="1:12" x14ac:dyDescent="0.35">
      <c r="A100" s="60" t="s">
        <v>145</v>
      </c>
      <c r="B100" s="81">
        <v>1</v>
      </c>
      <c r="C100" s="62">
        <v>101900</v>
      </c>
      <c r="D100" s="62">
        <v>96038.944155887206</v>
      </c>
      <c r="E100" s="62">
        <v>5861.0558441127941</v>
      </c>
      <c r="F100" s="62">
        <v>0.81269813782831424</v>
      </c>
      <c r="G100" s="62">
        <v>1502.1988544212991</v>
      </c>
      <c r="H100" s="62">
        <v>93000.460172970954</v>
      </c>
      <c r="I100" s="62">
        <v>99077.428138803458</v>
      </c>
      <c r="J100" s="62">
        <v>7366.638320648528</v>
      </c>
      <c r="K100" s="62">
        <v>81138.511713572167</v>
      </c>
      <c r="L100" s="62">
        <v>110939.37659820225</v>
      </c>
    </row>
    <row r="101" spans="1:12" x14ac:dyDescent="0.35">
      <c r="A101" s="48" t="s">
        <v>146</v>
      </c>
      <c r="B101" s="54">
        <v>1</v>
      </c>
      <c r="C101" s="57">
        <v>96700</v>
      </c>
      <c r="D101" s="57">
        <v>93946.267853452795</v>
      </c>
      <c r="E101" s="57">
        <v>2753.732146547205</v>
      </c>
      <c r="F101" s="57">
        <v>0.38183444196745164</v>
      </c>
      <c r="G101" s="57">
        <v>2009.3132092087369</v>
      </c>
      <c r="H101" s="57">
        <v>89882.048269691528</v>
      </c>
      <c r="I101" s="57">
        <v>98010.487437214062</v>
      </c>
      <c r="J101" s="57">
        <v>7486.5277880819631</v>
      </c>
      <c r="K101" s="57">
        <v>78803.336073953018</v>
      </c>
      <c r="L101" s="57">
        <v>109089.19963295257</v>
      </c>
    </row>
    <row r="102" spans="1:12" x14ac:dyDescent="0.35">
      <c r="A102" s="48" t="s">
        <v>147</v>
      </c>
      <c r="B102" s="54">
        <v>1</v>
      </c>
      <c r="C102" s="57">
        <v>84400</v>
      </c>
      <c r="D102" s="57">
        <v>86411.691407563427</v>
      </c>
      <c r="E102" s="57">
        <v>-2011.6914075634268</v>
      </c>
      <c r="F102" s="57">
        <v>-0.27894254965241622</v>
      </c>
      <c r="G102" s="57">
        <v>1472.4204190844609</v>
      </c>
      <c r="H102" s="57">
        <v>83433.439995415683</v>
      </c>
      <c r="I102" s="57">
        <v>89389.94281971117</v>
      </c>
      <c r="J102" s="57">
        <v>7360.6236583294731</v>
      </c>
      <c r="K102" s="57">
        <v>71523.424768108191</v>
      </c>
      <c r="L102" s="57">
        <v>101299.95804701866</v>
      </c>
    </row>
    <row r="103" spans="1:12" x14ac:dyDescent="0.35">
      <c r="A103" s="48" t="s">
        <v>148</v>
      </c>
      <c r="B103" s="54">
        <v>1</v>
      </c>
      <c r="C103" s="57">
        <v>96000</v>
      </c>
      <c r="D103" s="57">
        <v>95786.537893819725</v>
      </c>
      <c r="E103" s="57">
        <v>213.46210618027544</v>
      </c>
      <c r="F103" s="57">
        <v>2.9598806222580869E-2</v>
      </c>
      <c r="G103" s="57">
        <v>1853.9816475694731</v>
      </c>
      <c r="H103" s="57">
        <v>92036.506049380143</v>
      </c>
      <c r="I103" s="57">
        <v>99536.569738259306</v>
      </c>
      <c r="J103" s="57">
        <v>7446.341833312993</v>
      </c>
      <c r="K103" s="57">
        <v>80724.889880143848</v>
      </c>
      <c r="L103" s="57">
        <v>110848.1859074956</v>
      </c>
    </row>
    <row r="104" spans="1:12" x14ac:dyDescent="0.35">
      <c r="A104" s="48" t="s">
        <v>149</v>
      </c>
      <c r="B104" s="54">
        <v>1</v>
      </c>
      <c r="C104" s="57">
        <v>78800</v>
      </c>
      <c r="D104" s="57">
        <v>84938.892943419676</v>
      </c>
      <c r="E104" s="57">
        <v>-6138.8929434196762</v>
      </c>
      <c r="F104" s="57">
        <v>-0.85122322600899225</v>
      </c>
      <c r="G104" s="57">
        <v>1563.7769631839558</v>
      </c>
      <c r="H104" s="57">
        <v>81775.855479036632</v>
      </c>
      <c r="I104" s="57">
        <v>88101.93040780272</v>
      </c>
      <c r="J104" s="57">
        <v>7379.4415194923477</v>
      </c>
      <c r="K104" s="57">
        <v>70012.56358705592</v>
      </c>
      <c r="L104" s="57">
        <v>99865.222299783432</v>
      </c>
    </row>
    <row r="105" spans="1:12" x14ac:dyDescent="0.35">
      <c r="A105" s="48" t="s">
        <v>150</v>
      </c>
      <c r="B105" s="54">
        <v>1</v>
      </c>
      <c r="C105" s="57">
        <v>86400</v>
      </c>
      <c r="D105" s="57">
        <v>91743.281968801268</v>
      </c>
      <c r="E105" s="57">
        <v>-5343.2819688012678</v>
      </c>
      <c r="F105" s="57">
        <v>-0.74090324703154786</v>
      </c>
      <c r="G105" s="57">
        <v>1618.7707401847003</v>
      </c>
      <c r="H105" s="57">
        <v>88469.009091020707</v>
      </c>
      <c r="I105" s="57">
        <v>95017.554846581828</v>
      </c>
      <c r="J105" s="57">
        <v>7391.2906490206979</v>
      </c>
      <c r="K105" s="57">
        <v>76792.985485730271</v>
      </c>
      <c r="L105" s="57">
        <v>106693.57845187226</v>
      </c>
    </row>
    <row r="106" spans="1:12" x14ac:dyDescent="0.35">
      <c r="A106" s="48" t="s">
        <v>151</v>
      </c>
      <c r="B106" s="54">
        <v>1</v>
      </c>
      <c r="C106" s="57">
        <v>82000</v>
      </c>
      <c r="D106" s="57">
        <v>84938.892943419676</v>
      </c>
      <c r="E106" s="57">
        <v>-2938.8929434196762</v>
      </c>
      <c r="F106" s="57">
        <v>-0.40750896867721081</v>
      </c>
      <c r="G106" s="57">
        <v>1563.7769631839558</v>
      </c>
      <c r="H106" s="57">
        <v>81775.855479036632</v>
      </c>
      <c r="I106" s="57">
        <v>88101.93040780272</v>
      </c>
      <c r="J106" s="57">
        <v>7379.4415194923477</v>
      </c>
      <c r="K106" s="57">
        <v>70012.56358705592</v>
      </c>
      <c r="L106" s="57">
        <v>99865.222299783432</v>
      </c>
    </row>
    <row r="107" spans="1:12" x14ac:dyDescent="0.35">
      <c r="A107" s="48" t="s">
        <v>152</v>
      </c>
      <c r="B107" s="54">
        <v>1</v>
      </c>
      <c r="C107" s="57">
        <v>120700</v>
      </c>
      <c r="D107" s="57">
        <v>89732.427803263738</v>
      </c>
      <c r="E107" s="57">
        <v>30967.572196736262</v>
      </c>
      <c r="F107" s="57">
        <v>4.2939854058259854</v>
      </c>
      <c r="G107" s="57">
        <v>1756.2720312496272</v>
      </c>
      <c r="H107" s="57">
        <v>86180.032312553856</v>
      </c>
      <c r="I107" s="57">
        <v>93284.823293973619</v>
      </c>
      <c r="J107" s="57">
        <v>7422.6174761180018</v>
      </c>
      <c r="K107" s="57">
        <v>74718.766831469693</v>
      </c>
      <c r="L107" s="57">
        <v>104746.08877505778</v>
      </c>
    </row>
    <row r="108" spans="1:12" x14ac:dyDescent="0.35">
      <c r="A108" s="48" t="s">
        <v>153</v>
      </c>
      <c r="B108" s="54">
        <v>1</v>
      </c>
      <c r="C108" s="57">
        <v>81500</v>
      </c>
      <c r="D108" s="57">
        <v>89193.644062057181</v>
      </c>
      <c r="E108" s="57">
        <v>-7693.6440620571811</v>
      </c>
      <c r="F108" s="57">
        <v>-1.0668061128658664</v>
      </c>
      <c r="G108" s="57">
        <v>1400.4360977936481</v>
      </c>
      <c r="H108" s="57">
        <v>86360.994682968827</v>
      </c>
      <c r="I108" s="57">
        <v>92026.293441145535</v>
      </c>
      <c r="J108" s="57">
        <v>7346.5624623374833</v>
      </c>
      <c r="K108" s="57">
        <v>74333.818876059697</v>
      </c>
      <c r="L108" s="57">
        <v>104053.46924805467</v>
      </c>
    </row>
    <row r="109" spans="1:12" x14ac:dyDescent="0.35">
      <c r="A109" s="48" t="s">
        <v>154</v>
      </c>
      <c r="B109" s="54">
        <v>1</v>
      </c>
      <c r="C109" s="57">
        <v>114000</v>
      </c>
      <c r="D109" s="57">
        <v>117967.27684424972</v>
      </c>
      <c r="E109" s="57">
        <v>-3967.2768442497181</v>
      </c>
      <c r="F109" s="57">
        <v>-0.55010540580494904</v>
      </c>
      <c r="G109" s="57">
        <v>3975.7424705743938</v>
      </c>
      <c r="H109" s="57">
        <v>109925.57864864438</v>
      </c>
      <c r="I109" s="57">
        <v>126008.97503985505</v>
      </c>
      <c r="J109" s="57">
        <v>8235.1251928159345</v>
      </c>
      <c r="K109" s="57">
        <v>101310.1638914371</v>
      </c>
      <c r="L109" s="57">
        <v>134624.38979706235</v>
      </c>
    </row>
    <row r="110" spans="1:12" x14ac:dyDescent="0.35">
      <c r="A110" s="48" t="s">
        <v>155</v>
      </c>
      <c r="B110" s="54">
        <v>1</v>
      </c>
      <c r="C110" s="57">
        <v>76600</v>
      </c>
      <c r="D110" s="57">
        <v>85764.054163765293</v>
      </c>
      <c r="E110" s="57">
        <v>-9164.0541637652932</v>
      </c>
      <c r="F110" s="57">
        <v>-1.2706942148197926</v>
      </c>
      <c r="G110" s="57">
        <v>1748.4597938554846</v>
      </c>
      <c r="H110" s="57">
        <v>82227.460414697649</v>
      </c>
      <c r="I110" s="57">
        <v>89300.647912832937</v>
      </c>
      <c r="J110" s="57">
        <v>7420.772897734565</v>
      </c>
      <c r="K110" s="57">
        <v>70754.124203918705</v>
      </c>
      <c r="L110" s="57">
        <v>100773.98412361188</v>
      </c>
    </row>
    <row r="111" spans="1:12" x14ac:dyDescent="0.35">
      <c r="A111" s="48" t="s">
        <v>156</v>
      </c>
      <c r="B111" s="54">
        <v>1</v>
      </c>
      <c r="C111" s="57">
        <v>90000</v>
      </c>
      <c r="D111" s="57">
        <v>94231.917292779093</v>
      </c>
      <c r="E111" s="57">
        <v>-4231.9172927790933</v>
      </c>
      <c r="F111" s="57">
        <v>-0.58680063707968699</v>
      </c>
      <c r="G111" s="57">
        <v>1899.1039213561053</v>
      </c>
      <c r="H111" s="57">
        <v>90390.617034860217</v>
      </c>
      <c r="I111" s="57">
        <v>98073.217550697969</v>
      </c>
      <c r="J111" s="57">
        <v>7457.7043688478852</v>
      </c>
      <c r="K111" s="57">
        <v>79147.286381648271</v>
      </c>
      <c r="L111" s="57">
        <v>109316.54820390992</v>
      </c>
    </row>
    <row r="112" spans="1:12" x14ac:dyDescent="0.35">
      <c r="A112" s="48" t="s">
        <v>157</v>
      </c>
      <c r="B112" s="54">
        <v>1</v>
      </c>
      <c r="C112" s="57">
        <v>93300</v>
      </c>
      <c r="D112" s="57">
        <v>96284.410566577833</v>
      </c>
      <c r="E112" s="57">
        <v>-2984.4105665778334</v>
      </c>
      <c r="F112" s="57">
        <v>-0.41382047441318887</v>
      </c>
      <c r="G112" s="57">
        <v>1505.2167831821353</v>
      </c>
      <c r="H112" s="57">
        <v>93239.82224655975</v>
      </c>
      <c r="I112" s="57">
        <v>99328.998886595917</v>
      </c>
      <c r="J112" s="57">
        <v>7367.2543266400044</v>
      </c>
      <c r="K112" s="57">
        <v>81382.73213453716</v>
      </c>
      <c r="L112" s="57">
        <v>111186.08899861851</v>
      </c>
    </row>
    <row r="113" spans="1:12" x14ac:dyDescent="0.35">
      <c r="A113" s="48" t="s">
        <v>158</v>
      </c>
      <c r="B113" s="54">
        <v>1</v>
      </c>
      <c r="C113" s="57">
        <v>81300</v>
      </c>
      <c r="D113" s="57">
        <v>85764.054163765293</v>
      </c>
      <c r="E113" s="57">
        <v>-4464.0541637652932</v>
      </c>
      <c r="F113" s="57">
        <v>-0.61898889936373858</v>
      </c>
      <c r="G113" s="57">
        <v>1748.4597938554846</v>
      </c>
      <c r="H113" s="57">
        <v>82227.460414697649</v>
      </c>
      <c r="I113" s="57">
        <v>89300.647912832937</v>
      </c>
      <c r="J113" s="57">
        <v>7420.772897734565</v>
      </c>
      <c r="K113" s="57">
        <v>70754.124203918705</v>
      </c>
      <c r="L113" s="57">
        <v>100773.98412361188</v>
      </c>
    </row>
    <row r="114" spans="1:12" x14ac:dyDescent="0.35">
      <c r="A114" s="48" t="s">
        <v>159</v>
      </c>
      <c r="B114" s="54">
        <v>1</v>
      </c>
      <c r="C114" s="57">
        <v>87500</v>
      </c>
      <c r="D114" s="57">
        <v>90147.750299312218</v>
      </c>
      <c r="E114" s="57">
        <v>-2647.750299312218</v>
      </c>
      <c r="F114" s="57">
        <v>-0.36713892426853834</v>
      </c>
      <c r="G114" s="57">
        <v>1734.1832592037945</v>
      </c>
      <c r="H114" s="57">
        <v>86640.033567254039</v>
      </c>
      <c r="I114" s="57">
        <v>93655.467031370397</v>
      </c>
      <c r="J114" s="57">
        <v>7417.4220808529826</v>
      </c>
      <c r="K114" s="57">
        <v>75144.5980063467</v>
      </c>
      <c r="L114" s="57">
        <v>105150.90259227774</v>
      </c>
    </row>
    <row r="115" spans="1:12" x14ac:dyDescent="0.35">
      <c r="A115" s="48" t="s">
        <v>160</v>
      </c>
      <c r="B115" s="54">
        <v>1</v>
      </c>
      <c r="C115" s="57">
        <v>87600</v>
      </c>
      <c r="D115" s="57">
        <v>86411.691407563427</v>
      </c>
      <c r="E115" s="57">
        <v>1188.3085924365732</v>
      </c>
      <c r="F115" s="57">
        <v>0.16477170767936519</v>
      </c>
      <c r="G115" s="57">
        <v>1472.4204190844609</v>
      </c>
      <c r="H115" s="57">
        <v>83433.439995415683</v>
      </c>
      <c r="I115" s="57">
        <v>89389.94281971117</v>
      </c>
      <c r="J115" s="57">
        <v>7360.6236583294731</v>
      </c>
      <c r="K115" s="57">
        <v>71523.424768108191</v>
      </c>
      <c r="L115" s="57">
        <v>101299.95804701866</v>
      </c>
    </row>
    <row r="116" spans="1:12" x14ac:dyDescent="0.35">
      <c r="A116" s="48" t="s">
        <v>161</v>
      </c>
      <c r="B116" s="54">
        <v>1</v>
      </c>
      <c r="C116" s="57">
        <v>116100</v>
      </c>
      <c r="D116" s="57">
        <v>107780.42080058878</v>
      </c>
      <c r="E116" s="57">
        <v>8319.5791994112224</v>
      </c>
      <c r="F116" s="57">
        <v>1.1535987205561522</v>
      </c>
      <c r="G116" s="57">
        <v>2511.4205280760289</v>
      </c>
      <c r="H116" s="57">
        <v>102700.59330207443</v>
      </c>
      <c r="I116" s="57">
        <v>112860.24829910313</v>
      </c>
      <c r="J116" s="57">
        <v>7636.6217542748818</v>
      </c>
      <c r="K116" s="57">
        <v>92333.895318519411</v>
      </c>
      <c r="L116" s="57">
        <v>123226.94628265814</v>
      </c>
    </row>
    <row r="117" spans="1:12" x14ac:dyDescent="0.35">
      <c r="A117" s="48" t="s">
        <v>162</v>
      </c>
      <c r="B117" s="54">
        <v>1</v>
      </c>
      <c r="C117" s="57">
        <v>91300</v>
      </c>
      <c r="D117" s="57">
        <v>97212.213477950936</v>
      </c>
      <c r="E117" s="57">
        <v>-5912.2134779509361</v>
      </c>
      <c r="F117" s="57">
        <v>-0.81979169142373376</v>
      </c>
      <c r="G117" s="57">
        <v>1919.7727725628174</v>
      </c>
      <c r="H117" s="57">
        <v>93329.10652236882</v>
      </c>
      <c r="I117" s="57">
        <v>101095.32043353305</v>
      </c>
      <c r="J117" s="57">
        <v>7462.9944557996441</v>
      </c>
      <c r="K117" s="57">
        <v>82116.882355976632</v>
      </c>
      <c r="L117" s="57">
        <v>112307.54459992524</v>
      </c>
    </row>
    <row r="118" spans="1:12" x14ac:dyDescent="0.35">
      <c r="A118" s="48" t="s">
        <v>163</v>
      </c>
      <c r="B118" s="54">
        <v>1</v>
      </c>
      <c r="C118" s="57">
        <v>100700</v>
      </c>
      <c r="D118" s="57">
        <v>87236.852627909044</v>
      </c>
      <c r="E118" s="57">
        <v>13463.147372090956</v>
      </c>
      <c r="F118" s="57">
        <v>1.8668095117361447</v>
      </c>
      <c r="G118" s="57">
        <v>1723.0197458784803</v>
      </c>
      <c r="H118" s="57">
        <v>83751.716232889594</v>
      </c>
      <c r="I118" s="57">
        <v>90721.989022928494</v>
      </c>
      <c r="J118" s="57">
        <v>7414.8200108775291</v>
      </c>
      <c r="K118" s="57">
        <v>72238.963518256147</v>
      </c>
      <c r="L118" s="57">
        <v>102234.74173756194</v>
      </c>
    </row>
    <row r="119" spans="1:12" x14ac:dyDescent="0.35">
      <c r="A119" s="48" t="s">
        <v>164</v>
      </c>
      <c r="B119" s="54">
        <v>1</v>
      </c>
      <c r="C119" s="57">
        <v>88100</v>
      </c>
      <c r="D119" s="57">
        <v>86411.691407563427</v>
      </c>
      <c r="E119" s="57">
        <v>1688.3085924365732</v>
      </c>
      <c r="F119" s="57">
        <v>0.23410206038745604</v>
      </c>
      <c r="G119" s="57">
        <v>1472.4204190844609</v>
      </c>
      <c r="H119" s="57">
        <v>83433.439995415683</v>
      </c>
      <c r="I119" s="57">
        <v>89389.94281971117</v>
      </c>
      <c r="J119" s="57">
        <v>7360.6236583294731</v>
      </c>
      <c r="K119" s="57">
        <v>71523.424768108191</v>
      </c>
      <c r="L119" s="57">
        <v>101299.95804701866</v>
      </c>
    </row>
    <row r="120" spans="1:12" x14ac:dyDescent="0.35">
      <c r="A120" s="48" t="s">
        <v>165</v>
      </c>
      <c r="B120" s="54">
        <v>1</v>
      </c>
      <c r="C120" s="57">
        <v>91000</v>
      </c>
      <c r="D120" s="57">
        <v>94231.917292779093</v>
      </c>
      <c r="E120" s="57">
        <v>-3231.9172927790933</v>
      </c>
      <c r="F120" s="57">
        <v>-0.4481399316635053</v>
      </c>
      <c r="G120" s="57">
        <v>1899.1039213561053</v>
      </c>
      <c r="H120" s="57">
        <v>90390.617034860217</v>
      </c>
      <c r="I120" s="57">
        <v>98073.217550697969</v>
      </c>
      <c r="J120" s="57">
        <v>7457.7043688478852</v>
      </c>
      <c r="K120" s="57">
        <v>79147.286381648271</v>
      </c>
      <c r="L120" s="57">
        <v>109316.54820390992</v>
      </c>
    </row>
    <row r="121" spans="1:12" x14ac:dyDescent="0.35">
      <c r="A121" s="48" t="s">
        <v>166</v>
      </c>
      <c r="B121" s="54">
        <v>1</v>
      </c>
      <c r="C121" s="57">
        <v>82600</v>
      </c>
      <c r="D121" s="57">
        <v>84938.892943419676</v>
      </c>
      <c r="E121" s="57">
        <v>-2338.8929434196762</v>
      </c>
      <c r="F121" s="57">
        <v>-0.32431254542750182</v>
      </c>
      <c r="G121" s="57">
        <v>1563.7769631839558</v>
      </c>
      <c r="H121" s="57">
        <v>81775.855479036632</v>
      </c>
      <c r="I121" s="57">
        <v>88101.93040780272</v>
      </c>
      <c r="J121" s="57">
        <v>7379.4415194923477</v>
      </c>
      <c r="K121" s="57">
        <v>70012.56358705592</v>
      </c>
      <c r="L121" s="57">
        <v>99865.222299783432</v>
      </c>
    </row>
    <row r="122" spans="1:12" x14ac:dyDescent="0.35">
      <c r="A122" s="48" t="s">
        <v>167</v>
      </c>
      <c r="B122" s="54">
        <v>1</v>
      </c>
      <c r="C122" s="57">
        <v>108500</v>
      </c>
      <c r="D122" s="57">
        <v>103068.7080776416</v>
      </c>
      <c r="E122" s="57">
        <v>5431.2919223584031</v>
      </c>
      <c r="F122" s="57">
        <v>0.75310676927542564</v>
      </c>
      <c r="G122" s="57">
        <v>2090.006638765863</v>
      </c>
      <c r="H122" s="57">
        <v>98841.270626609112</v>
      </c>
      <c r="I122" s="57">
        <v>107296.14552867408</v>
      </c>
      <c r="J122" s="57">
        <v>7508.5875169107585</v>
      </c>
      <c r="K122" s="57">
        <v>87881.156284941506</v>
      </c>
      <c r="L122" s="57">
        <v>118256.25987034169</v>
      </c>
    </row>
    <row r="123" spans="1:12" x14ac:dyDescent="0.35">
      <c r="A123" s="48" t="s">
        <v>168</v>
      </c>
      <c r="B123" s="54">
        <v>1</v>
      </c>
      <c r="C123" s="57">
        <v>88100</v>
      </c>
      <c r="D123" s="57">
        <v>84284.315848244689</v>
      </c>
      <c r="E123" s="57">
        <v>3815.6841517553112</v>
      </c>
      <c r="F123" s="57">
        <v>0.52908545612773628</v>
      </c>
      <c r="G123" s="57">
        <v>1614.3068394233401</v>
      </c>
      <c r="H123" s="57">
        <v>81019.072062002044</v>
      </c>
      <c r="I123" s="57">
        <v>87549.559634487334</v>
      </c>
      <c r="J123" s="57">
        <v>7390.3142910725837</v>
      </c>
      <c r="K123" s="57">
        <v>69335.99423553003</v>
      </c>
      <c r="L123" s="57">
        <v>99232.637460959348</v>
      </c>
    </row>
    <row r="124" spans="1:12" x14ac:dyDescent="0.35">
      <c r="A124" s="48" t="s">
        <v>169</v>
      </c>
      <c r="B124" s="54">
        <v>1</v>
      </c>
      <c r="C124" s="57">
        <v>94200</v>
      </c>
      <c r="D124" s="57">
        <v>94641.75601707623</v>
      </c>
      <c r="E124" s="57">
        <v>-441.75601707622991</v>
      </c>
      <c r="F124" s="57">
        <v>-6.1254200949632846E-2</v>
      </c>
      <c r="G124" s="57">
        <v>2070.286543605197</v>
      </c>
      <c r="H124" s="57">
        <v>90454.206223467336</v>
      </c>
      <c r="I124" s="57">
        <v>98829.305810685124</v>
      </c>
      <c r="J124" s="57">
        <v>7503.1223581689947</v>
      </c>
      <c r="K124" s="57">
        <v>79465.258551339619</v>
      </c>
      <c r="L124" s="57">
        <v>109818.25348281284</v>
      </c>
    </row>
    <row r="125" spans="1:12" x14ac:dyDescent="0.35">
      <c r="A125" s="48" t="s">
        <v>170</v>
      </c>
      <c r="B125" s="54">
        <v>1</v>
      </c>
      <c r="C125" s="57">
        <v>87500</v>
      </c>
      <c r="D125" s="57">
        <v>88258.901299307225</v>
      </c>
      <c r="E125" s="57">
        <v>-758.90129930722469</v>
      </c>
      <c r="F125" s="57">
        <v>-0.10522978950319661</v>
      </c>
      <c r="G125" s="57">
        <v>2337.0754381578417</v>
      </c>
      <c r="H125" s="57">
        <v>83531.720031122066</v>
      </c>
      <c r="I125" s="57">
        <v>92986.082567492384</v>
      </c>
      <c r="J125" s="57">
        <v>7581.0738258285919</v>
      </c>
      <c r="K125" s="57">
        <v>72924.732107732591</v>
      </c>
      <c r="L125" s="57">
        <v>103593.07049088186</v>
      </c>
    </row>
    <row r="126" spans="1:12" x14ac:dyDescent="0.35">
      <c r="A126" s="48" t="s">
        <v>171</v>
      </c>
      <c r="B126" s="54">
        <v>1</v>
      </c>
      <c r="C126" s="57">
        <v>81000</v>
      </c>
      <c r="D126" s="57">
        <v>89193.644062057181</v>
      </c>
      <c r="E126" s="57">
        <v>-8193.6440620571811</v>
      </c>
      <c r="F126" s="57">
        <v>-1.1361364655739572</v>
      </c>
      <c r="G126" s="57">
        <v>1400.4360977936481</v>
      </c>
      <c r="H126" s="57">
        <v>86360.994682968827</v>
      </c>
      <c r="I126" s="57">
        <v>92026.293441145535</v>
      </c>
      <c r="J126" s="57">
        <v>7346.5624623374833</v>
      </c>
      <c r="K126" s="57">
        <v>74333.818876059697</v>
      </c>
      <c r="L126" s="57">
        <v>104053.46924805467</v>
      </c>
    </row>
    <row r="127" spans="1:12" x14ac:dyDescent="0.35">
      <c r="A127" s="48" t="s">
        <v>172</v>
      </c>
      <c r="B127" s="54">
        <v>1</v>
      </c>
      <c r="C127" s="57">
        <v>88400</v>
      </c>
      <c r="D127" s="57">
        <v>88258.901299307225</v>
      </c>
      <c r="E127" s="57">
        <v>141.09870069277531</v>
      </c>
      <c r="F127" s="57">
        <v>1.956484537136691E-2</v>
      </c>
      <c r="G127" s="57">
        <v>2337.0754381578417</v>
      </c>
      <c r="H127" s="57">
        <v>83531.720031122066</v>
      </c>
      <c r="I127" s="57">
        <v>92986.082567492384</v>
      </c>
      <c r="J127" s="57">
        <v>7581.0738258285919</v>
      </c>
      <c r="K127" s="57">
        <v>72924.732107732591</v>
      </c>
      <c r="L127" s="57">
        <v>103593.07049088186</v>
      </c>
    </row>
    <row r="128" spans="1:12" x14ac:dyDescent="0.35">
      <c r="A128" s="48" t="s">
        <v>173</v>
      </c>
      <c r="B128" s="54">
        <v>1</v>
      </c>
      <c r="C128" s="57">
        <v>83400</v>
      </c>
      <c r="D128" s="57">
        <v>86411.691407563427</v>
      </c>
      <c r="E128" s="57">
        <v>-3011.6914075634268</v>
      </c>
      <c r="F128" s="57">
        <v>-0.41760325506859791</v>
      </c>
      <c r="G128" s="57">
        <v>1472.4204190844609</v>
      </c>
      <c r="H128" s="57">
        <v>83433.439995415683</v>
      </c>
      <c r="I128" s="57">
        <v>89389.94281971117</v>
      </c>
      <c r="J128" s="57">
        <v>7360.6236583294731</v>
      </c>
      <c r="K128" s="57">
        <v>71523.424768108191</v>
      </c>
      <c r="L128" s="57">
        <v>101299.95804701866</v>
      </c>
    </row>
    <row r="129" spans="1:12" x14ac:dyDescent="0.35">
      <c r="A129" s="48" t="s">
        <v>174</v>
      </c>
      <c r="B129" s="54">
        <v>1</v>
      </c>
      <c r="C129" s="57">
        <v>96700</v>
      </c>
      <c r="D129" s="57">
        <v>87202.153371024717</v>
      </c>
      <c r="E129" s="57">
        <v>9497.8466289752832</v>
      </c>
      <c r="F129" s="57">
        <v>1.316978113508416</v>
      </c>
      <c r="G129" s="57">
        <v>2019.9484510868533</v>
      </c>
      <c r="H129" s="57">
        <v>83116.421980084269</v>
      </c>
      <c r="I129" s="57">
        <v>91287.884761965164</v>
      </c>
      <c r="J129" s="57">
        <v>7489.3891936573091</v>
      </c>
      <c r="K129" s="57">
        <v>72053.433852449161</v>
      </c>
      <c r="L129" s="57">
        <v>102350.87288960027</v>
      </c>
    </row>
    <row r="130" spans="1:12" x14ac:dyDescent="0.35">
      <c r="A130" s="48" t="s">
        <v>175</v>
      </c>
      <c r="B130" s="54">
        <v>1</v>
      </c>
      <c r="C130" s="57">
        <v>113200</v>
      </c>
      <c r="D130" s="57">
        <v>117967.27684424972</v>
      </c>
      <c r="E130" s="57">
        <v>-4767.2768442497181</v>
      </c>
      <c r="F130" s="57">
        <v>-0.66103397013789444</v>
      </c>
      <c r="G130" s="57">
        <v>3975.7424705743938</v>
      </c>
      <c r="H130" s="57">
        <v>109925.57864864438</v>
      </c>
      <c r="I130" s="57">
        <v>126008.97503985505</v>
      </c>
      <c r="J130" s="57">
        <v>8235.1251928159345</v>
      </c>
      <c r="K130" s="57">
        <v>101310.1638914371</v>
      </c>
      <c r="L130" s="57">
        <v>134624.38979706235</v>
      </c>
    </row>
    <row r="131" spans="1:12" x14ac:dyDescent="0.35">
      <c r="A131" s="48" t="s">
        <v>176</v>
      </c>
      <c r="B131" s="54">
        <v>1</v>
      </c>
      <c r="C131" s="57">
        <v>100800</v>
      </c>
      <c r="D131" s="57">
        <v>96693.521251062208</v>
      </c>
      <c r="E131" s="57">
        <v>4106.4787489377923</v>
      </c>
      <c r="F131" s="57">
        <v>0.56940724010427357</v>
      </c>
      <c r="G131" s="57">
        <v>1512.6068416249602</v>
      </c>
      <c r="H131" s="57">
        <v>93633.98512693333</v>
      </c>
      <c r="I131" s="57">
        <v>99753.057375191085</v>
      </c>
      <c r="J131" s="57">
        <v>7368.767753590374</v>
      </c>
      <c r="K131" s="57">
        <v>81788.781624070893</v>
      </c>
      <c r="L131" s="57">
        <v>111598.26087805352</v>
      </c>
    </row>
    <row r="132" spans="1:12" x14ac:dyDescent="0.35">
      <c r="A132" s="48" t="s">
        <v>177</v>
      </c>
      <c r="B132" s="54">
        <v>1</v>
      </c>
      <c r="C132" s="57">
        <v>90900</v>
      </c>
      <c r="D132" s="57">
        <v>93291.690758277793</v>
      </c>
      <c r="E132" s="57">
        <v>-2391.6907582777931</v>
      </c>
      <c r="F132" s="57">
        <v>-0.3316335276801613</v>
      </c>
      <c r="G132" s="57">
        <v>1956.2469860458243</v>
      </c>
      <c r="H132" s="57">
        <v>89334.807742268385</v>
      </c>
      <c r="I132" s="57">
        <v>97248.573774287201</v>
      </c>
      <c r="J132" s="57">
        <v>7472.460171819992</v>
      </c>
      <c r="K132" s="57">
        <v>78177.213418457555</v>
      </c>
      <c r="L132" s="57">
        <v>108406.16809809803</v>
      </c>
    </row>
    <row r="133" spans="1:12" x14ac:dyDescent="0.35">
      <c r="A133" s="48" t="s">
        <v>178</v>
      </c>
      <c r="B133" s="54">
        <v>1</v>
      </c>
      <c r="C133" s="57">
        <v>89200</v>
      </c>
      <c r="D133" s="57">
        <v>94197.946075707529</v>
      </c>
      <c r="E133" s="57">
        <v>-4997.9460757075285</v>
      </c>
      <c r="F133" s="57">
        <v>-0.69301872848964297</v>
      </c>
      <c r="G133" s="57">
        <v>1513.7522360781406</v>
      </c>
      <c r="H133" s="57">
        <v>91136.093172618348</v>
      </c>
      <c r="I133" s="57">
        <v>97259.798978796709</v>
      </c>
      <c r="J133" s="57">
        <v>7369.0029570664619</v>
      </c>
      <c r="K133" s="57">
        <v>79292.73070478077</v>
      </c>
      <c r="L133" s="57">
        <v>109103.16144663429</v>
      </c>
    </row>
    <row r="134" spans="1:12" x14ac:dyDescent="0.35">
      <c r="A134" s="48" t="s">
        <v>179</v>
      </c>
      <c r="B134" s="54">
        <v>1</v>
      </c>
      <c r="C134" s="57">
        <v>94700</v>
      </c>
      <c r="D134" s="57">
        <v>87202.153371024717</v>
      </c>
      <c r="E134" s="57">
        <v>7497.8466289752832</v>
      </c>
      <c r="F134" s="57">
        <v>1.0396567026760526</v>
      </c>
      <c r="G134" s="57">
        <v>2019.9484510868533</v>
      </c>
      <c r="H134" s="57">
        <v>83116.421980084269</v>
      </c>
      <c r="I134" s="57">
        <v>91287.884761965164</v>
      </c>
      <c r="J134" s="57">
        <v>7489.3891936573091</v>
      </c>
      <c r="K134" s="57">
        <v>72053.433852449161</v>
      </c>
      <c r="L134" s="57">
        <v>102350.87288960027</v>
      </c>
    </row>
    <row r="135" spans="1:12" x14ac:dyDescent="0.35">
      <c r="A135" s="48" t="s">
        <v>180</v>
      </c>
      <c r="B135" s="54">
        <v>1</v>
      </c>
      <c r="C135" s="57">
        <v>104400</v>
      </c>
      <c r="D135" s="57">
        <v>99230.007494865335</v>
      </c>
      <c r="E135" s="57">
        <v>5169.9925051346654</v>
      </c>
      <c r="F135" s="57">
        <v>0.716874807758345</v>
      </c>
      <c r="G135" s="57">
        <v>1620.6271259220359</v>
      </c>
      <c r="H135" s="57">
        <v>95951.979722509786</v>
      </c>
      <c r="I135" s="57">
        <v>102508.03526722088</v>
      </c>
      <c r="J135" s="57">
        <v>7391.6974390390878</v>
      </c>
      <c r="K135" s="57">
        <v>84278.888201317779</v>
      </c>
      <c r="L135" s="57">
        <v>114181.12678841289</v>
      </c>
    </row>
    <row r="136" spans="1:12" x14ac:dyDescent="0.35">
      <c r="A136" s="48" t="s">
        <v>181</v>
      </c>
      <c r="B136" s="54">
        <v>1</v>
      </c>
      <c r="C136" s="57">
        <v>87100</v>
      </c>
      <c r="D136" s="57">
        <v>89084.062519652842</v>
      </c>
      <c r="E136" s="57">
        <v>-1984.0625196528417</v>
      </c>
      <c r="F136" s="57">
        <v>-0.27511150856486988</v>
      </c>
      <c r="G136" s="57">
        <v>1827.8837191616387</v>
      </c>
      <c r="H136" s="57">
        <v>85386.818718035371</v>
      </c>
      <c r="I136" s="57">
        <v>92781.306321270313</v>
      </c>
      <c r="J136" s="57">
        <v>7439.8869372994423</v>
      </c>
      <c r="K136" s="57">
        <v>74035.470765533304</v>
      </c>
      <c r="L136" s="57">
        <v>104132.65427377238</v>
      </c>
    </row>
    <row r="137" spans="1:12" x14ac:dyDescent="0.35">
      <c r="A137" s="48" t="s">
        <v>182</v>
      </c>
      <c r="B137" s="54">
        <v>1</v>
      </c>
      <c r="C137" s="57">
        <v>88600</v>
      </c>
      <c r="D137" s="57">
        <v>87236.852627909044</v>
      </c>
      <c r="E137" s="57">
        <v>1363.1473720909562</v>
      </c>
      <c r="F137" s="57">
        <v>0.1890149762003463</v>
      </c>
      <c r="G137" s="57">
        <v>1723.0197458784803</v>
      </c>
      <c r="H137" s="57">
        <v>83751.716232889594</v>
      </c>
      <c r="I137" s="57">
        <v>90721.989022928494</v>
      </c>
      <c r="J137" s="57">
        <v>7414.8200108775291</v>
      </c>
      <c r="K137" s="57">
        <v>72238.963518256147</v>
      </c>
      <c r="L137" s="57">
        <v>102234.74173756194</v>
      </c>
    </row>
    <row r="138" spans="1:12" x14ac:dyDescent="0.35">
      <c r="A138" s="48" t="s">
        <v>183</v>
      </c>
      <c r="B138" s="54">
        <v>1</v>
      </c>
      <c r="C138" s="57">
        <v>87100</v>
      </c>
      <c r="D138" s="57">
        <v>89602.754746541556</v>
      </c>
      <c r="E138" s="57">
        <v>-2502.7547465415555</v>
      </c>
      <c r="F138" s="57">
        <v>-0.3470337386391491</v>
      </c>
      <c r="G138" s="57">
        <v>1402.0653641579381</v>
      </c>
      <c r="H138" s="57">
        <v>86766.809865171846</v>
      </c>
      <c r="I138" s="57">
        <v>92438.699627911265</v>
      </c>
      <c r="J138" s="57">
        <v>7346.8732148032896</v>
      </c>
      <c r="K138" s="57">
        <v>74742.301004353096</v>
      </c>
      <c r="L138" s="57">
        <v>104463.20848873002</v>
      </c>
    </row>
    <row r="139" spans="1:12" x14ac:dyDescent="0.35">
      <c r="A139" s="48" t="s">
        <v>184</v>
      </c>
      <c r="B139" s="54">
        <v>1</v>
      </c>
      <c r="C139" s="57">
        <v>87200</v>
      </c>
      <c r="D139" s="57">
        <v>86411.691407563427</v>
      </c>
      <c r="E139" s="57">
        <v>788.30859243657324</v>
      </c>
      <c r="F139" s="57">
        <v>0.10930742551289252</v>
      </c>
      <c r="G139" s="57">
        <v>1472.4204190844609</v>
      </c>
      <c r="H139" s="57">
        <v>83433.439995415683</v>
      </c>
      <c r="I139" s="57">
        <v>89389.94281971117</v>
      </c>
      <c r="J139" s="57">
        <v>7360.6236583294731</v>
      </c>
      <c r="K139" s="57">
        <v>71523.424768108191</v>
      </c>
      <c r="L139" s="57">
        <v>101299.95804701866</v>
      </c>
    </row>
    <row r="140" spans="1:12" x14ac:dyDescent="0.35">
      <c r="A140" s="48" t="s">
        <v>185</v>
      </c>
      <c r="B140" s="54">
        <v>1</v>
      </c>
      <c r="C140" s="57">
        <v>79800</v>
      </c>
      <c r="D140" s="57">
        <v>85764.054163765293</v>
      </c>
      <c r="E140" s="57">
        <v>-5964.0541637652932</v>
      </c>
      <c r="F140" s="57">
        <v>-0.82697995748801112</v>
      </c>
      <c r="G140" s="57">
        <v>1748.4597938554846</v>
      </c>
      <c r="H140" s="57">
        <v>82227.460414697649</v>
      </c>
      <c r="I140" s="57">
        <v>89300.647912832937</v>
      </c>
      <c r="J140" s="57">
        <v>7420.772897734565</v>
      </c>
      <c r="K140" s="57">
        <v>70754.124203918705</v>
      </c>
      <c r="L140" s="57">
        <v>100773.98412361188</v>
      </c>
    </row>
    <row r="141" spans="1:12" ht="16" thickBot="1" x14ac:dyDescent="0.4">
      <c r="A141" s="52" t="s">
        <v>186</v>
      </c>
      <c r="B141" s="55">
        <v>1</v>
      </c>
      <c r="C141" s="58">
        <v>87600</v>
      </c>
      <c r="D141" s="58">
        <v>91784.193037249715</v>
      </c>
      <c r="E141" s="58">
        <v>-4184.1930372497154</v>
      </c>
      <c r="F141" s="58">
        <v>-0.5801831581425213</v>
      </c>
      <c r="G141" s="58">
        <v>1616.2580441907749</v>
      </c>
      <c r="H141" s="58">
        <v>88515.002566840863</v>
      </c>
      <c r="I141" s="58">
        <v>95053.383507658567</v>
      </c>
      <c r="J141" s="58">
        <v>7390.7407486959037</v>
      </c>
      <c r="K141" s="58">
        <v>76835.008832572596</v>
      </c>
      <c r="L141" s="58">
        <v>106733.37724192684</v>
      </c>
    </row>
    <row r="160" spans="4:4" x14ac:dyDescent="0.35">
      <c r="D160" t="s">
        <v>141</v>
      </c>
    </row>
    <row r="179" spans="1:4" x14ac:dyDescent="0.35">
      <c r="D179" t="s">
        <v>141</v>
      </c>
    </row>
    <row r="182" spans="1:4" x14ac:dyDescent="0.35">
      <c r="A182" s="6" t="s">
        <v>196</v>
      </c>
    </row>
    <row r="184" spans="1:4" x14ac:dyDescent="0.35">
      <c r="A184" s="2" t="s">
        <v>197</v>
      </c>
    </row>
    <row r="185" spans="1:4" ht="16" thickBot="1" x14ac:dyDescent="0.4"/>
    <row r="186" spans="1:4" x14ac:dyDescent="0.35">
      <c r="A186" s="69" t="s">
        <v>198</v>
      </c>
      <c r="B186" s="82">
        <v>0.81417656948636186</v>
      </c>
      <c r="C186" s="83"/>
    </row>
    <row r="187" spans="1:4" x14ac:dyDescent="0.35">
      <c r="A187" s="48" t="s">
        <v>199</v>
      </c>
      <c r="B187" s="75">
        <v>9.008088962314531E-6</v>
      </c>
      <c r="C187" s="84" t="s">
        <v>125</v>
      </c>
    </row>
    <row r="188" spans="1:4" ht="16" thickBot="1" x14ac:dyDescent="0.4">
      <c r="A188" s="52" t="s">
        <v>200</v>
      </c>
      <c r="B188" s="55">
        <v>0.05</v>
      </c>
      <c r="C188" s="85"/>
    </row>
    <row r="189" spans="1:4" x14ac:dyDescent="0.35">
      <c r="A189" s="80" t="s">
        <v>201</v>
      </c>
    </row>
    <row r="191" spans="1:4" x14ac:dyDescent="0.35">
      <c r="A191" s="2" t="s">
        <v>202</v>
      </c>
    </row>
    <row r="192" spans="1:4" x14ac:dyDescent="0.35">
      <c r="A192" s="2" t="s">
        <v>203</v>
      </c>
    </row>
    <row r="193" spans="1:9" x14ac:dyDescent="0.35">
      <c r="A193" s="2" t="s">
        <v>204</v>
      </c>
    </row>
    <row r="194" spans="1:9" ht="15.65" customHeight="1" x14ac:dyDescent="0.35">
      <c r="A194" s="102" t="s">
        <v>205</v>
      </c>
      <c r="B194" s="102"/>
      <c r="C194" s="102"/>
      <c r="D194" s="102"/>
      <c r="E194" s="102"/>
      <c r="F194" s="102"/>
      <c r="G194" s="102"/>
      <c r="H194" s="102"/>
      <c r="I194" s="102"/>
    </row>
    <row r="195" spans="1:9" x14ac:dyDescent="0.35">
      <c r="A195" s="102"/>
      <c r="B195" s="102"/>
      <c r="C195" s="102"/>
      <c r="D195" s="102"/>
      <c r="E195" s="102"/>
      <c r="F195" s="102"/>
      <c r="G195" s="102"/>
      <c r="H195" s="102"/>
      <c r="I195" s="102"/>
    </row>
    <row r="198" spans="1:9" x14ac:dyDescent="0.35">
      <c r="A198" s="2" t="s">
        <v>206</v>
      </c>
    </row>
    <row r="200" spans="1:9" x14ac:dyDescent="0.35">
      <c r="A200" s="103" t="s">
        <v>207</v>
      </c>
      <c r="B200" s="104"/>
      <c r="C200" s="104"/>
      <c r="D200" s="104"/>
      <c r="E200" s="104"/>
      <c r="F200" s="104"/>
    </row>
    <row r="201" spans="1:9" x14ac:dyDescent="0.35">
      <c r="A201" s="104"/>
      <c r="B201" s="104"/>
      <c r="C201" s="104"/>
      <c r="D201" s="104"/>
      <c r="E201" s="104"/>
      <c r="F201" s="104"/>
    </row>
    <row r="203" spans="1:9" x14ac:dyDescent="0.35">
      <c r="A203" s="103" t="s">
        <v>208</v>
      </c>
      <c r="B203" s="104"/>
      <c r="C203" s="104"/>
      <c r="D203" s="104"/>
      <c r="E203" s="104"/>
      <c r="F203" s="104"/>
    </row>
    <row r="204" spans="1:9" x14ac:dyDescent="0.35">
      <c r="A204" s="104"/>
      <c r="B204" s="104"/>
      <c r="C204" s="104"/>
      <c r="D204" s="104"/>
      <c r="E204" s="104"/>
      <c r="F204" s="104"/>
    </row>
    <row r="205" spans="1:9" x14ac:dyDescent="0.35">
      <c r="A205" s="104"/>
      <c r="B205" s="104"/>
      <c r="C205" s="104"/>
      <c r="D205" s="104"/>
      <c r="E205" s="104"/>
      <c r="F205" s="104"/>
    </row>
    <row r="998" spans="648:648" x14ac:dyDescent="0.35">
      <c r="XX998" s="47">
        <v>166765</v>
      </c>
    </row>
  </sheetData>
  <mergeCells count="3">
    <mergeCell ref="A194:I195"/>
    <mergeCell ref="A200:F201"/>
    <mergeCell ref="A203:F20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D287323">
              <controlPr defaultSize="0" autoFill="0" autoPict="0" macro="[0]!GoToResultsNew211120250640379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3</xdr:col>
                    <xdr:colOff>577850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F24D-152E-4BE8-B497-45CA297B9FD2}">
  <sheetPr codeName="Sheet8_HID">
    <tabColor rgb="FF007800"/>
  </sheetPr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82936.9974084045+(A1-1)*849.619344995582</f>
        <v>82936.997408404495</v>
      </c>
      <c r="D1">
        <f t="shared" ref="D1:D32" si="1">0+1*C1-14587.3404722573*(1.02380952380952+(C1-92069.0476190476)^2/2537650170.69288)^0.5</f>
        <v>67942.00362488642</v>
      </c>
      <c r="E1">
        <v>1</v>
      </c>
      <c r="G1">
        <f t="shared" ref="G1:G32" si="2">67427.4526785958+(E1-1)*1074.39535557252</f>
        <v>67427.452678595801</v>
      </c>
      <c r="H1">
        <f t="shared" ref="H1:H32" si="3">0+1*G1+14587.3404722573*(1.02380952380952+(G1-92069.0476190476)^2/2537650170.69288)^0.5</f>
        <v>83821.76244021843</v>
      </c>
    </row>
    <row r="2" spans="1:8" x14ac:dyDescent="0.35">
      <c r="A2">
        <v>2</v>
      </c>
      <c r="C2">
        <f t="shared" si="0"/>
        <v>83786.616753400071</v>
      </c>
      <c r="D2">
        <f t="shared" si="1"/>
        <v>68833.049585835513</v>
      </c>
      <c r="E2">
        <v>2</v>
      </c>
      <c r="G2">
        <f t="shared" si="2"/>
        <v>68501.848034168317</v>
      </c>
      <c r="H2">
        <f t="shared" si="3"/>
        <v>84763.157391985427</v>
      </c>
    </row>
    <row r="3" spans="1:8" x14ac:dyDescent="0.35">
      <c r="A3">
        <v>3</v>
      </c>
      <c r="C3">
        <f t="shared" si="0"/>
        <v>84636.236098395661</v>
      </c>
      <c r="D3">
        <f t="shared" si="1"/>
        <v>69720.152057630461</v>
      </c>
      <c r="E3">
        <v>3</v>
      </c>
      <c r="G3">
        <f t="shared" si="2"/>
        <v>69576.243389740834</v>
      </c>
      <c r="H3">
        <f t="shared" si="3"/>
        <v>85709.456325559891</v>
      </c>
    </row>
    <row r="4" spans="1:8" x14ac:dyDescent="0.35">
      <c r="A4">
        <v>4</v>
      </c>
      <c r="C4">
        <f t="shared" si="0"/>
        <v>85485.855443391236</v>
      </c>
      <c r="D4">
        <f t="shared" si="1"/>
        <v>70603.281244125072</v>
      </c>
      <c r="E4">
        <v>4</v>
      </c>
      <c r="G4">
        <f t="shared" si="2"/>
        <v>70650.638745313365</v>
      </c>
      <c r="H4">
        <f t="shared" si="3"/>
        <v>86660.776951012318</v>
      </c>
    </row>
    <row r="5" spans="1:8" x14ac:dyDescent="0.35">
      <c r="A5">
        <v>5</v>
      </c>
      <c r="C5">
        <f t="shared" si="0"/>
        <v>86335.474788386826</v>
      </c>
      <c r="D5">
        <f t="shared" si="1"/>
        <v>71482.410253034468</v>
      </c>
      <c r="E5">
        <v>5</v>
      </c>
      <c r="G5">
        <f t="shared" si="2"/>
        <v>71725.034100885881</v>
      </c>
      <c r="H5">
        <f t="shared" si="3"/>
        <v>87617.235937948499</v>
      </c>
    </row>
    <row r="6" spans="1:8" x14ac:dyDescent="0.35">
      <c r="A6">
        <v>6</v>
      </c>
      <c r="C6">
        <f t="shared" si="0"/>
        <v>87185.094133382401</v>
      </c>
      <c r="D6">
        <f t="shared" si="1"/>
        <v>72357.515201027723</v>
      </c>
      <c r="E6">
        <v>6</v>
      </c>
      <c r="G6">
        <f t="shared" si="2"/>
        <v>72799.429456458398</v>
      </c>
      <c r="H6">
        <f t="shared" si="3"/>
        <v>88578.948499367951</v>
      </c>
    </row>
    <row r="7" spans="1:8" x14ac:dyDescent="0.35">
      <c r="A7">
        <v>7</v>
      </c>
      <c r="C7">
        <f t="shared" si="0"/>
        <v>88034.713478377991</v>
      </c>
      <c r="D7">
        <f t="shared" si="1"/>
        <v>73228.575308407351</v>
      </c>
      <c r="E7">
        <v>7</v>
      </c>
      <c r="G7">
        <f t="shared" si="2"/>
        <v>73873.824812030914</v>
      </c>
      <c r="H7">
        <f t="shared" si="3"/>
        <v>89546.027954933539</v>
      </c>
    </row>
    <row r="8" spans="1:8" x14ac:dyDescent="0.35">
      <c r="A8">
        <v>8</v>
      </c>
      <c r="C8">
        <f t="shared" si="0"/>
        <v>88884.332823373566</v>
      </c>
      <c r="D8">
        <f t="shared" si="1"/>
        <v>74095.572982518031</v>
      </c>
      <c r="E8">
        <v>8</v>
      </c>
      <c r="G8">
        <f t="shared" si="2"/>
        <v>74948.220167603446</v>
      </c>
      <c r="H8">
        <f t="shared" si="3"/>
        <v>90518.585276056168</v>
      </c>
    </row>
    <row r="9" spans="1:8" x14ac:dyDescent="0.35">
      <c r="A9">
        <v>9</v>
      </c>
      <c r="C9">
        <f t="shared" si="0"/>
        <v>89733.952168369156</v>
      </c>
      <c r="D9">
        <f t="shared" si="1"/>
        <v>74958.493889116755</v>
      </c>
      <c r="E9">
        <v>9</v>
      </c>
      <c r="G9">
        <f t="shared" si="2"/>
        <v>76022.615523175962</v>
      </c>
      <c r="H9">
        <f t="shared" si="3"/>
        <v>91496.728615689222</v>
      </c>
    </row>
    <row r="10" spans="1:8" x14ac:dyDescent="0.35">
      <c r="A10">
        <v>10</v>
      </c>
      <c r="C10">
        <f t="shared" si="0"/>
        <v>90583.571513364732</v>
      </c>
      <c r="D10">
        <f t="shared" si="1"/>
        <v>75817.327011036396</v>
      </c>
      <c r="E10">
        <v>10</v>
      </c>
      <c r="G10">
        <f t="shared" si="2"/>
        <v>77097.010878748479</v>
      </c>
      <c r="H10">
        <f t="shared" si="3"/>
        <v>92480.562826218607</v>
      </c>
    </row>
    <row r="11" spans="1:8" x14ac:dyDescent="0.35">
      <c r="A11">
        <v>11</v>
      </c>
      <c r="C11">
        <f t="shared" si="0"/>
        <v>91433.190858360322</v>
      </c>
      <c r="D11">
        <f t="shared" si="1"/>
        <v>76672.064693587454</v>
      </c>
      <c r="E11">
        <v>11</v>
      </c>
      <c r="G11">
        <f t="shared" si="2"/>
        <v>78171.406234320995</v>
      </c>
      <c r="H11">
        <f t="shared" si="3"/>
        <v>93470.188969309645</v>
      </c>
    </row>
    <row r="12" spans="1:8" x14ac:dyDescent="0.35">
      <c r="A12">
        <v>12</v>
      </c>
      <c r="C12">
        <f t="shared" si="0"/>
        <v>92282.810203355897</v>
      </c>
      <c r="D12">
        <f t="shared" si="1"/>
        <v>77522.702676263492</v>
      </c>
      <c r="E12">
        <v>12</v>
      </c>
      <c r="G12">
        <f t="shared" si="2"/>
        <v>79245.801589893526</v>
      </c>
      <c r="H12">
        <f t="shared" si="3"/>
        <v>94465.703822020878</v>
      </c>
    </row>
    <row r="13" spans="1:8" x14ac:dyDescent="0.35">
      <c r="A13">
        <v>13</v>
      </c>
      <c r="C13">
        <f t="shared" si="0"/>
        <v>93132.429548351472</v>
      </c>
      <c r="D13">
        <f t="shared" si="1"/>
        <v>78369.240110445317</v>
      </c>
      <c r="E13">
        <v>13</v>
      </c>
      <c r="G13">
        <f t="shared" si="2"/>
        <v>80320.196945466043</v>
      </c>
      <c r="H13">
        <f t="shared" si="3"/>
        <v>95467.199383899075</v>
      </c>
    </row>
    <row r="14" spans="1:8" x14ac:dyDescent="0.35">
      <c r="A14">
        <v>14</v>
      </c>
      <c r="C14">
        <f t="shared" si="0"/>
        <v>93982.048893347062</v>
      </c>
      <c r="D14">
        <f t="shared" si="1"/>
        <v>79211.679562932026</v>
      </c>
      <c r="E14">
        <v>14</v>
      </c>
      <c r="G14">
        <f t="shared" si="2"/>
        <v>81394.59230103856</v>
      </c>
      <c r="H14">
        <f t="shared" si="3"/>
        <v>96474.762390116841</v>
      </c>
    </row>
    <row r="15" spans="1:8" x14ac:dyDescent="0.35">
      <c r="A15">
        <v>15</v>
      </c>
      <c r="C15">
        <f t="shared" si="0"/>
        <v>94831.668238342638</v>
      </c>
      <c r="D15">
        <f t="shared" si="1"/>
        <v>80050.027005265278</v>
      </c>
      <c r="E15">
        <v>15</v>
      </c>
      <c r="G15">
        <f t="shared" si="2"/>
        <v>82468.987656611076</v>
      </c>
      <c r="H15">
        <f t="shared" si="3"/>
        <v>97488.473835985496</v>
      </c>
    </row>
    <row r="16" spans="1:8" x14ac:dyDescent="0.35">
      <c r="A16">
        <v>16</v>
      </c>
      <c r="C16">
        <f t="shared" si="0"/>
        <v>95681.287583338228</v>
      </c>
      <c r="D16">
        <f t="shared" si="1"/>
        <v>80884.291788949835</v>
      </c>
      <c r="E16">
        <v>16</v>
      </c>
      <c r="G16">
        <f t="shared" si="2"/>
        <v>83543.383012183593</v>
      </c>
      <c r="H16">
        <f t="shared" si="3"/>
        <v>98508.40851836167</v>
      </c>
    </row>
    <row r="17" spans="1:8" x14ac:dyDescent="0.35">
      <c r="A17">
        <v>17</v>
      </c>
      <c r="C17">
        <f t="shared" si="0"/>
        <v>96530.906928333803</v>
      </c>
      <c r="D17">
        <f t="shared" si="1"/>
        <v>81714.486606809805</v>
      </c>
      <c r="E17">
        <v>17</v>
      </c>
      <c r="G17">
        <f t="shared" si="2"/>
        <v>84617.778367756124</v>
      </c>
      <c r="H17">
        <f t="shared" si="3"/>
        <v>99534.634599548226</v>
      </c>
    </row>
    <row r="18" spans="1:8" x14ac:dyDescent="0.35">
      <c r="A18">
        <v>18</v>
      </c>
      <c r="C18">
        <f t="shared" si="0"/>
        <v>97380.526273329393</v>
      </c>
      <c r="D18">
        <f t="shared" si="1"/>
        <v>82540.627440851531</v>
      </c>
      <c r="E18">
        <v>18</v>
      </c>
      <c r="G18">
        <f t="shared" si="2"/>
        <v>85692.17372332864</v>
      </c>
      <c r="H18">
        <f t="shared" si="3"/>
        <v>100567.2131992629</v>
      </c>
    </row>
    <row r="19" spans="1:8" x14ac:dyDescent="0.35">
      <c r="A19">
        <v>19</v>
      </c>
      <c r="C19">
        <f t="shared" si="0"/>
        <v>98230.145618324968</v>
      </c>
      <c r="D19">
        <f t="shared" si="1"/>
        <v>83362.733497129404</v>
      </c>
      <c r="E19">
        <v>19</v>
      </c>
      <c r="G19">
        <f t="shared" si="2"/>
        <v>86766.569078901157</v>
      </c>
      <c r="H19">
        <f t="shared" si="3"/>
        <v>101606.19802010126</v>
      </c>
    </row>
    <row r="20" spans="1:8" x14ac:dyDescent="0.35">
      <c r="A20">
        <v>20</v>
      </c>
      <c r="C20">
        <f t="shared" si="0"/>
        <v>99079.764963320558</v>
      </c>
      <c r="D20">
        <f t="shared" si="1"/>
        <v>84180.827128227917</v>
      </c>
      <c r="E20">
        <v>20</v>
      </c>
      <c r="G20">
        <f t="shared" si="2"/>
        <v>87840.964434473688</v>
      </c>
      <c r="H20">
        <f t="shared" si="3"/>
        <v>102651.63501165074</v>
      </c>
    </row>
    <row r="21" spans="1:8" x14ac:dyDescent="0.35">
      <c r="A21">
        <v>21</v>
      </c>
      <c r="C21">
        <f t="shared" si="0"/>
        <v>99929.384308316134</v>
      </c>
      <c r="D21">
        <f t="shared" si="1"/>
        <v>84994.933744079623</v>
      </c>
      <c r="E21">
        <v>21</v>
      </c>
      <c r="G21">
        <f t="shared" si="2"/>
        <v>88915.359790046205</v>
      </c>
      <c r="H21">
        <f t="shared" si="3"/>
        <v>103703.56207802109</v>
      </c>
    </row>
    <row r="22" spans="1:8" x14ac:dyDescent="0.35">
      <c r="A22">
        <v>22</v>
      </c>
      <c r="C22">
        <f t="shared" si="0"/>
        <v>100779.00365331172</v>
      </c>
      <c r="D22">
        <f t="shared" si="1"/>
        <v>85805.081711933773</v>
      </c>
      <c r="E22">
        <v>22</v>
      </c>
      <c r="G22">
        <f t="shared" si="2"/>
        <v>89989.755145618721</v>
      </c>
      <c r="H22">
        <f t="shared" si="3"/>
        <v>104762.0088330466</v>
      </c>
    </row>
    <row r="23" spans="1:8" x14ac:dyDescent="0.35">
      <c r="A23">
        <v>23</v>
      </c>
      <c r="C23">
        <f t="shared" si="0"/>
        <v>101628.6229983073</v>
      </c>
      <c r="D23">
        <f t="shared" si="1"/>
        <v>86611.302246371459</v>
      </c>
      <c r="E23">
        <v>23</v>
      </c>
      <c r="G23">
        <f t="shared" si="2"/>
        <v>91064.150501191238</v>
      </c>
      <c r="H23">
        <f t="shared" si="3"/>
        <v>105826.99640679632</v>
      </c>
    </row>
    <row r="24" spans="1:8" x14ac:dyDescent="0.35">
      <c r="A24">
        <v>24</v>
      </c>
      <c r="C24">
        <f t="shared" si="0"/>
        <v>102478.24234330287</v>
      </c>
      <c r="D24">
        <f t="shared" si="1"/>
        <v>87413.629290331606</v>
      </c>
      <c r="E24">
        <v>24</v>
      </c>
      <c r="G24">
        <f t="shared" si="2"/>
        <v>92138.545856763754</v>
      </c>
      <c r="H24">
        <f t="shared" si="3"/>
        <v>106898.53730631439</v>
      </c>
    </row>
    <row r="25" spans="1:8" x14ac:dyDescent="0.35">
      <c r="A25">
        <v>25</v>
      </c>
      <c r="C25">
        <f t="shared" si="0"/>
        <v>103327.86168829846</v>
      </c>
      <c r="D25">
        <f t="shared" si="1"/>
        <v>88212.099388163915</v>
      </c>
      <c r="E25">
        <v>25</v>
      </c>
      <c r="G25">
        <f t="shared" si="2"/>
        <v>93212.941212336271</v>
      </c>
      <c r="H25">
        <f t="shared" si="3"/>
        <v>107976.63533271918</v>
      </c>
    </row>
    <row r="26" spans="1:8" x14ac:dyDescent="0.35">
      <c r="A26">
        <v>26</v>
      </c>
      <c r="C26">
        <f t="shared" si="0"/>
        <v>104177.48103329404</v>
      </c>
      <c r="D26">
        <f t="shared" si="1"/>
        <v>89006.751551763766</v>
      </c>
      <c r="E26">
        <v>26</v>
      </c>
      <c r="G26">
        <f t="shared" si="2"/>
        <v>94287.336567908802</v>
      </c>
      <c r="H26">
        <f t="shared" si="3"/>
        <v>109061.28555593846</v>
      </c>
    </row>
    <row r="27" spans="1:8" x14ac:dyDescent="0.35">
      <c r="A27">
        <v>27</v>
      </c>
      <c r="C27">
        <f t="shared" si="0"/>
        <v>105027.10037828963</v>
      </c>
      <c r="D27">
        <f t="shared" si="1"/>
        <v>89797.627120866644</v>
      </c>
      <c r="E27">
        <v>27</v>
      </c>
      <c r="G27">
        <f t="shared" si="2"/>
        <v>95361.731923481319</v>
      </c>
      <c r="H27">
        <f t="shared" si="3"/>
        <v>110152.47434747174</v>
      </c>
    </row>
    <row r="28" spans="1:8" x14ac:dyDescent="0.35">
      <c r="A28">
        <v>28</v>
      </c>
      <c r="C28">
        <f t="shared" si="0"/>
        <v>105876.7197232852</v>
      </c>
      <c r="D28">
        <f t="shared" si="1"/>
        <v>90584.769618588325</v>
      </c>
      <c r="E28">
        <v>28</v>
      </c>
      <c r="G28">
        <f t="shared" si="2"/>
        <v>96436.127279053835</v>
      </c>
      <c r="H28">
        <f t="shared" si="3"/>
        <v>111250.1794706728</v>
      </c>
    </row>
    <row r="29" spans="1:8" x14ac:dyDescent="0.35">
      <c r="A29">
        <v>29</v>
      </c>
      <c r="C29">
        <f t="shared" si="0"/>
        <v>106726.33906828079</v>
      </c>
      <c r="D29">
        <f t="shared" si="1"/>
        <v>91368.224603291848</v>
      </c>
      <c r="E29">
        <v>29</v>
      </c>
      <c r="G29">
        <f t="shared" si="2"/>
        <v>97510.522634626366</v>
      </c>
      <c r="H29">
        <f t="shared" si="3"/>
        <v>112354.37022716262</v>
      </c>
    </row>
    <row r="30" spans="1:8" x14ac:dyDescent="0.35">
      <c r="A30">
        <v>30</v>
      </c>
      <c r="C30">
        <f t="shared" si="0"/>
        <v>107575.95841327637</v>
      </c>
      <c r="D30">
        <f t="shared" si="1"/>
        <v>92148.039517843543</v>
      </c>
      <c r="E30">
        <v>30</v>
      </c>
      <c r="G30">
        <f t="shared" si="2"/>
        <v>98584.917990198883</v>
      </c>
      <c r="H30">
        <f t="shared" si="3"/>
        <v>113465.00765713744</v>
      </c>
    </row>
    <row r="31" spans="1:8" x14ac:dyDescent="0.35">
      <c r="A31">
        <v>31</v>
      </c>
      <c r="C31">
        <f t="shared" si="0"/>
        <v>108425.57775827195</v>
      </c>
      <c r="D31">
        <f t="shared" si="1"/>
        <v>92924.263537290841</v>
      </c>
      <c r="E31">
        <v>31</v>
      </c>
      <c r="G31">
        <f t="shared" si="2"/>
        <v>99659.313345771399</v>
      </c>
      <c r="H31">
        <f t="shared" si="3"/>
        <v>114582.04479055294</v>
      </c>
    </row>
    <row r="32" spans="1:8" x14ac:dyDescent="0.35">
      <c r="A32">
        <v>32</v>
      </c>
      <c r="C32">
        <f t="shared" si="0"/>
        <v>109275.19710326754</v>
      </c>
      <c r="D32">
        <f t="shared" si="1"/>
        <v>93696.947415953007</v>
      </c>
      <c r="E32">
        <v>32</v>
      </c>
      <c r="G32">
        <f t="shared" si="2"/>
        <v>100733.70870134392</v>
      </c>
      <c r="H32">
        <f t="shared" si="3"/>
        <v>115705.42694546224</v>
      </c>
    </row>
    <row r="33" spans="1:8" x14ac:dyDescent="0.35">
      <c r="A33">
        <v>33</v>
      </c>
      <c r="C33">
        <f t="shared" ref="C33:C64" si="4">82936.9974084045+(A33-1)*849.619344995582</f>
        <v>110124.81644826313</v>
      </c>
      <c r="D33">
        <f t="shared" ref="D33:D64" si="5">0+1*C33-14587.3404722573*(1.02380952380952+(C33-92069.0476190476)^2/2537650170.69288)^0.5</f>
        <v>94466.143334865978</v>
      </c>
      <c r="E33">
        <v>33</v>
      </c>
      <c r="G33">
        <f t="shared" ref="G33:G64" si="6">67427.4526785958+(E33-1)*1074.39535557252</f>
        <v>101808.10405691643</v>
      </c>
      <c r="H33">
        <f t="shared" ref="H33:H64" si="7">0+1*G33+14587.3404722573*(1.02380952380952+(G33-92069.0476190476)^2/2537650170.69288)^0.5</f>
        <v>116835.09206917998</v>
      </c>
    </row>
    <row r="34" spans="1:8" x14ac:dyDescent="0.35">
      <c r="A34">
        <v>34</v>
      </c>
      <c r="C34">
        <f t="shared" si="4"/>
        <v>110974.4357932587</v>
      </c>
      <c r="D34">
        <f t="shared" si="5"/>
        <v>95231.90475046495</v>
      </c>
      <c r="E34">
        <v>34</v>
      </c>
      <c r="G34">
        <f t="shared" si="6"/>
        <v>102882.49941248895</v>
      </c>
      <c r="H34">
        <f t="shared" si="7"/>
        <v>117970.97111745007</v>
      </c>
    </row>
    <row r="35" spans="1:8" x14ac:dyDescent="0.35">
      <c r="A35">
        <v>35</v>
      </c>
      <c r="C35">
        <f t="shared" si="4"/>
        <v>111824.05513825428</v>
      </c>
      <c r="D35">
        <f t="shared" si="5"/>
        <v>95994.286245323165</v>
      </c>
      <c r="E35">
        <v>35</v>
      </c>
      <c r="G35">
        <f t="shared" si="6"/>
        <v>103956.89476806148</v>
      </c>
      <c r="H35">
        <f t="shared" si="7"/>
        <v>119112.98846641813</v>
      </c>
    </row>
    <row r="36" spans="1:8" x14ac:dyDescent="0.35">
      <c r="A36">
        <v>36</v>
      </c>
      <c r="C36">
        <f t="shared" si="4"/>
        <v>112673.67448324987</v>
      </c>
      <c r="D36">
        <f t="shared" si="5"/>
        <v>96753.343381696686</v>
      </c>
      <c r="E36">
        <v>36</v>
      </c>
      <c r="G36">
        <f t="shared" si="6"/>
        <v>105031.290123634</v>
      </c>
      <c r="H36">
        <f t="shared" si="7"/>
        <v>120261.06235195615</v>
      </c>
    </row>
    <row r="37" spans="1:8" x14ac:dyDescent="0.35">
      <c r="A37">
        <v>37</v>
      </c>
      <c r="C37">
        <f t="shared" si="4"/>
        <v>113523.29382824544</v>
      </c>
      <c r="D37">
        <f t="shared" si="5"/>
        <v>97509.132558552301</v>
      </c>
      <c r="E37">
        <v>37</v>
      </c>
      <c r="G37">
        <f t="shared" si="6"/>
        <v>106105.68547920653</v>
      </c>
      <c r="H37">
        <f t="shared" si="7"/>
        <v>121415.10533075652</v>
      </c>
    </row>
    <row r="38" spans="1:8" x14ac:dyDescent="0.35">
      <c r="A38">
        <v>38</v>
      </c>
      <c r="C38">
        <f t="shared" si="4"/>
        <v>114372.91317324103</v>
      </c>
      <c r="D38">
        <f t="shared" si="5"/>
        <v>98261.710872680545</v>
      </c>
      <c r="E38">
        <v>38</v>
      </c>
      <c r="G38">
        <f t="shared" si="6"/>
        <v>107180.08083477904</v>
      </c>
      <c r="H38">
        <f t="shared" si="7"/>
        <v>122575.02475759818</v>
      </c>
    </row>
    <row r="39" spans="1:8" x14ac:dyDescent="0.35">
      <c r="A39">
        <v>39</v>
      </c>
      <c r="C39">
        <f t="shared" si="4"/>
        <v>115222.53251823661</v>
      </c>
      <c r="D39">
        <f t="shared" si="5"/>
        <v>99011.135984420718</v>
      </c>
      <c r="E39">
        <v>39</v>
      </c>
      <c r="G39">
        <f t="shared" si="6"/>
        <v>108254.47619035156</v>
      </c>
      <c r="H39">
        <f t="shared" si="7"/>
        <v>123740.72327328655</v>
      </c>
    </row>
    <row r="40" spans="1:8" x14ac:dyDescent="0.35">
      <c r="A40">
        <v>40</v>
      </c>
      <c r="C40">
        <f t="shared" si="4"/>
        <v>116072.1518632322</v>
      </c>
      <c r="D40">
        <f t="shared" si="5"/>
        <v>99757.465988449418</v>
      </c>
      <c r="E40">
        <v>40</v>
      </c>
      <c r="G40">
        <f t="shared" si="6"/>
        <v>109328.87154592408</v>
      </c>
      <c r="H40">
        <f t="shared" si="7"/>
        <v>124912.09929796352</v>
      </c>
    </row>
    <row r="41" spans="1:8" x14ac:dyDescent="0.35">
      <c r="A41">
        <v>41</v>
      </c>
      <c r="C41">
        <f t="shared" si="4"/>
        <v>116921.77120822777</v>
      </c>
      <c r="D41">
        <f t="shared" si="5"/>
        <v>100500.75929001022</v>
      </c>
      <c r="E41">
        <v>41</v>
      </c>
      <c r="G41">
        <f t="shared" si="6"/>
        <v>110403.26690149659</v>
      </c>
      <c r="H41">
        <f t="shared" si="7"/>
        <v>126089.04752476828</v>
      </c>
    </row>
    <row r="42" spans="1:8" x14ac:dyDescent="0.35">
      <c r="A42">
        <v>42</v>
      </c>
      <c r="C42">
        <f t="shared" si="4"/>
        <v>117771.39055322335</v>
      </c>
      <c r="D42">
        <f t="shared" si="5"/>
        <v>101241.07448689129</v>
      </c>
      <c r="E42">
        <v>42</v>
      </c>
      <c r="G42">
        <f t="shared" si="6"/>
        <v>111477.66225706911</v>
      </c>
      <c r="H42">
        <f t="shared" si="7"/>
        <v>127271.45940918334</v>
      </c>
    </row>
    <row r="43" spans="1:8" x14ac:dyDescent="0.35">
      <c r="A43">
        <v>43</v>
      </c>
      <c r="C43">
        <f t="shared" si="4"/>
        <v>118621.00989821894</v>
      </c>
      <c r="D43">
        <f t="shared" si="5"/>
        <v>101978.47025738841</v>
      </c>
      <c r="E43">
        <v>43</v>
      </c>
      <c r="G43">
        <f t="shared" si="6"/>
        <v>112552.05761264164</v>
      </c>
      <c r="H43">
        <f t="shared" si="7"/>
        <v>128459.22364981216</v>
      </c>
    </row>
    <row r="44" spans="1:8" x14ac:dyDescent="0.35">
      <c r="A44">
        <v>44</v>
      </c>
      <c r="C44">
        <f t="shared" si="4"/>
        <v>119470.62924321453</v>
      </c>
      <c r="D44">
        <f t="shared" si="5"/>
        <v>102713.00525442715</v>
      </c>
      <c r="E44">
        <v>44</v>
      </c>
      <c r="G44">
        <f t="shared" si="6"/>
        <v>113626.45296821416</v>
      </c>
      <c r="H44">
        <f t="shared" si="7"/>
        <v>129652.2266567867</v>
      </c>
    </row>
    <row r="45" spans="1:8" x14ac:dyDescent="0.35">
      <c r="A45">
        <v>45</v>
      </c>
      <c r="C45">
        <f t="shared" si="4"/>
        <v>120320.2485882101</v>
      </c>
      <c r="D45">
        <f t="shared" si="5"/>
        <v>103444.73800595703</v>
      </c>
      <c r="E45">
        <v>45</v>
      </c>
      <c r="G45">
        <f t="shared" si="6"/>
        <v>114700.84832378669</v>
      </c>
      <c r="H45">
        <f t="shared" si="7"/>
        <v>130850.35300448295</v>
      </c>
    </row>
    <row r="46" spans="1:8" x14ac:dyDescent="0.35">
      <c r="A46">
        <v>46</v>
      </c>
      <c r="C46">
        <f t="shared" si="4"/>
        <v>121169.86793320568</v>
      </c>
      <c r="D46">
        <f t="shared" si="5"/>
        <v>104173.72682167463</v>
      </c>
      <c r="E46">
        <v>46</v>
      </c>
      <c r="G46">
        <f t="shared" si="6"/>
        <v>115775.24367935921</v>
      </c>
      <c r="H46">
        <f t="shared" si="7"/>
        <v>132053.48586571243</v>
      </c>
    </row>
    <row r="47" spans="1:8" x14ac:dyDescent="0.35">
      <c r="A47">
        <v>47</v>
      </c>
      <c r="C47">
        <f t="shared" si="4"/>
        <v>122019.48727820127</v>
      </c>
      <c r="D47">
        <f t="shared" si="5"/>
        <v>104900.02970608167</v>
      </c>
      <c r="E47">
        <v>47</v>
      </c>
      <c r="G47">
        <f t="shared" si="6"/>
        <v>116849.63903493172</v>
      </c>
      <c r="H47">
        <f t="shared" si="7"/>
        <v>133261.50742504996</v>
      </c>
    </row>
    <row r="48" spans="1:8" x14ac:dyDescent="0.35">
      <c r="A48">
        <v>48</v>
      </c>
      <c r="C48">
        <f t="shared" si="4"/>
        <v>122869.10662319686</v>
      </c>
      <c r="D48">
        <f t="shared" si="5"/>
        <v>105623.70427783777</v>
      </c>
      <c r="E48">
        <v>48</v>
      </c>
      <c r="G48">
        <f t="shared" si="6"/>
        <v>117924.03439050424</v>
      </c>
      <c r="H48">
        <f t="shared" si="7"/>
        <v>134474.29926943619</v>
      </c>
    </row>
    <row r="49" spans="1:8" x14ac:dyDescent="0.35">
      <c r="A49">
        <v>49</v>
      </c>
      <c r="C49">
        <f t="shared" si="4"/>
        <v>123718.72596819243</v>
      </c>
      <c r="D49">
        <f t="shared" si="5"/>
        <v>106344.8076953267</v>
      </c>
      <c r="E49">
        <v>49</v>
      </c>
      <c r="G49">
        <f t="shared" si="6"/>
        <v>118998.42974607676</v>
      </c>
      <c r="H49">
        <f t="shared" si="7"/>
        <v>135691.74275465321</v>
      </c>
    </row>
    <row r="50" spans="1:8" x14ac:dyDescent="0.35">
      <c r="A50">
        <v>50</v>
      </c>
      <c r="C50">
        <f t="shared" si="4"/>
        <v>124568.34531318801</v>
      </c>
      <c r="D50">
        <f t="shared" si="5"/>
        <v>107063.39658831865</v>
      </c>
      <c r="E50">
        <v>50</v>
      </c>
      <c r="G50">
        <f t="shared" si="6"/>
        <v>120072.82510164927</v>
      </c>
      <c r="H50">
        <f t="shared" si="7"/>
        <v>136913.7193467023</v>
      </c>
    </row>
    <row r="51" spans="1:8" x14ac:dyDescent="0.35">
      <c r="A51">
        <v>51</v>
      </c>
      <c r="C51">
        <f t="shared" si="4"/>
        <v>125417.9646581836</v>
      </c>
      <c r="D51">
        <f t="shared" si="5"/>
        <v>107779.52699557923</v>
      </c>
      <c r="E51">
        <v>51</v>
      </c>
      <c r="G51">
        <f t="shared" si="6"/>
        <v>121147.22045722179</v>
      </c>
      <c r="H51">
        <f t="shared" si="7"/>
        <v>138140.11093750989</v>
      </c>
    </row>
    <row r="52" spans="1:8" x14ac:dyDescent="0.35">
      <c r="A52">
        <v>52</v>
      </c>
      <c r="C52">
        <f t="shared" si="4"/>
        <v>126267.58400317917</v>
      </c>
      <c r="D52">
        <f t="shared" si="5"/>
        <v>108493.25430824999</v>
      </c>
      <c r="E52">
        <v>52</v>
      </c>
      <c r="G52">
        <f t="shared" si="6"/>
        <v>122221.61581279432</v>
      </c>
      <c r="H52">
        <f t="shared" si="7"/>
        <v>139370.80013474752</v>
      </c>
    </row>
    <row r="53" spans="1:8" x14ac:dyDescent="0.35">
      <c r="A53">
        <v>53</v>
      </c>
      <c r="C53">
        <f t="shared" si="4"/>
        <v>127117.20334817475</v>
      </c>
      <c r="D53">
        <f t="shared" si="5"/>
        <v>109204.63321880221</v>
      </c>
      <c r="E53">
        <v>53</v>
      </c>
      <c r="G53">
        <f t="shared" si="6"/>
        <v>123296.01116836684</v>
      </c>
      <c r="H53">
        <f t="shared" si="7"/>
        <v>140605.67052587119</v>
      </c>
    </row>
    <row r="54" spans="1:8" x14ac:dyDescent="0.35">
      <c r="A54">
        <v>54</v>
      </c>
      <c r="C54">
        <f t="shared" si="4"/>
        <v>127966.82269317034</v>
      </c>
      <c r="D54">
        <f t="shared" si="5"/>
        <v>109913.71767534793</v>
      </c>
      <c r="E54">
        <v>54</v>
      </c>
      <c r="G54">
        <f t="shared" si="6"/>
        <v>124370.40652393937</v>
      </c>
      <c r="H54">
        <f t="shared" si="7"/>
        <v>141844.60691676431</v>
      </c>
    </row>
    <row r="55" spans="1:8" x14ac:dyDescent="0.35">
      <c r="A55">
        <v>55</v>
      </c>
      <c r="C55">
        <f t="shared" si="4"/>
        <v>128816.44203816593</v>
      </c>
      <c r="D55">
        <f t="shared" si="5"/>
        <v>110620.56084107776</v>
      </c>
      <c r="E55">
        <v>55</v>
      </c>
      <c r="G55">
        <f t="shared" si="6"/>
        <v>125444.80187951188</v>
      </c>
      <c r="H55">
        <f t="shared" si="7"/>
        <v>143087.49554560558</v>
      </c>
    </row>
    <row r="56" spans="1:8" x14ac:dyDescent="0.35">
      <c r="A56">
        <v>56</v>
      </c>
      <c r="C56">
        <f t="shared" si="4"/>
        <v>129666.0613831615</v>
      </c>
      <c r="D56">
        <f t="shared" si="5"/>
        <v>111325.21505858435</v>
      </c>
      <c r="E56">
        <v>56</v>
      </c>
      <c r="G56">
        <f t="shared" si="6"/>
        <v>126519.1972350844</v>
      </c>
      <c r="H56">
        <f t="shared" si="7"/>
        <v>144334.22427278192</v>
      </c>
    </row>
    <row r="57" spans="1:8" x14ac:dyDescent="0.35">
      <c r="A57">
        <v>57</v>
      </c>
      <c r="C57">
        <f t="shared" si="4"/>
        <v>130515.68072815708</v>
      </c>
      <c r="D57">
        <f t="shared" si="5"/>
        <v>112027.7318188229</v>
      </c>
      <c r="E57">
        <v>57</v>
      </c>
      <c r="G57">
        <f t="shared" si="6"/>
        <v>127593.59259065692</v>
      </c>
      <c r="H57">
        <f t="shared" si="7"/>
        <v>145584.68274782691</v>
      </c>
    </row>
    <row r="58" spans="1:8" x14ac:dyDescent="0.35">
      <c r="A58">
        <v>58</v>
      </c>
      <c r="C58">
        <f t="shared" si="4"/>
        <v>131365.30007315267</v>
      </c>
      <c r="D58">
        <f t="shared" si="5"/>
        <v>112728.16173445556</v>
      </c>
      <c r="E58">
        <v>58</v>
      </c>
      <c r="G58">
        <f t="shared" si="6"/>
        <v>128667.98794622943</v>
      </c>
      <c r="H58">
        <f t="shared" si="7"/>
        <v>146838.76255448977</v>
      </c>
    </row>
    <row r="59" spans="1:8" x14ac:dyDescent="0.35">
      <c r="A59">
        <v>59</v>
      </c>
      <c r="C59">
        <f t="shared" si="4"/>
        <v>132214.91941814826</v>
      </c>
      <c r="D59">
        <f t="shared" si="5"/>
        <v>113426.55451732458</v>
      </c>
      <c r="E59">
        <v>59</v>
      </c>
      <c r="G59">
        <f t="shared" si="6"/>
        <v>129742.38330180195</v>
      </c>
      <c r="H59">
        <f t="shared" si="7"/>
        <v>148096.35733513409</v>
      </c>
    </row>
    <row r="60" spans="1:8" x14ac:dyDescent="0.35">
      <c r="A60">
        <v>60</v>
      </c>
      <c r="C60">
        <f t="shared" si="4"/>
        <v>133064.53876314382</v>
      </c>
      <c r="D60">
        <f t="shared" si="5"/>
        <v>114122.95895979957</v>
      </c>
      <c r="E60">
        <v>60</v>
      </c>
      <c r="G60">
        <f t="shared" si="6"/>
        <v>130816.77865737448</v>
      </c>
      <c r="H60">
        <f t="shared" si="7"/>
        <v>149357.36289572887</v>
      </c>
    </row>
    <row r="61" spans="1:8" x14ac:dyDescent="0.35">
      <c r="A61">
        <v>61</v>
      </c>
      <c r="C61">
        <f t="shared" si="4"/>
        <v>133914.15810813941</v>
      </c>
      <c r="D61">
        <f t="shared" si="5"/>
        <v>114817.42291974655</v>
      </c>
      <c r="E61">
        <v>61</v>
      </c>
      <c r="G61">
        <f t="shared" si="6"/>
        <v>131891.17401294701</v>
      </c>
      <c r="H61">
        <f t="shared" si="7"/>
        <v>150621.67729273246</v>
      </c>
    </row>
    <row r="62" spans="1:8" x14ac:dyDescent="0.35">
      <c r="A62">
        <v>62</v>
      </c>
      <c r="C62">
        <f t="shared" si="4"/>
        <v>134763.777453135</v>
      </c>
      <c r="D62">
        <f t="shared" si="5"/>
        <v>115509.99330887047</v>
      </c>
      <c r="E62">
        <v>62</v>
      </c>
      <c r="G62">
        <f t="shared" si="6"/>
        <v>132965.56936851953</v>
      </c>
      <c r="H62">
        <f t="shared" si="7"/>
        <v>151889.2009031866</v>
      </c>
    </row>
    <row r="63" spans="1:8" x14ac:dyDescent="0.35">
      <c r="A63">
        <v>63</v>
      </c>
      <c r="C63">
        <f t="shared" si="4"/>
        <v>135613.39679813059</v>
      </c>
      <c r="D63">
        <f t="shared" si="5"/>
        <v>116200.71608418877</v>
      </c>
      <c r="E63">
        <v>63</v>
      </c>
      <c r="G63">
        <f t="shared" si="6"/>
        <v>134039.96472409205</v>
      </c>
      <c r="H63">
        <f t="shared" si="7"/>
        <v>153159.83647933378</v>
      </c>
    </row>
    <row r="64" spans="1:8" x14ac:dyDescent="0.35">
      <c r="A64">
        <v>64</v>
      </c>
      <c r="C64">
        <f t="shared" si="4"/>
        <v>136463.01614312615</v>
      </c>
      <c r="D64">
        <f t="shared" si="5"/>
        <v>116889.63624239995</v>
      </c>
      <c r="E64">
        <v>64</v>
      </c>
      <c r="G64">
        <f t="shared" si="6"/>
        <v>135114.36007966456</v>
      </c>
      <c r="H64">
        <f t="shared" si="7"/>
        <v>154433.48918905223</v>
      </c>
    </row>
    <row r="65" spans="1:8" x14ac:dyDescent="0.35">
      <c r="A65">
        <v>65</v>
      </c>
      <c r="C65">
        <f t="shared" ref="C65:C70" si="8">82936.9974084045+(A65-1)*849.619344995582</f>
        <v>137312.63548812174</v>
      </c>
      <c r="D65">
        <f t="shared" ref="D65:D70" si="9">0+1*C65-14587.3404722573*(1.02380952380952+(C65-92069.0476190476)^2/2537650170.69288)^0.5</f>
        <v>117576.79781691957</v>
      </c>
      <c r="E65">
        <v>65</v>
      </c>
      <c r="G65">
        <f t="shared" ref="G65:G70" si="10">67427.4526785958+(E65-1)*1074.39535557252</f>
        <v>136188.75543523708</v>
      </c>
      <c r="H65">
        <f t="shared" ref="H65:H70" si="11">0+1*G65+14587.3404722573*(1.02380952380952+(G65-92069.0476190476)^2/2537650170.69288)^0.5</f>
        <v>155710.06664336909</v>
      </c>
    </row>
    <row r="66" spans="1:8" x14ac:dyDescent="0.35">
      <c r="A66">
        <v>66</v>
      </c>
      <c r="C66">
        <f t="shared" si="8"/>
        <v>138162.25483311733</v>
      </c>
      <c r="D66">
        <f t="shared" si="9"/>
        <v>118262.24387736357</v>
      </c>
      <c r="E66">
        <v>66</v>
      </c>
      <c r="G66">
        <f t="shared" si="10"/>
        <v>137263.1507908096</v>
      </c>
      <c r="H66">
        <f t="shared" si="11"/>
        <v>156989.47891227066</v>
      </c>
    </row>
    <row r="67" spans="1:8" x14ac:dyDescent="0.35">
      <c r="A67">
        <v>67</v>
      </c>
      <c r="C67">
        <f t="shared" si="8"/>
        <v>139011.87417811289</v>
      </c>
      <c r="D67">
        <f t="shared" si="9"/>
        <v>118946.01653126947</v>
      </c>
      <c r="E67">
        <v>67</v>
      </c>
      <c r="G67">
        <f t="shared" si="10"/>
        <v>138337.54614638211</v>
      </c>
      <c r="H67">
        <f t="shared" si="11"/>
        <v>158271.63852997471</v>
      </c>
    </row>
    <row r="68" spans="1:8" x14ac:dyDescent="0.35">
      <c r="A68">
        <v>68</v>
      </c>
      <c r="C68">
        <f t="shared" si="8"/>
        <v>139861.49352310848</v>
      </c>
      <c r="D68">
        <f t="shared" si="9"/>
        <v>119628.15692785471</v>
      </c>
      <c r="E68">
        <v>68</v>
      </c>
      <c r="G68">
        <f t="shared" si="10"/>
        <v>139411.94150195463</v>
      </c>
      <c r="H68">
        <f t="shared" si="11"/>
        <v>159556.46049077428</v>
      </c>
    </row>
    <row r="69" spans="1:8" x14ac:dyDescent="0.35">
      <c r="A69">
        <v>69</v>
      </c>
      <c r="C69">
        <f t="shared" si="8"/>
        <v>140711.11286810407</v>
      </c>
      <c r="D69">
        <f t="shared" si="9"/>
        <v>120308.70526362088</v>
      </c>
      <c r="E69">
        <v>69</v>
      </c>
      <c r="G69">
        <f t="shared" si="10"/>
        <v>140486.33685752715</v>
      </c>
      <c r="H69">
        <f t="shared" si="11"/>
        <v>160843.86223649891</v>
      </c>
    </row>
    <row r="70" spans="1:8" x14ac:dyDescent="0.35">
      <c r="A70">
        <v>70</v>
      </c>
      <c r="C70">
        <f t="shared" si="8"/>
        <v>141560.73221309966</v>
      </c>
      <c r="D70">
        <f t="shared" si="9"/>
        <v>120987.70078962446</v>
      </c>
      <c r="E70">
        <v>70</v>
      </c>
      <c r="G70">
        <f t="shared" si="10"/>
        <v>141560.73221309966</v>
      </c>
      <c r="H70">
        <f t="shared" si="11"/>
        <v>162133.76363657485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D94A-8463-4994-9FD1-50FFE80F0450}">
  <sheetPr codeName="Sheet9">
    <tabColor rgb="FF007800"/>
  </sheetPr>
  <dimension ref="A1:M218"/>
  <sheetViews>
    <sheetView topLeftCell="A52" zoomScaleNormal="100" workbookViewId="0">
      <selection activeCell="E4" sqref="E4"/>
    </sheetView>
  </sheetViews>
  <sheetFormatPr defaultRowHeight="15.5" x14ac:dyDescent="0.35"/>
  <cols>
    <col min="1" max="1" width="8.83203125" customWidth="1"/>
    <col min="2" max="2" width="12.5" bestFit="1" customWidth="1"/>
    <col min="3" max="4" width="14.5" bestFit="1" customWidth="1"/>
    <col min="5" max="5" width="10.4140625" bestFit="1" customWidth="1"/>
    <col min="6" max="6" width="10.5" bestFit="1" customWidth="1"/>
    <col min="7" max="7" width="9.5" bestFit="1" customWidth="1"/>
    <col min="8" max="8" width="9.4140625" bestFit="1" customWidth="1"/>
    <col min="9" max="10" width="10.4140625" bestFit="1" customWidth="1"/>
    <col min="12" max="12" width="9.4140625" bestFit="1" customWidth="1"/>
    <col min="13" max="13" width="10.4140625" bestFit="1" customWidth="1"/>
  </cols>
  <sheetData>
    <row r="1" spans="1:8" x14ac:dyDescent="0.35">
      <c r="A1" s="94" t="s">
        <v>213</v>
      </c>
    </row>
    <row r="2" spans="1:8" x14ac:dyDescent="0.35">
      <c r="A2" s="94" t="s">
        <v>88</v>
      </c>
    </row>
    <row r="3" spans="1:8" x14ac:dyDescent="0.35">
      <c r="A3" s="94" t="s">
        <v>89</v>
      </c>
    </row>
    <row r="4" spans="1:8" ht="38" customHeight="1" x14ac:dyDescent="0.35"/>
    <row r="5" spans="1:8" ht="15.65" customHeight="1" x14ac:dyDescent="0.35">
      <c r="A5" s="95"/>
    </row>
    <row r="8" spans="1:8" x14ac:dyDescent="0.35">
      <c r="A8" s="96" t="s">
        <v>90</v>
      </c>
    </row>
    <row r="9" spans="1:8" ht="16" thickBot="1" x14ac:dyDescent="0.4"/>
    <row r="10" spans="1:8" ht="31.25" customHeight="1" x14ac:dyDescent="0.35">
      <c r="A10" s="97" t="s">
        <v>91</v>
      </c>
      <c r="B10" s="50" t="s">
        <v>92</v>
      </c>
      <c r="C10" s="50" t="s">
        <v>93</v>
      </c>
      <c r="D10" s="50" t="s">
        <v>94</v>
      </c>
      <c r="E10" s="50" t="s">
        <v>95</v>
      </c>
      <c r="F10" s="50" t="s">
        <v>96</v>
      </c>
      <c r="G10" s="50" t="s">
        <v>97</v>
      </c>
      <c r="H10" s="50" t="s">
        <v>98</v>
      </c>
    </row>
    <row r="11" spans="1:8" x14ac:dyDescent="0.35">
      <c r="A11" s="98" t="s">
        <v>24</v>
      </c>
      <c r="B11" s="53">
        <v>42</v>
      </c>
      <c r="C11" s="53">
        <v>0</v>
      </c>
      <c r="D11" s="53">
        <v>42</v>
      </c>
      <c r="E11" s="56">
        <v>76600</v>
      </c>
      <c r="F11" s="56">
        <v>120700</v>
      </c>
      <c r="G11" s="56">
        <v>92069.047619047604</v>
      </c>
      <c r="H11" s="56">
        <v>10553.082732946277</v>
      </c>
    </row>
    <row r="12" spans="1:8" ht="16" thickBot="1" x14ac:dyDescent="0.4">
      <c r="A12" s="52" t="s">
        <v>23</v>
      </c>
      <c r="B12" s="55">
        <v>42</v>
      </c>
      <c r="C12" s="55">
        <v>0</v>
      </c>
      <c r="D12" s="55">
        <v>42</v>
      </c>
      <c r="E12" s="58">
        <v>1468</v>
      </c>
      <c r="F12" s="58">
        <v>2372</v>
      </c>
      <c r="G12" s="58">
        <v>1695.2619047619046</v>
      </c>
      <c r="H12" s="58">
        <v>220.25673041667616</v>
      </c>
    </row>
    <row r="15" spans="1:8" x14ac:dyDescent="0.35">
      <c r="A15" s="6" t="s">
        <v>99</v>
      </c>
    </row>
    <row r="16" spans="1:8" ht="16" thickBot="1" x14ac:dyDescent="0.4"/>
    <row r="17" spans="1:3" x14ac:dyDescent="0.35">
      <c r="A17" s="49"/>
      <c r="B17" s="50" t="s">
        <v>23</v>
      </c>
      <c r="C17" s="59" t="s">
        <v>24</v>
      </c>
    </row>
    <row r="18" spans="1:3" x14ac:dyDescent="0.35">
      <c r="A18" s="60" t="s">
        <v>23</v>
      </c>
      <c r="B18" s="66">
        <v>1</v>
      </c>
      <c r="C18" s="63">
        <v>0.73125522334851889</v>
      </c>
    </row>
    <row r="19" spans="1:3" ht="16" thickBot="1" x14ac:dyDescent="0.4">
      <c r="A19" s="61" t="s">
        <v>24</v>
      </c>
      <c r="B19" s="65">
        <v>0.73125522334851889</v>
      </c>
      <c r="C19" s="68">
        <v>1</v>
      </c>
    </row>
    <row r="22" spans="1:3" x14ac:dyDescent="0.35">
      <c r="A22" s="6" t="s">
        <v>100</v>
      </c>
    </row>
    <row r="24" spans="1:3" x14ac:dyDescent="0.35">
      <c r="A24" s="2" t="s">
        <v>101</v>
      </c>
    </row>
    <row r="25" spans="1:3" ht="16" thickBot="1" x14ac:dyDescent="0.4"/>
    <row r="26" spans="1:3" x14ac:dyDescent="0.35">
      <c r="A26" s="69" t="s">
        <v>92</v>
      </c>
      <c r="B26" s="70">
        <v>42</v>
      </c>
    </row>
    <row r="27" spans="1:3" x14ac:dyDescent="0.35">
      <c r="A27" s="48" t="s">
        <v>102</v>
      </c>
      <c r="B27" s="54">
        <v>42</v>
      </c>
    </row>
    <row r="28" spans="1:3" x14ac:dyDescent="0.35">
      <c r="A28" s="48" t="s">
        <v>103</v>
      </c>
      <c r="B28" s="54">
        <v>40</v>
      </c>
    </row>
    <row r="29" spans="1:3" x14ac:dyDescent="0.35">
      <c r="A29" s="48" t="s">
        <v>104</v>
      </c>
      <c r="B29" s="57">
        <v>0.53473420167449226</v>
      </c>
    </row>
    <row r="30" spans="1:3" x14ac:dyDescent="0.35">
      <c r="A30" s="48" t="s">
        <v>105</v>
      </c>
      <c r="B30" s="57">
        <v>0.52310255671635453</v>
      </c>
    </row>
    <row r="31" spans="1:3" x14ac:dyDescent="0.35">
      <c r="A31" s="48" t="s">
        <v>106</v>
      </c>
      <c r="B31" s="57">
        <v>53110902.324564502</v>
      </c>
    </row>
    <row r="32" spans="1:3" x14ac:dyDescent="0.35">
      <c r="A32" s="48" t="s">
        <v>107</v>
      </c>
      <c r="B32" s="57">
        <v>7287.7227118328601</v>
      </c>
    </row>
    <row r="33" spans="1:7" x14ac:dyDescent="0.35">
      <c r="A33" s="48" t="s">
        <v>108</v>
      </c>
      <c r="B33" s="57">
        <v>5.3066977256358658</v>
      </c>
    </row>
    <row r="34" spans="1:7" x14ac:dyDescent="0.35">
      <c r="A34" s="48" t="s">
        <v>109</v>
      </c>
      <c r="B34" s="57">
        <v>2.1155805271596764</v>
      </c>
    </row>
    <row r="35" spans="1:7" x14ac:dyDescent="0.35">
      <c r="A35" s="48" t="s">
        <v>110</v>
      </c>
      <c r="B35" s="57">
        <v>2</v>
      </c>
    </row>
    <row r="36" spans="1:7" x14ac:dyDescent="0.35">
      <c r="A36" s="48" t="s">
        <v>111</v>
      </c>
      <c r="B36" s="57">
        <v>749.04230994822592</v>
      </c>
    </row>
    <row r="37" spans="1:7" x14ac:dyDescent="0.35">
      <c r="A37" s="48" t="s">
        <v>112</v>
      </c>
      <c r="B37" s="57">
        <v>749.35000225591818</v>
      </c>
    </row>
    <row r="38" spans="1:7" x14ac:dyDescent="0.35">
      <c r="A38" s="48" t="s">
        <v>113</v>
      </c>
      <c r="B38" s="57">
        <v>752.51764918479262</v>
      </c>
    </row>
    <row r="39" spans="1:7" ht="16" thickBot="1" x14ac:dyDescent="0.4">
      <c r="A39" s="52" t="s">
        <v>114</v>
      </c>
      <c r="B39" s="58">
        <v>0.51179237815805856</v>
      </c>
    </row>
    <row r="42" spans="1:7" x14ac:dyDescent="0.35">
      <c r="A42" s="2" t="s">
        <v>115</v>
      </c>
    </row>
    <row r="43" spans="1:7" ht="16" thickBot="1" x14ac:dyDescent="0.4"/>
    <row r="44" spans="1:7" ht="46.5" x14ac:dyDescent="0.35">
      <c r="A44" s="49" t="s">
        <v>116</v>
      </c>
      <c r="B44" s="50" t="s">
        <v>103</v>
      </c>
      <c r="C44" s="50" t="s">
        <v>117</v>
      </c>
      <c r="D44" s="50" t="s">
        <v>118</v>
      </c>
      <c r="E44" s="50" t="s">
        <v>119</v>
      </c>
      <c r="F44" s="50" t="s">
        <v>120</v>
      </c>
      <c r="G44" s="50" t="s">
        <v>121</v>
      </c>
    </row>
    <row r="45" spans="1:7" x14ac:dyDescent="0.35">
      <c r="A45" s="60" t="s">
        <v>122</v>
      </c>
      <c r="B45" s="62">
        <v>1</v>
      </c>
      <c r="C45" s="62">
        <v>2441633668.9221821</v>
      </c>
      <c r="D45" s="62">
        <v>2441633668.9221821</v>
      </c>
      <c r="E45" s="62">
        <v>45.972362774053153</v>
      </c>
      <c r="F45" s="74">
        <v>3.7980175088014214E-8</v>
      </c>
      <c r="G45" s="77" t="s">
        <v>125</v>
      </c>
    </row>
    <row r="46" spans="1:7" x14ac:dyDescent="0.35">
      <c r="A46" s="48" t="s">
        <v>123</v>
      </c>
      <c r="B46" s="57">
        <v>40</v>
      </c>
      <c r="C46" s="57">
        <v>2124436092.9825802</v>
      </c>
      <c r="D46" s="57">
        <v>53110902.324564502</v>
      </c>
      <c r="E46" s="57"/>
      <c r="F46" s="75"/>
      <c r="G46" s="78" t="s">
        <v>126</v>
      </c>
    </row>
    <row r="47" spans="1:7" ht="16" thickBot="1" x14ac:dyDescent="0.4">
      <c r="A47" s="52" t="s">
        <v>124</v>
      </c>
      <c r="B47" s="58">
        <v>41</v>
      </c>
      <c r="C47" s="58">
        <v>4566069761.9047623</v>
      </c>
      <c r="D47" s="58"/>
      <c r="E47" s="58"/>
      <c r="F47" s="76"/>
      <c r="G47" s="79" t="s">
        <v>126</v>
      </c>
    </row>
    <row r="48" spans="1:7" x14ac:dyDescent="0.35">
      <c r="A48" s="80" t="s">
        <v>127</v>
      </c>
    </row>
    <row r="49" spans="1:8" x14ac:dyDescent="0.35">
      <c r="A49" s="80" t="s">
        <v>128</v>
      </c>
    </row>
    <row r="52" spans="1:8" x14ac:dyDescent="0.35">
      <c r="A52" s="2" t="s">
        <v>129</v>
      </c>
    </row>
    <row r="53" spans="1:8" ht="16" thickBot="1" x14ac:dyDescent="0.4"/>
    <row r="54" spans="1:8" ht="46.5" x14ac:dyDescent="0.35">
      <c r="A54" s="49" t="s">
        <v>116</v>
      </c>
      <c r="B54" s="50" t="s">
        <v>130</v>
      </c>
      <c r="C54" s="50" t="s">
        <v>131</v>
      </c>
      <c r="D54" s="50" t="s">
        <v>132</v>
      </c>
      <c r="E54" s="50" t="s">
        <v>133</v>
      </c>
      <c r="F54" s="50" t="s">
        <v>134</v>
      </c>
      <c r="G54" s="50" t="s">
        <v>135</v>
      </c>
      <c r="H54" s="50" t="s">
        <v>121</v>
      </c>
    </row>
    <row r="55" spans="1:8" x14ac:dyDescent="0.35">
      <c r="A55" s="60" t="s">
        <v>16</v>
      </c>
      <c r="B55" s="62">
        <v>32673.219897243005</v>
      </c>
      <c r="C55" s="62">
        <v>8831.9507447460928</v>
      </c>
      <c r="D55" s="62">
        <v>3.6994341161469326</v>
      </c>
      <c r="E55" s="74">
        <v>6.4960368074158518E-4</v>
      </c>
      <c r="F55" s="62">
        <v>14823.181598697789</v>
      </c>
      <c r="G55" s="62">
        <v>50523.258195788221</v>
      </c>
      <c r="H55" s="77" t="s">
        <v>125</v>
      </c>
    </row>
    <row r="56" spans="1:8" ht="16" thickBot="1" x14ac:dyDescent="0.4">
      <c r="A56" s="52" t="s">
        <v>23</v>
      </c>
      <c r="B56" s="58">
        <v>35.036372583472051</v>
      </c>
      <c r="C56" s="58">
        <v>5.1673838495416051</v>
      </c>
      <c r="D56" s="58">
        <v>6.7802922336764482</v>
      </c>
      <c r="E56" s="76">
        <v>3.7980175005003503E-8</v>
      </c>
      <c r="F56" s="58">
        <v>24.592700252931515</v>
      </c>
      <c r="G56" s="58">
        <v>45.480044914012588</v>
      </c>
      <c r="H56" s="79" t="s">
        <v>125</v>
      </c>
    </row>
    <row r="57" spans="1:8" x14ac:dyDescent="0.35">
      <c r="A57" s="80" t="s">
        <v>128</v>
      </c>
    </row>
    <row r="60" spans="1:8" x14ac:dyDescent="0.35">
      <c r="A60" s="2" t="s">
        <v>138</v>
      </c>
    </row>
    <row r="62" spans="1:8" x14ac:dyDescent="0.35">
      <c r="A62" t="s">
        <v>211</v>
      </c>
    </row>
    <row r="65" spans="1:8" x14ac:dyDescent="0.35">
      <c r="A65" s="2" t="s">
        <v>140</v>
      </c>
    </row>
    <row r="66" spans="1:8" ht="16" thickBot="1" x14ac:dyDescent="0.4"/>
    <row r="67" spans="1:8" ht="46.5" x14ac:dyDescent="0.35">
      <c r="A67" s="49" t="s">
        <v>116</v>
      </c>
      <c r="B67" s="50" t="s">
        <v>130</v>
      </c>
      <c r="C67" s="50" t="s">
        <v>131</v>
      </c>
      <c r="D67" s="50" t="s">
        <v>132</v>
      </c>
      <c r="E67" s="50" t="s">
        <v>133</v>
      </c>
      <c r="F67" s="50" t="s">
        <v>134</v>
      </c>
      <c r="G67" s="50" t="s">
        <v>135</v>
      </c>
      <c r="H67" s="50" t="s">
        <v>121</v>
      </c>
    </row>
    <row r="68" spans="1:8" ht="16" thickBot="1" x14ac:dyDescent="0.4">
      <c r="A68" s="86" t="s">
        <v>23</v>
      </c>
      <c r="B68" s="87">
        <v>0.73125522334851889</v>
      </c>
      <c r="C68" s="87">
        <v>0.10785010411741704</v>
      </c>
      <c r="D68" s="87">
        <v>6.7802922336764464</v>
      </c>
      <c r="E68" s="88">
        <v>3.7980175005003503E-8</v>
      </c>
      <c r="F68" s="87">
        <v>0.51328203207554968</v>
      </c>
      <c r="G68" s="87">
        <v>0.9492284146214881</v>
      </c>
      <c r="H68" s="89" t="s">
        <v>125</v>
      </c>
    </row>
    <row r="69" spans="1:8" x14ac:dyDescent="0.35">
      <c r="A69" s="80" t="s">
        <v>128</v>
      </c>
    </row>
    <row r="88" spans="1:13" x14ac:dyDescent="0.35">
      <c r="D88" t="s">
        <v>141</v>
      </c>
    </row>
    <row r="91" spans="1:13" x14ac:dyDescent="0.35">
      <c r="A91" s="2" t="s">
        <v>142</v>
      </c>
    </row>
    <row r="92" spans="1:13" ht="16" thickBot="1" x14ac:dyDescent="0.4"/>
    <row r="93" spans="1:13" ht="77.5" x14ac:dyDescent="0.35">
      <c r="A93" s="49" t="s">
        <v>143</v>
      </c>
      <c r="B93" s="50" t="s">
        <v>144</v>
      </c>
      <c r="C93" s="50" t="s">
        <v>23</v>
      </c>
      <c r="D93" s="50" t="s">
        <v>24</v>
      </c>
      <c r="E93" s="50" t="s">
        <v>187</v>
      </c>
      <c r="F93" s="50" t="s">
        <v>188</v>
      </c>
      <c r="G93" s="50" t="s">
        <v>189</v>
      </c>
      <c r="H93" s="50" t="s">
        <v>190</v>
      </c>
      <c r="I93" s="50" t="s">
        <v>191</v>
      </c>
      <c r="J93" s="50" t="s">
        <v>192</v>
      </c>
      <c r="K93" s="50" t="s">
        <v>193</v>
      </c>
      <c r="L93" s="50" t="s">
        <v>194</v>
      </c>
      <c r="M93" s="50" t="s">
        <v>195</v>
      </c>
    </row>
    <row r="94" spans="1:13" x14ac:dyDescent="0.35">
      <c r="A94" s="60" t="s">
        <v>145</v>
      </c>
      <c r="B94" s="81">
        <v>1</v>
      </c>
      <c r="C94" s="62">
        <v>1836</v>
      </c>
      <c r="D94" s="62">
        <v>101900</v>
      </c>
      <c r="E94" s="62">
        <v>96999.999960497691</v>
      </c>
      <c r="F94" s="62">
        <v>4900.0000395023089</v>
      </c>
      <c r="G94" s="62">
        <v>0.6723636770024638</v>
      </c>
      <c r="H94" s="62">
        <v>1339.1917705743419</v>
      </c>
      <c r="I94" s="62">
        <v>94293.392430098043</v>
      </c>
      <c r="J94" s="62">
        <v>99706.607490897339</v>
      </c>
      <c r="K94" s="62">
        <v>7409.7460768192686</v>
      </c>
      <c r="L94" s="62">
        <v>82024.344516268698</v>
      </c>
      <c r="M94" s="62">
        <v>111975.65540472668</v>
      </c>
    </row>
    <row r="95" spans="1:13" x14ac:dyDescent="0.35">
      <c r="A95" s="48" t="s">
        <v>146</v>
      </c>
      <c r="B95" s="54">
        <v>1</v>
      </c>
      <c r="C95" s="57">
        <v>1684</v>
      </c>
      <c r="D95" s="57">
        <v>96700</v>
      </c>
      <c r="E95" s="57">
        <v>91674.471327809937</v>
      </c>
      <c r="F95" s="57">
        <v>5025.5286721900629</v>
      </c>
      <c r="G95" s="57">
        <v>0.68958834891320175</v>
      </c>
      <c r="H95" s="57">
        <v>1126.0248235007659</v>
      </c>
      <c r="I95" s="57">
        <v>89398.690268165999</v>
      </c>
      <c r="J95" s="57">
        <v>93950.252387453875</v>
      </c>
      <c r="K95" s="57">
        <v>7374.2005822803894</v>
      </c>
      <c r="L95" s="57">
        <v>76770.656007829501</v>
      </c>
      <c r="M95" s="57">
        <v>106578.28664779037</v>
      </c>
    </row>
    <row r="96" spans="1:13" x14ac:dyDescent="0.35">
      <c r="A96" s="48" t="s">
        <v>147</v>
      </c>
      <c r="B96" s="54">
        <v>1</v>
      </c>
      <c r="C96" s="57">
        <v>1520</v>
      </c>
      <c r="D96" s="57">
        <v>84400</v>
      </c>
      <c r="E96" s="57">
        <v>85928.506224120531</v>
      </c>
      <c r="F96" s="57">
        <v>-1528.5062241205305</v>
      </c>
      <c r="G96" s="57">
        <v>-0.20973715446647553</v>
      </c>
      <c r="H96" s="57">
        <v>1443.8625732775813</v>
      </c>
      <c r="I96" s="57">
        <v>83010.351110294447</v>
      </c>
      <c r="J96" s="57">
        <v>88846.661337946614</v>
      </c>
      <c r="K96" s="57">
        <v>7429.3769223990957</v>
      </c>
      <c r="L96" s="57">
        <v>70913.175360999376</v>
      </c>
      <c r="M96" s="57">
        <v>100943.83708724169</v>
      </c>
    </row>
    <row r="97" spans="1:13" x14ac:dyDescent="0.35">
      <c r="A97" s="48" t="s">
        <v>148</v>
      </c>
      <c r="B97" s="54">
        <v>1</v>
      </c>
      <c r="C97" s="57">
        <v>1850</v>
      </c>
      <c r="D97" s="57">
        <v>96000</v>
      </c>
      <c r="E97" s="57">
        <v>97490.509176666295</v>
      </c>
      <c r="F97" s="57">
        <v>-1490.5091766662954</v>
      </c>
      <c r="G97" s="57">
        <v>-0.20452331072451477</v>
      </c>
      <c r="H97" s="57">
        <v>1379.8156671819188</v>
      </c>
      <c r="I97" s="57">
        <v>94701.797688574996</v>
      </c>
      <c r="J97" s="57">
        <v>100279.22066475759</v>
      </c>
      <c r="K97" s="57">
        <v>7417.1958043431205</v>
      </c>
      <c r="L97" s="57">
        <v>82499.79727147441</v>
      </c>
      <c r="M97" s="57">
        <v>112481.22108185818</v>
      </c>
    </row>
    <row r="98" spans="1:13" x14ac:dyDescent="0.35">
      <c r="A98" s="48" t="s">
        <v>149</v>
      </c>
      <c r="B98" s="54">
        <v>1</v>
      </c>
      <c r="C98" s="57">
        <v>1484</v>
      </c>
      <c r="D98" s="57">
        <v>78800</v>
      </c>
      <c r="E98" s="57">
        <v>84667.196811115529</v>
      </c>
      <c r="F98" s="57">
        <v>-5867.1968111155293</v>
      </c>
      <c r="G98" s="57">
        <v>-0.80507958975842142</v>
      </c>
      <c r="H98" s="57">
        <v>1567.2560863154586</v>
      </c>
      <c r="I98" s="57">
        <v>81499.65410476597</v>
      </c>
      <c r="J98" s="57">
        <v>87834.739517465088</v>
      </c>
      <c r="K98" s="57">
        <v>7454.3406123316736</v>
      </c>
      <c r="L98" s="57">
        <v>69601.412448620569</v>
      </c>
      <c r="M98" s="57">
        <v>99732.981173610489</v>
      </c>
    </row>
    <row r="99" spans="1:13" x14ac:dyDescent="0.35">
      <c r="A99" s="48" t="s">
        <v>150</v>
      </c>
      <c r="B99" s="54">
        <v>1</v>
      </c>
      <c r="C99" s="57">
        <v>1731</v>
      </c>
      <c r="D99" s="57">
        <v>86400</v>
      </c>
      <c r="E99" s="57">
        <v>93321.18083923313</v>
      </c>
      <c r="F99" s="57">
        <v>-6921.1808392331295</v>
      </c>
      <c r="G99" s="57">
        <v>-0.94970419607148504</v>
      </c>
      <c r="H99" s="57">
        <v>1139.5829103234532</v>
      </c>
      <c r="I99" s="57">
        <v>91017.997863972312</v>
      </c>
      <c r="J99" s="57">
        <v>95624.363814493947</v>
      </c>
      <c r="K99" s="57">
        <v>7376.2830432451392</v>
      </c>
      <c r="L99" s="57">
        <v>78413.156708645591</v>
      </c>
      <c r="M99" s="57">
        <v>108229.20496982067</v>
      </c>
    </row>
    <row r="100" spans="1:13" x14ac:dyDescent="0.35">
      <c r="A100" s="48" t="s">
        <v>151</v>
      </c>
      <c r="B100" s="54">
        <v>1</v>
      </c>
      <c r="C100" s="57">
        <v>1484</v>
      </c>
      <c r="D100" s="57">
        <v>82000</v>
      </c>
      <c r="E100" s="57">
        <v>84667.196811115529</v>
      </c>
      <c r="F100" s="57">
        <v>-2667.1968111155293</v>
      </c>
      <c r="G100" s="57">
        <v>-0.36598494709257812</v>
      </c>
      <c r="H100" s="57">
        <v>1567.2560863154586</v>
      </c>
      <c r="I100" s="57">
        <v>81499.65410476597</v>
      </c>
      <c r="J100" s="57">
        <v>87834.739517465088</v>
      </c>
      <c r="K100" s="57">
        <v>7454.3406123316736</v>
      </c>
      <c r="L100" s="57">
        <v>69601.412448620569</v>
      </c>
      <c r="M100" s="57">
        <v>99732.981173610489</v>
      </c>
    </row>
    <row r="101" spans="1:13" x14ac:dyDescent="0.35">
      <c r="A101" s="48" t="s">
        <v>152</v>
      </c>
      <c r="B101" s="54">
        <v>1</v>
      </c>
      <c r="C101" s="57">
        <v>1581</v>
      </c>
      <c r="D101" s="57">
        <v>120700</v>
      </c>
      <c r="E101" s="57">
        <v>88065.724951712327</v>
      </c>
      <c r="F101" s="57">
        <v>32634.275048287673</v>
      </c>
      <c r="G101" s="57">
        <v>4.4779797940583501</v>
      </c>
      <c r="H101" s="57">
        <v>1270.1019352352337</v>
      </c>
      <c r="I101" s="57">
        <v>85498.753187236405</v>
      </c>
      <c r="J101" s="57">
        <v>90632.696716188249</v>
      </c>
      <c r="K101" s="57">
        <v>7397.5713075612048</v>
      </c>
      <c r="L101" s="57">
        <v>73114.675634013387</v>
      </c>
      <c r="M101" s="57">
        <v>103016.77426941127</v>
      </c>
    </row>
    <row r="102" spans="1:13" x14ac:dyDescent="0.35">
      <c r="A102" s="48" t="s">
        <v>153</v>
      </c>
      <c r="B102" s="54">
        <v>1</v>
      </c>
      <c r="C102" s="57">
        <v>1588</v>
      </c>
      <c r="D102" s="57">
        <v>81500</v>
      </c>
      <c r="E102" s="57">
        <v>88310.979559796629</v>
      </c>
      <c r="F102" s="57">
        <v>-6810.9795597966295</v>
      </c>
      <c r="G102" s="57">
        <v>-0.9345826987541449</v>
      </c>
      <c r="H102" s="57">
        <v>1253.6958355541719</v>
      </c>
      <c r="I102" s="57">
        <v>85777.165759636904</v>
      </c>
      <c r="J102" s="57">
        <v>90844.793359956355</v>
      </c>
      <c r="K102" s="57">
        <v>7394.7721785495442</v>
      </c>
      <c r="L102" s="57">
        <v>73365.587492857434</v>
      </c>
      <c r="M102" s="57">
        <v>103256.37162673582</v>
      </c>
    </row>
    <row r="103" spans="1:13" x14ac:dyDescent="0.35">
      <c r="A103" s="48" t="s">
        <v>154</v>
      </c>
      <c r="B103" s="54">
        <v>1</v>
      </c>
      <c r="C103" s="57">
        <v>2372</v>
      </c>
      <c r="D103" s="57">
        <v>114000</v>
      </c>
      <c r="E103" s="57">
        <v>115779.4956652387</v>
      </c>
      <c r="F103" s="57">
        <v>-1779.4956652387045</v>
      </c>
      <c r="G103" s="57">
        <v>-0.24417719164168938</v>
      </c>
      <c r="H103" s="57">
        <v>3673.3245197681581</v>
      </c>
      <c r="I103" s="57">
        <v>108355.42987775091</v>
      </c>
      <c r="J103" s="57">
        <v>123203.5614527265</v>
      </c>
      <c r="K103" s="57">
        <v>8161.1405668628495</v>
      </c>
      <c r="L103" s="57">
        <v>99285.215308775863</v>
      </c>
      <c r="M103" s="57">
        <v>132273.77602170155</v>
      </c>
    </row>
    <row r="104" spans="1:13" x14ac:dyDescent="0.35">
      <c r="A104" s="48" t="s">
        <v>155</v>
      </c>
      <c r="B104" s="54">
        <v>1</v>
      </c>
      <c r="C104" s="57">
        <v>1484</v>
      </c>
      <c r="D104" s="57">
        <v>76600</v>
      </c>
      <c r="E104" s="57">
        <v>84667.196811115529</v>
      </c>
      <c r="F104" s="57">
        <v>-8067.1968111155293</v>
      </c>
      <c r="G104" s="57">
        <v>-1.1069571565911887</v>
      </c>
      <c r="H104" s="57">
        <v>1567.2560863154586</v>
      </c>
      <c r="I104" s="57">
        <v>81499.65410476597</v>
      </c>
      <c r="J104" s="57">
        <v>87834.739517465088</v>
      </c>
      <c r="K104" s="57">
        <v>7454.3406123316736</v>
      </c>
      <c r="L104" s="57">
        <v>69601.412448620569</v>
      </c>
      <c r="M104" s="57">
        <v>99732.981173610489</v>
      </c>
    </row>
    <row r="105" spans="1:13" x14ac:dyDescent="0.35">
      <c r="A105" s="48" t="s">
        <v>156</v>
      </c>
      <c r="B105" s="54">
        <v>1</v>
      </c>
      <c r="C105" s="57">
        <v>1812</v>
      </c>
      <c r="D105" s="57">
        <v>90000</v>
      </c>
      <c r="E105" s="57">
        <v>96159.127018494357</v>
      </c>
      <c r="F105" s="57">
        <v>-6159.1270184943569</v>
      </c>
      <c r="G105" s="57">
        <v>-0.84513739916228758</v>
      </c>
      <c r="H105" s="57">
        <v>1276.1004613405764</v>
      </c>
      <c r="I105" s="57">
        <v>93580.031780528851</v>
      </c>
      <c r="J105" s="57">
        <v>98738.222256459863</v>
      </c>
      <c r="K105" s="57">
        <v>7398.6035649977985</v>
      </c>
      <c r="L105" s="57">
        <v>81205.991430693859</v>
      </c>
      <c r="M105" s="57">
        <v>111112.26260629485</v>
      </c>
    </row>
    <row r="106" spans="1:13" x14ac:dyDescent="0.35">
      <c r="A106" s="48" t="s">
        <v>157</v>
      </c>
      <c r="B106" s="54">
        <v>1</v>
      </c>
      <c r="C106" s="57">
        <v>1842</v>
      </c>
      <c r="D106" s="57">
        <v>93300</v>
      </c>
      <c r="E106" s="57">
        <v>97210.218195998517</v>
      </c>
      <c r="F106" s="57">
        <v>-3910.2181959985173</v>
      </c>
      <c r="G106" s="57">
        <v>-0.5365487067242023</v>
      </c>
      <c r="H106" s="57">
        <v>1356.2785426164769</v>
      </c>
      <c r="I106" s="57">
        <v>94469.077011124842</v>
      </c>
      <c r="J106" s="57">
        <v>99951.359380872193</v>
      </c>
      <c r="K106" s="57">
        <v>7412.853283974152</v>
      </c>
      <c r="L106" s="57">
        <v>82228.282851856231</v>
      </c>
      <c r="M106" s="57">
        <v>112192.1535401408</v>
      </c>
    </row>
    <row r="107" spans="1:13" x14ac:dyDescent="0.35">
      <c r="A107" s="48" t="s">
        <v>158</v>
      </c>
      <c r="B107" s="54">
        <v>1</v>
      </c>
      <c r="C107" s="57">
        <v>1484</v>
      </c>
      <c r="D107" s="57">
        <v>81300</v>
      </c>
      <c r="E107" s="57">
        <v>84667.196811115529</v>
      </c>
      <c r="F107" s="57">
        <v>-3367.1968111155293</v>
      </c>
      <c r="G107" s="57">
        <v>-0.46203690017573135</v>
      </c>
      <c r="H107" s="57">
        <v>1567.2560863154586</v>
      </c>
      <c r="I107" s="57">
        <v>81499.65410476597</v>
      </c>
      <c r="J107" s="57">
        <v>87834.739517465088</v>
      </c>
      <c r="K107" s="57">
        <v>7454.3406123316736</v>
      </c>
      <c r="L107" s="57">
        <v>69601.412448620569</v>
      </c>
      <c r="M107" s="57">
        <v>99732.981173610489</v>
      </c>
    </row>
    <row r="108" spans="1:13" x14ac:dyDescent="0.35">
      <c r="A108" s="48" t="s">
        <v>159</v>
      </c>
      <c r="B108" s="54">
        <v>1</v>
      </c>
      <c r="C108" s="57">
        <v>1692</v>
      </c>
      <c r="D108" s="57">
        <v>87500</v>
      </c>
      <c r="E108" s="57">
        <v>91954.762308477715</v>
      </c>
      <c r="F108" s="57">
        <v>-4454.7623084777151</v>
      </c>
      <c r="G108" s="57">
        <v>-0.61126945750071549</v>
      </c>
      <c r="H108" s="57">
        <v>1124.6463452097837</v>
      </c>
      <c r="I108" s="57">
        <v>89681.767257383748</v>
      </c>
      <c r="J108" s="57">
        <v>94227.757359571682</v>
      </c>
      <c r="K108" s="57">
        <v>7373.9902174032095</v>
      </c>
      <c r="L108" s="57">
        <v>77051.372151773539</v>
      </c>
      <c r="M108" s="57">
        <v>106858.15246518189</v>
      </c>
    </row>
    <row r="109" spans="1:13" x14ac:dyDescent="0.35">
      <c r="A109" s="48" t="s">
        <v>160</v>
      </c>
      <c r="B109" s="54">
        <v>1</v>
      </c>
      <c r="C109" s="57">
        <v>1520</v>
      </c>
      <c r="D109" s="57">
        <v>87600</v>
      </c>
      <c r="E109" s="57">
        <v>85928.506224120531</v>
      </c>
      <c r="F109" s="57">
        <v>1671.4937758794695</v>
      </c>
      <c r="G109" s="57">
        <v>0.22935748819936774</v>
      </c>
      <c r="H109" s="57">
        <v>1443.8625732775813</v>
      </c>
      <c r="I109" s="57">
        <v>83010.351110294447</v>
      </c>
      <c r="J109" s="57">
        <v>88846.661337946614</v>
      </c>
      <c r="K109" s="57">
        <v>7429.3769223990957</v>
      </c>
      <c r="L109" s="57">
        <v>70913.175360999376</v>
      </c>
      <c r="M109" s="57">
        <v>100943.83708724169</v>
      </c>
    </row>
    <row r="110" spans="1:13" x14ac:dyDescent="0.35">
      <c r="A110" s="48" t="s">
        <v>161</v>
      </c>
      <c r="B110" s="54">
        <v>1</v>
      </c>
      <c r="C110" s="57">
        <v>2123</v>
      </c>
      <c r="D110" s="57">
        <v>116100</v>
      </c>
      <c r="E110" s="57">
        <v>107055.43889195417</v>
      </c>
      <c r="F110" s="57">
        <v>9044.561108045833</v>
      </c>
      <c r="G110" s="57">
        <v>1.2410682274396152</v>
      </c>
      <c r="H110" s="57">
        <v>2479.9019305219122</v>
      </c>
      <c r="I110" s="57">
        <v>102043.37012981967</v>
      </c>
      <c r="J110" s="57">
        <v>112067.50765408867</v>
      </c>
      <c r="K110" s="57">
        <v>7698.1046959346304</v>
      </c>
      <c r="L110" s="57">
        <v>91496.988939050323</v>
      </c>
      <c r="M110" s="57">
        <v>122613.88884485801</v>
      </c>
    </row>
    <row r="111" spans="1:13" x14ac:dyDescent="0.35">
      <c r="A111" s="48" t="s">
        <v>162</v>
      </c>
      <c r="B111" s="54">
        <v>1</v>
      </c>
      <c r="C111" s="57">
        <v>1784</v>
      </c>
      <c r="D111" s="57">
        <v>91300</v>
      </c>
      <c r="E111" s="57">
        <v>95178.108586157148</v>
      </c>
      <c r="F111" s="57">
        <v>-3878.1085861571482</v>
      </c>
      <c r="G111" s="57">
        <v>-0.53214271995562867</v>
      </c>
      <c r="H111" s="57">
        <v>1214.416613077479</v>
      </c>
      <c r="I111" s="57">
        <v>92723.681055895169</v>
      </c>
      <c r="J111" s="57">
        <v>97632.536116419127</v>
      </c>
      <c r="K111" s="57">
        <v>7388.2142656181186</v>
      </c>
      <c r="L111" s="57">
        <v>80245.970555655382</v>
      </c>
      <c r="M111" s="57">
        <v>110110.24661665891</v>
      </c>
    </row>
    <row r="112" spans="1:13" x14ac:dyDescent="0.35">
      <c r="A112" s="48" t="s">
        <v>163</v>
      </c>
      <c r="B112" s="54">
        <v>1</v>
      </c>
      <c r="C112" s="57">
        <v>1520</v>
      </c>
      <c r="D112" s="57">
        <v>100700</v>
      </c>
      <c r="E112" s="57">
        <v>85928.506224120531</v>
      </c>
      <c r="F112" s="57">
        <v>14771.493775879469</v>
      </c>
      <c r="G112" s="57">
        <v>2.0269011816126636</v>
      </c>
      <c r="H112" s="57">
        <v>1443.8625732775813</v>
      </c>
      <c r="I112" s="57">
        <v>83010.351110294447</v>
      </c>
      <c r="J112" s="57">
        <v>88846.661337946614</v>
      </c>
      <c r="K112" s="57">
        <v>7429.3769223990957</v>
      </c>
      <c r="L112" s="57">
        <v>70913.175360999376</v>
      </c>
      <c r="M112" s="57">
        <v>100943.83708724169</v>
      </c>
    </row>
    <row r="113" spans="1:13" x14ac:dyDescent="0.35">
      <c r="A113" s="48" t="s">
        <v>164</v>
      </c>
      <c r="B113" s="54">
        <v>1</v>
      </c>
      <c r="C113" s="57">
        <v>1520</v>
      </c>
      <c r="D113" s="57">
        <v>88100</v>
      </c>
      <c r="E113" s="57">
        <v>85928.506224120531</v>
      </c>
      <c r="F113" s="57">
        <v>2171.4937758794695</v>
      </c>
      <c r="G113" s="57">
        <v>0.29796602611590572</v>
      </c>
      <c r="H113" s="57">
        <v>1443.8625732775813</v>
      </c>
      <c r="I113" s="57">
        <v>83010.351110294447</v>
      </c>
      <c r="J113" s="57">
        <v>88846.661337946614</v>
      </c>
      <c r="K113" s="57">
        <v>7429.3769223990957</v>
      </c>
      <c r="L113" s="57">
        <v>70913.175360999376</v>
      </c>
      <c r="M113" s="57">
        <v>100943.83708724169</v>
      </c>
    </row>
    <row r="114" spans="1:13" x14ac:dyDescent="0.35">
      <c r="A114" s="48" t="s">
        <v>165</v>
      </c>
      <c r="B114" s="54">
        <v>1</v>
      </c>
      <c r="C114" s="57">
        <v>1812</v>
      </c>
      <c r="D114" s="57">
        <v>91000</v>
      </c>
      <c r="E114" s="57">
        <v>96159.127018494357</v>
      </c>
      <c r="F114" s="57">
        <v>-5159.1270184943569</v>
      </c>
      <c r="G114" s="57">
        <v>-0.70792032332921162</v>
      </c>
      <c r="H114" s="57">
        <v>1276.1004613405764</v>
      </c>
      <c r="I114" s="57">
        <v>93580.031780528851</v>
      </c>
      <c r="J114" s="57">
        <v>98738.222256459863</v>
      </c>
      <c r="K114" s="57">
        <v>7398.6035649977985</v>
      </c>
      <c r="L114" s="57">
        <v>81205.991430693859</v>
      </c>
      <c r="M114" s="57">
        <v>111112.26260629485</v>
      </c>
    </row>
    <row r="115" spans="1:13" x14ac:dyDescent="0.35">
      <c r="A115" s="48" t="s">
        <v>166</v>
      </c>
      <c r="B115" s="54">
        <v>1</v>
      </c>
      <c r="C115" s="57">
        <v>1484</v>
      </c>
      <c r="D115" s="57">
        <v>82600</v>
      </c>
      <c r="E115" s="57">
        <v>84667.196811115529</v>
      </c>
      <c r="F115" s="57">
        <v>-2067.1968111155293</v>
      </c>
      <c r="G115" s="57">
        <v>-0.28365470159273248</v>
      </c>
      <c r="H115" s="57">
        <v>1567.2560863154586</v>
      </c>
      <c r="I115" s="57">
        <v>81499.65410476597</v>
      </c>
      <c r="J115" s="57">
        <v>87834.739517465088</v>
      </c>
      <c r="K115" s="57">
        <v>7454.3406123316736</v>
      </c>
      <c r="L115" s="57">
        <v>69601.412448620569</v>
      </c>
      <c r="M115" s="57">
        <v>99732.981173610489</v>
      </c>
    </row>
    <row r="116" spans="1:13" x14ac:dyDescent="0.35">
      <c r="A116" s="48" t="s">
        <v>167</v>
      </c>
      <c r="B116" s="54">
        <v>1</v>
      </c>
      <c r="C116" s="57">
        <v>2028</v>
      </c>
      <c r="D116" s="57">
        <v>108500</v>
      </c>
      <c r="E116" s="57">
        <v>103726.98349652432</v>
      </c>
      <c r="F116" s="57">
        <v>4773.0165034756792</v>
      </c>
      <c r="G116" s="57">
        <v>0.65493936750994564</v>
      </c>
      <c r="H116" s="57">
        <v>2054.4662692890456</v>
      </c>
      <c r="I116" s="57">
        <v>99574.752279463442</v>
      </c>
      <c r="J116" s="57">
        <v>107879.2147135852</v>
      </c>
      <c r="K116" s="57">
        <v>7571.77218200673</v>
      </c>
      <c r="L116" s="57">
        <v>88423.861078514848</v>
      </c>
      <c r="M116" s="57">
        <v>119030.10591453379</v>
      </c>
    </row>
    <row r="117" spans="1:13" x14ac:dyDescent="0.35">
      <c r="A117" s="48" t="s">
        <v>168</v>
      </c>
      <c r="B117" s="54">
        <v>1</v>
      </c>
      <c r="C117" s="57">
        <v>1468</v>
      </c>
      <c r="D117" s="57">
        <v>88100</v>
      </c>
      <c r="E117" s="57">
        <v>84106.614849779973</v>
      </c>
      <c r="F117" s="57">
        <v>3993.3851502200268</v>
      </c>
      <c r="G117" s="57">
        <v>0.54796063298842113</v>
      </c>
      <c r="H117" s="57">
        <v>1625.928052793699</v>
      </c>
      <c r="I117" s="57">
        <v>80820.491675880752</v>
      </c>
      <c r="J117" s="57">
        <v>87392.738023679194</v>
      </c>
      <c r="K117" s="57">
        <v>7466.8965680144529</v>
      </c>
      <c r="L117" s="57">
        <v>69015.453954252866</v>
      </c>
      <c r="M117" s="57">
        <v>99197.775745307081</v>
      </c>
    </row>
    <row r="118" spans="1:13" x14ac:dyDescent="0.35">
      <c r="A118" s="48" t="s">
        <v>169</v>
      </c>
      <c r="B118" s="54">
        <v>1</v>
      </c>
      <c r="C118" s="57">
        <v>1701</v>
      </c>
      <c r="D118" s="57">
        <v>94200</v>
      </c>
      <c r="E118" s="57">
        <v>92270.089661728969</v>
      </c>
      <c r="F118" s="57">
        <v>1929.9103382710309</v>
      </c>
      <c r="G118" s="57">
        <v>0.26481665323757347</v>
      </c>
      <c r="H118" s="57">
        <v>1124.9108727912903</v>
      </c>
      <c r="I118" s="57">
        <v>89996.559980449965</v>
      </c>
      <c r="J118" s="57">
        <v>94543.619343007973</v>
      </c>
      <c r="K118" s="57">
        <v>7374.0305665415144</v>
      </c>
      <c r="L118" s="57">
        <v>77366.61795637435</v>
      </c>
      <c r="M118" s="57">
        <v>107173.56136708359</v>
      </c>
    </row>
    <row r="119" spans="1:13" x14ac:dyDescent="0.35">
      <c r="A119" s="48" t="s">
        <v>170</v>
      </c>
      <c r="B119" s="54">
        <v>1</v>
      </c>
      <c r="C119" s="57">
        <v>1666</v>
      </c>
      <c r="D119" s="57">
        <v>87500</v>
      </c>
      <c r="E119" s="57">
        <v>91043.816621307444</v>
      </c>
      <c r="F119" s="57">
        <v>-3543.8166213074437</v>
      </c>
      <c r="G119" s="57">
        <v>-0.48627215406445873</v>
      </c>
      <c r="H119" s="57">
        <v>1134.6404715618055</v>
      </c>
      <c r="I119" s="57">
        <v>88750.622687395866</v>
      </c>
      <c r="J119" s="57">
        <v>93337.010555219022</v>
      </c>
      <c r="K119" s="57">
        <v>7375.5210883211839</v>
      </c>
      <c r="L119" s="57">
        <v>76137.332459065219</v>
      </c>
      <c r="M119" s="57">
        <v>105950.30078354967</v>
      </c>
    </row>
    <row r="120" spans="1:13" x14ac:dyDescent="0.35">
      <c r="A120" s="48" t="s">
        <v>171</v>
      </c>
      <c r="B120" s="54">
        <v>1</v>
      </c>
      <c r="C120" s="57">
        <v>1588</v>
      </c>
      <c r="D120" s="57">
        <v>81000</v>
      </c>
      <c r="E120" s="57">
        <v>88310.979559796629</v>
      </c>
      <c r="F120" s="57">
        <v>-7310.9795597966295</v>
      </c>
      <c r="G120" s="57">
        <v>-1.0031912366706828</v>
      </c>
      <c r="H120" s="57">
        <v>1253.6958355541719</v>
      </c>
      <c r="I120" s="57">
        <v>85777.165759636904</v>
      </c>
      <c r="J120" s="57">
        <v>90844.793359956355</v>
      </c>
      <c r="K120" s="57">
        <v>7394.7721785495442</v>
      </c>
      <c r="L120" s="57">
        <v>73365.587492857434</v>
      </c>
      <c r="M120" s="57">
        <v>103256.37162673582</v>
      </c>
    </row>
    <row r="121" spans="1:13" x14ac:dyDescent="0.35">
      <c r="A121" s="48" t="s">
        <v>172</v>
      </c>
      <c r="B121" s="54">
        <v>1</v>
      </c>
      <c r="C121" s="57">
        <v>1666</v>
      </c>
      <c r="D121" s="57">
        <v>88400</v>
      </c>
      <c r="E121" s="57">
        <v>91043.816621307444</v>
      </c>
      <c r="F121" s="57">
        <v>-2643.8166213074437</v>
      </c>
      <c r="G121" s="57">
        <v>-0.36277678581469036</v>
      </c>
      <c r="H121" s="57">
        <v>1134.6404715618055</v>
      </c>
      <c r="I121" s="57">
        <v>88750.622687395866</v>
      </c>
      <c r="J121" s="57">
        <v>93337.010555219022</v>
      </c>
      <c r="K121" s="57">
        <v>7375.5210883211839</v>
      </c>
      <c r="L121" s="57">
        <v>76137.332459065219</v>
      </c>
      <c r="M121" s="57">
        <v>105950.30078354967</v>
      </c>
    </row>
    <row r="122" spans="1:13" x14ac:dyDescent="0.35">
      <c r="A122" s="48" t="s">
        <v>173</v>
      </c>
      <c r="B122" s="54">
        <v>1</v>
      </c>
      <c r="C122" s="57">
        <v>1520</v>
      </c>
      <c r="D122" s="57">
        <v>83400</v>
      </c>
      <c r="E122" s="57">
        <v>85928.506224120531</v>
      </c>
      <c r="F122" s="57">
        <v>-2528.5062241205305</v>
      </c>
      <c r="G122" s="57">
        <v>-0.34695423029955158</v>
      </c>
      <c r="H122" s="57">
        <v>1443.8625732775813</v>
      </c>
      <c r="I122" s="57">
        <v>83010.351110294447</v>
      </c>
      <c r="J122" s="57">
        <v>88846.661337946614</v>
      </c>
      <c r="K122" s="57">
        <v>7429.3769223990957</v>
      </c>
      <c r="L122" s="57">
        <v>70913.175360999376</v>
      </c>
      <c r="M122" s="57">
        <v>100943.83708724169</v>
      </c>
    </row>
    <row r="123" spans="1:13" x14ac:dyDescent="0.35">
      <c r="A123" s="48" t="s">
        <v>174</v>
      </c>
      <c r="B123" s="54">
        <v>1</v>
      </c>
      <c r="C123" s="57">
        <v>1620</v>
      </c>
      <c r="D123" s="57">
        <v>96700</v>
      </c>
      <c r="E123" s="57">
        <v>89432.143482467727</v>
      </c>
      <c r="F123" s="57">
        <v>7267.8565175322728</v>
      </c>
      <c r="G123" s="57">
        <v>0.99727401891014167</v>
      </c>
      <c r="H123" s="57">
        <v>1189.871449216045</v>
      </c>
      <c r="I123" s="57">
        <v>87027.323578836964</v>
      </c>
      <c r="J123" s="57">
        <v>91836.96338609849</v>
      </c>
      <c r="K123" s="57">
        <v>7384.219416446399</v>
      </c>
      <c r="L123" s="57">
        <v>74508.079343314879</v>
      </c>
      <c r="M123" s="57">
        <v>104356.20762162058</v>
      </c>
    </row>
    <row r="124" spans="1:13" x14ac:dyDescent="0.35">
      <c r="A124" s="48" t="s">
        <v>175</v>
      </c>
      <c r="B124" s="54">
        <v>1</v>
      </c>
      <c r="C124" s="57">
        <v>2372</v>
      </c>
      <c r="D124" s="57">
        <v>113200</v>
      </c>
      <c r="E124" s="57">
        <v>115779.4956652387</v>
      </c>
      <c r="F124" s="57">
        <v>-2579.4956652387045</v>
      </c>
      <c r="G124" s="57">
        <v>-0.35395085230815021</v>
      </c>
      <c r="H124" s="57">
        <v>3673.3245197681581</v>
      </c>
      <c r="I124" s="57">
        <v>108355.42987775091</v>
      </c>
      <c r="J124" s="57">
        <v>123203.5614527265</v>
      </c>
      <c r="K124" s="57">
        <v>8161.1405668628495</v>
      </c>
      <c r="L124" s="57">
        <v>99285.215308775863</v>
      </c>
      <c r="M124" s="57">
        <v>132273.77602170155</v>
      </c>
    </row>
    <row r="125" spans="1:13" x14ac:dyDescent="0.35">
      <c r="A125" s="48" t="s">
        <v>176</v>
      </c>
      <c r="B125" s="54">
        <v>1</v>
      </c>
      <c r="C125" s="57">
        <v>1852</v>
      </c>
      <c r="D125" s="57">
        <v>100800</v>
      </c>
      <c r="E125" s="57">
        <v>97560.581921833247</v>
      </c>
      <c r="F125" s="57">
        <v>3239.4180781667528</v>
      </c>
      <c r="G125" s="57">
        <v>0.44450347608684471</v>
      </c>
      <c r="H125" s="57">
        <v>1385.8301699982419</v>
      </c>
      <c r="I125" s="57">
        <v>94759.71467011499</v>
      </c>
      <c r="J125" s="57">
        <v>100361.4491735515</v>
      </c>
      <c r="K125" s="57">
        <v>7418.3170318234488</v>
      </c>
      <c r="L125" s="57">
        <v>82567.603931373946</v>
      </c>
      <c r="M125" s="57">
        <v>112553.55991229255</v>
      </c>
    </row>
    <row r="126" spans="1:13" x14ac:dyDescent="0.35">
      <c r="A126" s="48" t="s">
        <v>177</v>
      </c>
      <c r="B126" s="54">
        <v>1</v>
      </c>
      <c r="C126" s="57">
        <v>1668</v>
      </c>
      <c r="D126" s="57">
        <v>90900</v>
      </c>
      <c r="E126" s="57">
        <v>91113.889366474381</v>
      </c>
      <c r="F126" s="57">
        <v>-213.88936647438095</v>
      </c>
      <c r="G126" s="57">
        <v>-2.9349273419403719E-2</v>
      </c>
      <c r="H126" s="57">
        <v>1133.309498097572</v>
      </c>
      <c r="I126" s="57">
        <v>88823.385430276496</v>
      </c>
      <c r="J126" s="57">
        <v>93404.393302672266</v>
      </c>
      <c r="K126" s="57">
        <v>7375.3164503662265</v>
      </c>
      <c r="L126" s="57">
        <v>76207.818792966849</v>
      </c>
      <c r="M126" s="57">
        <v>106019.95993998191</v>
      </c>
    </row>
    <row r="127" spans="1:13" x14ac:dyDescent="0.35">
      <c r="A127" s="48" t="s">
        <v>178</v>
      </c>
      <c r="B127" s="54">
        <v>1</v>
      </c>
      <c r="C127" s="57">
        <v>1791</v>
      </c>
      <c r="D127" s="57">
        <v>89200</v>
      </c>
      <c r="E127" s="57">
        <v>95423.36319424145</v>
      </c>
      <c r="F127" s="57">
        <v>-6223.3631942414504</v>
      </c>
      <c r="G127" s="57">
        <v>-0.85395169936100335</v>
      </c>
      <c r="H127" s="57">
        <v>1228.5311174885273</v>
      </c>
      <c r="I127" s="57">
        <v>92940.409186468023</v>
      </c>
      <c r="J127" s="57">
        <v>97906.317202014878</v>
      </c>
      <c r="K127" s="57">
        <v>7390.5474107945556</v>
      </c>
      <c r="L127" s="57">
        <v>80486.509701441595</v>
      </c>
      <c r="M127" s="57">
        <v>110360.21668704131</v>
      </c>
    </row>
    <row r="128" spans="1:13" x14ac:dyDescent="0.35">
      <c r="A128" s="48" t="s">
        <v>179</v>
      </c>
      <c r="B128" s="54">
        <v>1</v>
      </c>
      <c r="C128" s="57">
        <v>1620</v>
      </c>
      <c r="D128" s="57">
        <v>94700</v>
      </c>
      <c r="E128" s="57">
        <v>89432.143482467727</v>
      </c>
      <c r="F128" s="57">
        <v>5267.8565175322728</v>
      </c>
      <c r="G128" s="57">
        <v>0.72283986724398963</v>
      </c>
      <c r="H128" s="57">
        <v>1189.871449216045</v>
      </c>
      <c r="I128" s="57">
        <v>87027.323578836964</v>
      </c>
      <c r="J128" s="57">
        <v>91836.96338609849</v>
      </c>
      <c r="K128" s="57">
        <v>7384.219416446399</v>
      </c>
      <c r="L128" s="57">
        <v>74508.079343314879</v>
      </c>
      <c r="M128" s="57">
        <v>104356.20762162058</v>
      </c>
    </row>
    <row r="129" spans="1:13" x14ac:dyDescent="0.35">
      <c r="A129" s="48" t="s">
        <v>180</v>
      </c>
      <c r="B129" s="54">
        <v>1</v>
      </c>
      <c r="C129" s="57">
        <v>1914</v>
      </c>
      <c r="D129" s="57">
        <v>104400</v>
      </c>
      <c r="E129" s="57">
        <v>99732.837022008505</v>
      </c>
      <c r="F129" s="57">
        <v>4667.1629779914947</v>
      </c>
      <c r="G129" s="57">
        <v>0.64041445627638383</v>
      </c>
      <c r="H129" s="57">
        <v>1594.4063939476237</v>
      </c>
      <c r="I129" s="57">
        <v>96510.421497064512</v>
      </c>
      <c r="J129" s="57">
        <v>102955.2525469525</v>
      </c>
      <c r="K129" s="57">
        <v>7460.0961169160255</v>
      </c>
      <c r="L129" s="57">
        <v>84655.420350839355</v>
      </c>
      <c r="M129" s="57">
        <v>114810.25369317766</v>
      </c>
    </row>
    <row r="130" spans="1:13" x14ac:dyDescent="0.35">
      <c r="A130" s="48" t="s">
        <v>181</v>
      </c>
      <c r="B130" s="54">
        <v>1</v>
      </c>
      <c r="C130" s="57">
        <v>1666</v>
      </c>
      <c r="D130" s="57">
        <v>87100</v>
      </c>
      <c r="E130" s="57">
        <v>91043.816621307444</v>
      </c>
      <c r="F130" s="57">
        <v>-3943.8166213074437</v>
      </c>
      <c r="G130" s="57">
        <v>-0.54115898439768917</v>
      </c>
      <c r="H130" s="57">
        <v>1134.6404715618055</v>
      </c>
      <c r="I130" s="57">
        <v>88750.622687395866</v>
      </c>
      <c r="J130" s="57">
        <v>93337.010555219022</v>
      </c>
      <c r="K130" s="57">
        <v>7375.5210883211839</v>
      </c>
      <c r="L130" s="57">
        <v>76137.332459065219</v>
      </c>
      <c r="M130" s="57">
        <v>105950.30078354967</v>
      </c>
    </row>
    <row r="131" spans="1:13" x14ac:dyDescent="0.35">
      <c r="A131" s="48" t="s">
        <v>182</v>
      </c>
      <c r="B131" s="54">
        <v>1</v>
      </c>
      <c r="C131" s="57">
        <v>1520</v>
      </c>
      <c r="D131" s="57">
        <v>88600</v>
      </c>
      <c r="E131" s="57">
        <v>85928.506224120531</v>
      </c>
      <c r="F131" s="57">
        <v>2671.4937758794695</v>
      </c>
      <c r="G131" s="57">
        <v>0.36657456403244376</v>
      </c>
      <c r="H131" s="57">
        <v>1443.8625732775813</v>
      </c>
      <c r="I131" s="57">
        <v>83010.351110294447</v>
      </c>
      <c r="J131" s="57">
        <v>88846.661337946614</v>
      </c>
      <c r="K131" s="57">
        <v>7429.3769223990957</v>
      </c>
      <c r="L131" s="57">
        <v>70913.175360999376</v>
      </c>
      <c r="M131" s="57">
        <v>100943.83708724169</v>
      </c>
    </row>
    <row r="132" spans="1:13" x14ac:dyDescent="0.35">
      <c r="A132" s="48" t="s">
        <v>183</v>
      </c>
      <c r="B132" s="54">
        <v>1</v>
      </c>
      <c r="C132" s="57">
        <v>1598</v>
      </c>
      <c r="D132" s="57">
        <v>87100</v>
      </c>
      <c r="E132" s="57">
        <v>88661.343285631345</v>
      </c>
      <c r="F132" s="57">
        <v>-1561.3432856313448</v>
      </c>
      <c r="G132" s="57">
        <v>-0.21424296002594032</v>
      </c>
      <c r="H132" s="57">
        <v>1231.723018901148</v>
      </c>
      <c r="I132" s="57">
        <v>86171.938204464619</v>
      </c>
      <c r="J132" s="57">
        <v>91150.74836679807</v>
      </c>
      <c r="K132" s="57">
        <v>7391.0786709285849</v>
      </c>
      <c r="L132" s="57">
        <v>73723.416076048758</v>
      </c>
      <c r="M132" s="57">
        <v>103599.27049521393</v>
      </c>
    </row>
    <row r="133" spans="1:13" x14ac:dyDescent="0.35">
      <c r="A133" s="48" t="s">
        <v>184</v>
      </c>
      <c r="B133" s="54">
        <v>1</v>
      </c>
      <c r="C133" s="57">
        <v>1520</v>
      </c>
      <c r="D133" s="57">
        <v>87200</v>
      </c>
      <c r="E133" s="57">
        <v>85928.506224120531</v>
      </c>
      <c r="F133" s="57">
        <v>1271.4937758794695</v>
      </c>
      <c r="G133" s="57">
        <v>0.17447065786613733</v>
      </c>
      <c r="H133" s="57">
        <v>1443.8625732775813</v>
      </c>
      <c r="I133" s="57">
        <v>83010.351110294447</v>
      </c>
      <c r="J133" s="57">
        <v>88846.661337946614</v>
      </c>
      <c r="K133" s="57">
        <v>7429.3769223990957</v>
      </c>
      <c r="L133" s="57">
        <v>70913.175360999376</v>
      </c>
      <c r="M133" s="57">
        <v>100943.83708724169</v>
      </c>
    </row>
    <row r="134" spans="1:13" x14ac:dyDescent="0.35">
      <c r="A134" s="48" t="s">
        <v>185</v>
      </c>
      <c r="B134" s="54">
        <v>1</v>
      </c>
      <c r="C134" s="57">
        <v>1484</v>
      </c>
      <c r="D134" s="57">
        <v>79800</v>
      </c>
      <c r="E134" s="57">
        <v>84667.196811115529</v>
      </c>
      <c r="F134" s="57">
        <v>-4867.1968111155293</v>
      </c>
      <c r="G134" s="57">
        <v>-0.66786251392534535</v>
      </c>
      <c r="H134" s="57">
        <v>1567.2560863154586</v>
      </c>
      <c r="I134" s="57">
        <v>81499.65410476597</v>
      </c>
      <c r="J134" s="57">
        <v>87834.739517465088</v>
      </c>
      <c r="K134" s="57">
        <v>7454.3406123316736</v>
      </c>
      <c r="L134" s="57">
        <v>69601.412448620569</v>
      </c>
      <c r="M134" s="57">
        <v>99732.981173610489</v>
      </c>
    </row>
    <row r="135" spans="1:13" ht="16" thickBot="1" x14ac:dyDescent="0.4">
      <c r="A135" s="52" t="s">
        <v>186</v>
      </c>
      <c r="B135" s="55">
        <v>1</v>
      </c>
      <c r="C135" s="58">
        <v>1732</v>
      </c>
      <c r="D135" s="58">
        <v>87600</v>
      </c>
      <c r="E135" s="58">
        <v>93356.217211816605</v>
      </c>
      <c r="F135" s="58">
        <v>-5756.2172118166054</v>
      </c>
      <c r="G135" s="58">
        <v>-0.78985129366549656</v>
      </c>
      <c r="H135" s="58">
        <v>1140.4316982142402</v>
      </c>
      <c r="I135" s="58">
        <v>91051.318772238141</v>
      </c>
      <c r="J135" s="58">
        <v>95661.11565139507</v>
      </c>
      <c r="K135" s="58">
        <v>7376.4142225648038</v>
      </c>
      <c r="L135" s="58">
        <v>78447.927957934371</v>
      </c>
      <c r="M135" s="58">
        <v>108264.50646569884</v>
      </c>
    </row>
    <row r="154" spans="4:4" x14ac:dyDescent="0.35">
      <c r="D154" t="s">
        <v>141</v>
      </c>
    </row>
    <row r="173" spans="4:4" x14ac:dyDescent="0.35">
      <c r="D173" t="s">
        <v>141</v>
      </c>
    </row>
    <row r="192" spans="4:4" x14ac:dyDescent="0.35">
      <c r="D192" t="s">
        <v>141</v>
      </c>
    </row>
    <row r="195" spans="1:9" x14ac:dyDescent="0.35">
      <c r="A195" s="6" t="s">
        <v>196</v>
      </c>
    </row>
    <row r="197" spans="1:9" x14ac:dyDescent="0.35">
      <c r="A197" s="2" t="s">
        <v>197</v>
      </c>
    </row>
    <row r="198" spans="1:9" ht="16" thickBot="1" x14ac:dyDescent="0.4"/>
    <row r="199" spans="1:9" x14ac:dyDescent="0.35">
      <c r="A199" s="69" t="s">
        <v>198</v>
      </c>
      <c r="B199" s="82">
        <v>0.78179669909545557</v>
      </c>
      <c r="C199" s="83"/>
    </row>
    <row r="200" spans="1:9" x14ac:dyDescent="0.35">
      <c r="A200" s="48" t="s">
        <v>199</v>
      </c>
      <c r="B200" s="75">
        <v>1.8533299436240824E-6</v>
      </c>
      <c r="C200" s="84" t="s">
        <v>125</v>
      </c>
    </row>
    <row r="201" spans="1:9" ht="16" thickBot="1" x14ac:dyDescent="0.4">
      <c r="A201" s="52" t="s">
        <v>200</v>
      </c>
      <c r="B201" s="55">
        <v>0.05</v>
      </c>
      <c r="C201" s="85"/>
    </row>
    <row r="202" spans="1:9" x14ac:dyDescent="0.35">
      <c r="A202" s="80" t="s">
        <v>201</v>
      </c>
    </row>
    <row r="204" spans="1:9" x14ac:dyDescent="0.35">
      <c r="A204" s="2" t="s">
        <v>202</v>
      </c>
    </row>
    <row r="205" spans="1:9" x14ac:dyDescent="0.35">
      <c r="A205" s="2" t="s">
        <v>203</v>
      </c>
    </row>
    <row r="206" spans="1:9" x14ac:dyDescent="0.35">
      <c r="A206" s="2" t="s">
        <v>204</v>
      </c>
    </row>
    <row r="207" spans="1:9" ht="15.65" customHeight="1" x14ac:dyDescent="0.35">
      <c r="A207" s="102" t="s">
        <v>205</v>
      </c>
      <c r="B207" s="102"/>
      <c r="C207" s="102"/>
      <c r="D207" s="102"/>
      <c r="E207" s="102"/>
      <c r="F207" s="102"/>
      <c r="G207" s="102"/>
      <c r="H207" s="102"/>
      <c r="I207" s="102"/>
    </row>
    <row r="208" spans="1:9" x14ac:dyDescent="0.35">
      <c r="A208" s="102"/>
      <c r="B208" s="102"/>
      <c r="C208" s="102"/>
      <c r="D208" s="102"/>
      <c r="E208" s="102"/>
      <c r="F208" s="102"/>
      <c r="G208" s="102"/>
      <c r="H208" s="102"/>
      <c r="I208" s="102"/>
    </row>
    <row r="211" spans="1:5" x14ac:dyDescent="0.35">
      <c r="A211" s="2" t="s">
        <v>206</v>
      </c>
    </row>
    <row r="213" spans="1:5" x14ac:dyDescent="0.35">
      <c r="A213" s="103" t="s">
        <v>212</v>
      </c>
      <c r="B213" s="104"/>
      <c r="C213" s="104"/>
      <c r="D213" s="104"/>
      <c r="E213" s="104"/>
    </row>
    <row r="214" spans="1:5" x14ac:dyDescent="0.35">
      <c r="A214" s="104"/>
      <c r="B214" s="104"/>
      <c r="C214" s="104"/>
      <c r="D214" s="104"/>
      <c r="E214" s="104"/>
    </row>
    <row r="216" spans="1:5" x14ac:dyDescent="0.35">
      <c r="A216" s="103" t="s">
        <v>208</v>
      </c>
      <c r="B216" s="104"/>
      <c r="C216" s="104"/>
      <c r="D216" s="104"/>
      <c r="E216" s="104"/>
    </row>
    <row r="217" spans="1:5" x14ac:dyDescent="0.35">
      <c r="A217" s="104"/>
      <c r="B217" s="104"/>
      <c r="C217" s="104"/>
      <c r="D217" s="104"/>
      <c r="E217" s="104"/>
    </row>
    <row r="218" spans="1:5" x14ac:dyDescent="0.35">
      <c r="A218" s="104"/>
      <c r="B218" s="104"/>
      <c r="C218" s="104"/>
      <c r="D218" s="104"/>
      <c r="E218" s="104"/>
    </row>
  </sheetData>
  <mergeCells count="3">
    <mergeCell ref="A207:I208"/>
    <mergeCell ref="A213:E214"/>
    <mergeCell ref="A216:E21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" r:id="rId4" name="DD701205">
              <controlPr defaultSize="0" autoFill="0" autoPict="0" macro="[0]!GoToResultsNew2111202507233085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DA48-4D73-4D6D-9DA5-907578B7324D}">
  <sheetPr codeName="Sheet9_HID"/>
  <dimension ref="A1:X100"/>
  <sheetViews>
    <sheetView workbookViewId="0">
      <selection activeCell="U1" sqref="U1"/>
    </sheetView>
  </sheetViews>
  <sheetFormatPr defaultRowHeight="15.5" x14ac:dyDescent="0.35"/>
  <sheetData>
    <row r="1" spans="1:24" x14ac:dyDescent="0.35">
      <c r="A1">
        <v>1</v>
      </c>
      <c r="C1">
        <f t="shared" ref="C1:C32" si="0">1377.6+(A1-1)*15.7217391304348</f>
        <v>1377.6</v>
      </c>
      <c r="D1">
        <f t="shared" ref="D1:D32" si="1">32673.219897243+35.0363725834721*C1-14729.0370242134*(0.0238095238095238+(C1-1695.2619047619)^2/1989034.11904762)^0.5</f>
        <v>76917.942751102295</v>
      </c>
      <c r="E1">
        <v>1</v>
      </c>
      <c r="G1">
        <f t="shared" ref="G1:G32" si="2">1377.6+(E1-1)*15.7217391304348</f>
        <v>1377.6</v>
      </c>
      <c r="H1">
        <f t="shared" ref="H1:H32" si="3">32673.219897243+35.0363725834721*G1+14729.0370242134*(0.0238095238095238+(G1-1695.2619047619)^2/1989034.11904762)^0.5</f>
        <v>84960.710785366042</v>
      </c>
      <c r="I1">
        <v>1</v>
      </c>
      <c r="K1">
        <f t="shared" ref="K1:K32" si="4">1377.6+(I1-1)*10.9575757575758</f>
        <v>1377.6</v>
      </c>
      <c r="L1">
        <f t="shared" ref="L1:L32" si="5">32673.219897243+35.0363725834721*K1-14729.0370242134*(1.02380952380952+(K1-1695.2619047619)^2/1989034.11904762)^0.5</f>
        <v>65671.188012187573</v>
      </c>
      <c r="M1">
        <v>1</v>
      </c>
      <c r="O1">
        <f t="shared" ref="O1:O32" si="6">1377.6+(M1-1)*10.9575757575758</f>
        <v>1377.6</v>
      </c>
      <c r="P1">
        <f t="shared" ref="P1:P32" si="7">32673.219897243+35.0363725834721*O1+14729.0370242134*(1.02380952380952+(O1-1695.2619047619)^2/1989034.11904762)^0.5</f>
        <v>96207.465524280764</v>
      </c>
      <c r="Q1">
        <v>1</v>
      </c>
      <c r="S1">
        <f t="shared" ref="S1:S32" si="8">82839.6996171616+(Q1-1)*812.981089581519</f>
        <v>82839.699617161605</v>
      </c>
      <c r="T1">
        <f t="shared" ref="T1:T32" si="9">0+1*S1-14729.0370242134*(1.02380952380952+(S1-92069.0476190476)^2/2441633668.92218)^0.5</f>
        <v>67684.555765509445</v>
      </c>
      <c r="U1">
        <v>1</v>
      </c>
      <c r="W1">
        <f t="shared" ref="W1:W32" si="10">67285.291879824+(U1-1)*1038.40728867337</f>
        <v>67285.291879823999</v>
      </c>
      <c r="X1">
        <f t="shared" ref="X1:X32" si="11">0+1*W1+14729.0370242134*(1.02380952380952+(W1-92069.0476190476)^2/2441633668.92218)^0.5</f>
        <v>83919.172087570099</v>
      </c>
    </row>
    <row r="2" spans="1:24" x14ac:dyDescent="0.35">
      <c r="A2">
        <v>2</v>
      </c>
      <c r="C2">
        <f t="shared" si="0"/>
        <v>1393.3217391304347</v>
      </c>
      <c r="D2">
        <f t="shared" si="1"/>
        <v>77603.123142357217</v>
      </c>
      <c r="E2">
        <v>2</v>
      </c>
      <c r="G2">
        <f t="shared" si="2"/>
        <v>1393.3217391304347</v>
      </c>
      <c r="H2">
        <f t="shared" si="3"/>
        <v>85377.195813779254</v>
      </c>
      <c r="I2">
        <v>2</v>
      </c>
      <c r="K2">
        <f t="shared" si="4"/>
        <v>1388.5575757575757</v>
      </c>
      <c r="L2">
        <f t="shared" si="5"/>
        <v>66079.558102491763</v>
      </c>
      <c r="M2">
        <v>2</v>
      </c>
      <c r="O2">
        <f t="shared" si="6"/>
        <v>1388.5575757575757</v>
      </c>
      <c r="P2">
        <f t="shared" si="7"/>
        <v>96566.922847684662</v>
      </c>
      <c r="Q2">
        <v>2</v>
      </c>
      <c r="S2">
        <f t="shared" si="8"/>
        <v>83652.680706743122</v>
      </c>
      <c r="T2">
        <f t="shared" si="9"/>
        <v>68539.648446389008</v>
      </c>
      <c r="U2">
        <v>2</v>
      </c>
      <c r="W2">
        <f t="shared" si="10"/>
        <v>68323.699168497362</v>
      </c>
      <c r="X2">
        <f t="shared" si="11"/>
        <v>84822.43984318155</v>
      </c>
    </row>
    <row r="3" spans="1:24" x14ac:dyDescent="0.35">
      <c r="A3">
        <v>3</v>
      </c>
      <c r="C3">
        <f t="shared" si="0"/>
        <v>1409.0434782608695</v>
      </c>
      <c r="D3">
        <f t="shared" si="1"/>
        <v>78285.930002370922</v>
      </c>
      <c r="E3">
        <v>3</v>
      </c>
      <c r="G3">
        <f t="shared" si="2"/>
        <v>1409.0434782608695</v>
      </c>
      <c r="H3">
        <f t="shared" si="3"/>
        <v>85796.054373433682</v>
      </c>
      <c r="I3">
        <v>3</v>
      </c>
      <c r="K3">
        <f t="shared" si="4"/>
        <v>1399.5151515151515</v>
      </c>
      <c r="L3">
        <f t="shared" si="5"/>
        <v>66487.107030745217</v>
      </c>
      <c r="M3">
        <v>3</v>
      </c>
      <c r="O3">
        <f t="shared" si="6"/>
        <v>1399.5151515151515</v>
      </c>
      <c r="P3">
        <f t="shared" si="7"/>
        <v>96927.201333139295</v>
      </c>
      <c r="Q3">
        <v>3</v>
      </c>
      <c r="S3">
        <f t="shared" si="8"/>
        <v>84465.661796324639</v>
      </c>
      <c r="T3">
        <f t="shared" si="9"/>
        <v>69390.962639097765</v>
      </c>
      <c r="U3">
        <v>3</v>
      </c>
      <c r="W3">
        <f t="shared" si="10"/>
        <v>69362.106457170739</v>
      </c>
      <c r="X3">
        <f t="shared" si="11"/>
        <v>85730.445828241704</v>
      </c>
    </row>
    <row r="4" spans="1:24" x14ac:dyDescent="0.35">
      <c r="A4">
        <v>4</v>
      </c>
      <c r="C4">
        <f t="shared" si="0"/>
        <v>1424.7652173913043</v>
      </c>
      <c r="D4">
        <f t="shared" si="1"/>
        <v>78966.104136363036</v>
      </c>
      <c r="E4">
        <v>4</v>
      </c>
      <c r="G4">
        <f t="shared" si="2"/>
        <v>1424.7652173913043</v>
      </c>
      <c r="H4">
        <f t="shared" si="3"/>
        <v>86217.545659109703</v>
      </c>
      <c r="I4">
        <v>4</v>
      </c>
      <c r="K4">
        <f t="shared" si="4"/>
        <v>1410.4727272727273</v>
      </c>
      <c r="L4">
        <f t="shared" si="5"/>
        <v>66893.830965656191</v>
      </c>
      <c r="M4">
        <v>4</v>
      </c>
      <c r="O4">
        <f t="shared" si="6"/>
        <v>1410.4727272727273</v>
      </c>
      <c r="P4">
        <f t="shared" si="7"/>
        <v>97288.30481193641</v>
      </c>
      <c r="Q4">
        <v>4</v>
      </c>
      <c r="S4">
        <f t="shared" si="8"/>
        <v>85278.642885906156</v>
      </c>
      <c r="T4">
        <f t="shared" si="9"/>
        <v>70238.469452748948</v>
      </c>
      <c r="U4">
        <v>4</v>
      </c>
      <c r="W4">
        <f t="shared" si="10"/>
        <v>70400.513745844102</v>
      </c>
      <c r="X4">
        <f t="shared" si="11"/>
        <v>86643.304162329427</v>
      </c>
    </row>
    <row r="5" spans="1:24" x14ac:dyDescent="0.35">
      <c r="A5">
        <v>5</v>
      </c>
      <c r="C5">
        <f t="shared" si="0"/>
        <v>1440.4869565217391</v>
      </c>
      <c r="D5">
        <f t="shared" si="1"/>
        <v>79643.3535993603</v>
      </c>
      <c r="E5">
        <v>5</v>
      </c>
      <c r="G5">
        <f t="shared" si="2"/>
        <v>1440.4869565217391</v>
      </c>
      <c r="H5">
        <f t="shared" si="3"/>
        <v>86641.961615780572</v>
      </c>
      <c r="I5">
        <v>5</v>
      </c>
      <c r="K5">
        <f t="shared" si="4"/>
        <v>1421.4303030303031</v>
      </c>
      <c r="L5">
        <f t="shared" si="5"/>
        <v>67299.726187032604</v>
      </c>
      <c r="M5">
        <v>5</v>
      </c>
      <c r="O5">
        <f t="shared" si="6"/>
        <v>1421.4303030303031</v>
      </c>
      <c r="P5">
        <f t="shared" si="7"/>
        <v>97650.237004268114</v>
      </c>
      <c r="Q5">
        <v>5</v>
      </c>
      <c r="S5">
        <f t="shared" si="8"/>
        <v>86091.623975487688</v>
      </c>
      <c r="T5">
        <f t="shared" si="9"/>
        <v>71082.142613423333</v>
      </c>
      <c r="U5">
        <v>5</v>
      </c>
      <c r="W5">
        <f t="shared" si="10"/>
        <v>71438.92103451748</v>
      </c>
      <c r="X5">
        <f t="shared" si="11"/>
        <v>87561.128206379086</v>
      </c>
    </row>
    <row r="6" spans="1:24" x14ac:dyDescent="0.35">
      <c r="A6">
        <v>6</v>
      </c>
      <c r="C6">
        <f t="shared" si="0"/>
        <v>1456.2086956521739</v>
      </c>
      <c r="D6">
        <f t="shared" si="1"/>
        <v>80317.349839806848</v>
      </c>
      <c r="E6">
        <v>6</v>
      </c>
      <c r="G6">
        <f t="shared" si="2"/>
        <v>1456.2086956521739</v>
      </c>
      <c r="H6">
        <f t="shared" si="3"/>
        <v>87069.630795002158</v>
      </c>
      <c r="I6">
        <v>6</v>
      </c>
      <c r="K6">
        <f t="shared" si="4"/>
        <v>1432.3878787878789</v>
      </c>
      <c r="L6">
        <f t="shared" si="5"/>
        <v>67704.789088647711</v>
      </c>
      <c r="M6">
        <v>6</v>
      </c>
      <c r="O6">
        <f t="shared" si="6"/>
        <v>1432.3878787878789</v>
      </c>
      <c r="P6">
        <f t="shared" si="7"/>
        <v>98013.001516361095</v>
      </c>
      <c r="Q6">
        <v>6</v>
      </c>
      <c r="S6">
        <f t="shared" si="8"/>
        <v>86904.605065069205</v>
      </c>
      <c r="T6">
        <f t="shared" si="9"/>
        <v>71921.95856129608</v>
      </c>
      <c r="U6">
        <v>6</v>
      </c>
      <c r="W6">
        <f t="shared" si="10"/>
        <v>72477.328323190843</v>
      </c>
      <c r="X6">
        <f t="shared" si="11"/>
        <v>88484.030185293072</v>
      </c>
    </row>
    <row r="7" spans="1:24" x14ac:dyDescent="0.35">
      <c r="A7">
        <v>7</v>
      </c>
      <c r="C7">
        <f t="shared" si="0"/>
        <v>1471.9304347826087</v>
      </c>
      <c r="D7">
        <f t="shared" si="1"/>
        <v>80987.723729313322</v>
      </c>
      <c r="E7">
        <v>7</v>
      </c>
      <c r="G7">
        <f t="shared" si="2"/>
        <v>1471.9304347826087</v>
      </c>
      <c r="H7">
        <f t="shared" si="3"/>
        <v>87500.922325163789</v>
      </c>
      <c r="I7">
        <v>7</v>
      </c>
      <c r="K7">
        <f t="shared" si="4"/>
        <v>1443.3454545454547</v>
      </c>
      <c r="L7">
        <f t="shared" si="5"/>
        <v>68109.016181046842</v>
      </c>
      <c r="M7">
        <v>7</v>
      </c>
      <c r="O7">
        <f t="shared" si="6"/>
        <v>1443.3454545454547</v>
      </c>
      <c r="P7">
        <f t="shared" si="7"/>
        <v>98376.601837670052</v>
      </c>
      <c r="Q7">
        <v>7</v>
      </c>
      <c r="S7">
        <f t="shared" si="8"/>
        <v>87717.586154650722</v>
      </c>
      <c r="T7">
        <f t="shared" si="9"/>
        <v>72757.89653901862</v>
      </c>
      <c r="U7">
        <v>7</v>
      </c>
      <c r="W7">
        <f t="shared" si="10"/>
        <v>73515.73561186422</v>
      </c>
      <c r="X7">
        <f t="shared" si="11"/>
        <v>89412.120790365356</v>
      </c>
    </row>
    <row r="8" spans="1:24" x14ac:dyDescent="0.35">
      <c r="A8">
        <v>8</v>
      </c>
      <c r="C8">
        <f t="shared" si="0"/>
        <v>1487.6521739130435</v>
      </c>
      <c r="D8">
        <f t="shared" si="1"/>
        <v>81654.061671273739</v>
      </c>
      <c r="E8">
        <v>8</v>
      </c>
      <c r="G8">
        <f t="shared" si="2"/>
        <v>1487.6521739130435</v>
      </c>
      <c r="H8">
        <f t="shared" si="3"/>
        <v>87936.249802871505</v>
      </c>
      <c r="I8">
        <v>8</v>
      </c>
      <c r="K8">
        <f t="shared" si="4"/>
        <v>1454.3030303030305</v>
      </c>
      <c r="L8">
        <f t="shared" si="5"/>
        <v>68512.404094289785</v>
      </c>
      <c r="M8">
        <v>8</v>
      </c>
      <c r="O8">
        <f t="shared" si="6"/>
        <v>1454.3030303030305</v>
      </c>
      <c r="P8">
        <f t="shared" si="7"/>
        <v>98741.041338135197</v>
      </c>
      <c r="Q8">
        <v>8</v>
      </c>
      <c r="S8">
        <f t="shared" si="8"/>
        <v>88530.567244232239</v>
      </c>
      <c r="T8">
        <f t="shared" si="9"/>
        <v>73589.938670600022</v>
      </c>
      <c r="U8">
        <v>8</v>
      </c>
      <c r="W8">
        <f t="shared" si="10"/>
        <v>74554.142900537583</v>
      </c>
      <c r="X8">
        <f t="shared" si="11"/>
        <v>90345.508763424703</v>
      </c>
    </row>
    <row r="9" spans="1:24" x14ac:dyDescent="0.35">
      <c r="A9">
        <v>9</v>
      </c>
      <c r="C9">
        <f t="shared" si="0"/>
        <v>1503.3739130434783</v>
      </c>
      <c r="D9">
        <f t="shared" si="1"/>
        <v>82315.902086202972</v>
      </c>
      <c r="E9">
        <v>9</v>
      </c>
      <c r="G9">
        <f t="shared" si="2"/>
        <v>1503.3739130434783</v>
      </c>
      <c r="H9">
        <f t="shared" si="3"/>
        <v>88376.074807610406</v>
      </c>
      <c r="I9">
        <v>9</v>
      </c>
      <c r="K9">
        <f t="shared" si="4"/>
        <v>1465.2606060606063</v>
      </c>
      <c r="L9">
        <f t="shared" si="5"/>
        <v>68914.949580624379</v>
      </c>
      <c r="M9">
        <v>9</v>
      </c>
      <c r="O9">
        <f t="shared" si="6"/>
        <v>1465.2606060606063</v>
      </c>
      <c r="P9">
        <f t="shared" si="7"/>
        <v>99106.32326550869</v>
      </c>
      <c r="Q9">
        <v>9</v>
      </c>
      <c r="S9">
        <f t="shared" si="8"/>
        <v>89343.548333813756</v>
      </c>
      <c r="T9">
        <f t="shared" si="9"/>
        <v>74418.07003010172</v>
      </c>
      <c r="U9">
        <v>9</v>
      </c>
      <c r="W9">
        <f t="shared" si="10"/>
        <v>75592.550189210961</v>
      </c>
      <c r="X9">
        <f t="shared" si="11"/>
        <v>91284.300465043343</v>
      </c>
    </row>
    <row r="10" spans="1:24" x14ac:dyDescent="0.35">
      <c r="A10">
        <v>10</v>
      </c>
      <c r="C10">
        <f t="shared" si="0"/>
        <v>1519.0956521739131</v>
      </c>
      <c r="D10">
        <f t="shared" si="1"/>
        <v>82972.732707903342</v>
      </c>
      <c r="E10">
        <v>10</v>
      </c>
      <c r="G10">
        <f t="shared" si="2"/>
        <v>1519.0956521739131</v>
      </c>
      <c r="H10">
        <f t="shared" si="3"/>
        <v>88820.90960557817</v>
      </c>
      <c r="I10">
        <v>10</v>
      </c>
      <c r="K10">
        <f t="shared" si="4"/>
        <v>1476.2181818181821</v>
      </c>
      <c r="L10">
        <f t="shared" si="5"/>
        <v>69316.649517086567</v>
      </c>
      <c r="M10">
        <v>10</v>
      </c>
      <c r="O10">
        <f t="shared" si="6"/>
        <v>1476.2181818181821</v>
      </c>
      <c r="P10">
        <f t="shared" si="7"/>
        <v>99472.45074275462</v>
      </c>
      <c r="Q10">
        <v>10</v>
      </c>
      <c r="S10">
        <f t="shared" si="8"/>
        <v>90156.529423395274</v>
      </c>
      <c r="T10">
        <f t="shared" si="9"/>
        <v>75242.278699537899</v>
      </c>
      <c r="U10">
        <v>10</v>
      </c>
      <c r="W10">
        <f t="shared" si="10"/>
        <v>76630.957477884323</v>
      </c>
      <c r="X10">
        <f t="shared" si="11"/>
        <v>92228.599429597962</v>
      </c>
    </row>
    <row r="11" spans="1:24" x14ac:dyDescent="0.35">
      <c r="A11">
        <v>11</v>
      </c>
      <c r="C11">
        <f t="shared" si="0"/>
        <v>1534.8173913043479</v>
      </c>
      <c r="D11">
        <f t="shared" si="1"/>
        <v>83623.989290159632</v>
      </c>
      <c r="E11">
        <v>11</v>
      </c>
      <c r="G11">
        <f t="shared" si="2"/>
        <v>1534.8173913043479</v>
      </c>
      <c r="H11">
        <f t="shared" si="3"/>
        <v>89271.318442990014</v>
      </c>
      <c r="I11">
        <v>11</v>
      </c>
      <c r="K11">
        <f t="shared" si="4"/>
        <v>1487.1757575757579</v>
      </c>
      <c r="L11">
        <f t="shared" si="5"/>
        <v>69717.500908022092</v>
      </c>
      <c r="M11">
        <v>11</v>
      </c>
      <c r="O11">
        <f t="shared" si="6"/>
        <v>1487.1757575757579</v>
      </c>
      <c r="P11">
        <f t="shared" si="7"/>
        <v>99839.426765527183</v>
      </c>
      <c r="Q11">
        <v>11</v>
      </c>
      <c r="S11">
        <f t="shared" si="8"/>
        <v>90969.510512976791</v>
      </c>
      <c r="T11">
        <f t="shared" si="9"/>
        <v>76062.55581546262</v>
      </c>
      <c r="U11">
        <v>11</v>
      </c>
      <c r="W11">
        <f t="shared" si="10"/>
        <v>77669.364766557701</v>
      </c>
      <c r="X11">
        <f t="shared" si="11"/>
        <v>93178.505910408028</v>
      </c>
    </row>
    <row r="12" spans="1:24" x14ac:dyDescent="0.35">
      <c r="A12">
        <v>12</v>
      </c>
      <c r="C12">
        <f t="shared" si="0"/>
        <v>1550.5391304347827</v>
      </c>
      <c r="D12">
        <f t="shared" si="1"/>
        <v>84269.056507006928</v>
      </c>
      <c r="E12">
        <v>12</v>
      </c>
      <c r="G12">
        <f t="shared" si="2"/>
        <v>1550.5391304347827</v>
      </c>
      <c r="H12">
        <f t="shared" si="3"/>
        <v>89727.916645810852</v>
      </c>
      <c r="I12">
        <v>12</v>
      </c>
      <c r="K12">
        <f t="shared" si="4"/>
        <v>1498.1333333333337</v>
      </c>
      <c r="L12">
        <f t="shared" si="5"/>
        <v>70117.500887525646</v>
      </c>
      <c r="M12">
        <v>12</v>
      </c>
      <c r="O12">
        <f t="shared" si="6"/>
        <v>1498.1333333333337</v>
      </c>
      <c r="P12">
        <f t="shared" si="7"/>
        <v>100207.25419973172</v>
      </c>
      <c r="Q12">
        <v>12</v>
      </c>
      <c r="S12">
        <f t="shared" si="8"/>
        <v>91782.491602558308</v>
      </c>
      <c r="T12">
        <f t="shared" si="9"/>
        <v>76878.895603821686</v>
      </c>
      <c r="U12">
        <v>12</v>
      </c>
      <c r="W12">
        <f t="shared" si="10"/>
        <v>78707.772055231064</v>
      </c>
      <c r="X12">
        <f t="shared" si="11"/>
        <v>94134.116418596212</v>
      </c>
    </row>
    <row r="13" spans="1:24" x14ac:dyDescent="0.35">
      <c r="A13">
        <v>13</v>
      </c>
      <c r="C13">
        <f t="shared" si="0"/>
        <v>1566.2608695652175</v>
      </c>
      <c r="D13">
        <f t="shared" si="1"/>
        <v>84907.272002868718</v>
      </c>
      <c r="E13">
        <v>13</v>
      </c>
      <c r="G13">
        <f t="shared" si="2"/>
        <v>1566.2608695652175</v>
      </c>
      <c r="H13">
        <f t="shared" si="3"/>
        <v>90191.366569617196</v>
      </c>
      <c r="I13">
        <v>13</v>
      </c>
      <c r="K13">
        <f t="shared" si="4"/>
        <v>1509.0909090909095</v>
      </c>
      <c r="L13">
        <f t="shared" si="5"/>
        <v>70516.646721792524</v>
      </c>
      <c r="M13">
        <v>13</v>
      </c>
      <c r="O13">
        <f t="shared" si="6"/>
        <v>1509.0909090909095</v>
      </c>
      <c r="P13">
        <f t="shared" si="7"/>
        <v>100575.93577917293</v>
      </c>
      <c r="Q13">
        <v>13</v>
      </c>
      <c r="S13">
        <f t="shared" si="8"/>
        <v>92595.472692139825</v>
      </c>
      <c r="T13">
        <f t="shared" si="9"/>
        <v>77691.295402750955</v>
      </c>
      <c r="U13">
        <v>13</v>
      </c>
      <c r="W13">
        <f t="shared" si="10"/>
        <v>79746.179343904441</v>
      </c>
      <c r="X13">
        <f t="shared" si="11"/>
        <v>95095.523259708367</v>
      </c>
    </row>
    <row r="14" spans="1:24" x14ac:dyDescent="0.35">
      <c r="A14">
        <v>14</v>
      </c>
      <c r="C14">
        <f t="shared" si="0"/>
        <v>1581.9826086956523</v>
      </c>
      <c r="D14">
        <f t="shared" si="1"/>
        <v>85537.934661112886</v>
      </c>
      <c r="E14">
        <v>14</v>
      </c>
      <c r="G14">
        <f t="shared" si="2"/>
        <v>1581.9826086956523</v>
      </c>
      <c r="H14">
        <f t="shared" si="3"/>
        <v>90662.369331041162</v>
      </c>
      <c r="I14">
        <v>14</v>
      </c>
      <c r="K14">
        <f t="shared" si="4"/>
        <v>1520.0484848484853</v>
      </c>
      <c r="L14">
        <f t="shared" si="5"/>
        <v>70914.93581137876</v>
      </c>
      <c r="M14">
        <v>14</v>
      </c>
      <c r="O14">
        <f t="shared" si="6"/>
        <v>1520.0484848484853</v>
      </c>
      <c r="P14">
        <f t="shared" si="7"/>
        <v>100945.47410329481</v>
      </c>
      <c r="Q14">
        <v>14</v>
      </c>
      <c r="S14">
        <f t="shared" si="8"/>
        <v>93408.453781721357</v>
      </c>
      <c r="T14">
        <f t="shared" si="9"/>
        <v>78499.755673111402</v>
      </c>
      <c r="U14">
        <v>14</v>
      </c>
      <c r="W14">
        <f t="shared" si="10"/>
        <v>80784.586632577804</v>
      </c>
      <c r="X14">
        <f t="shared" si="11"/>
        <v>96062.81407247961</v>
      </c>
    </row>
    <row r="15" spans="1:24" x14ac:dyDescent="0.35">
      <c r="A15">
        <v>15</v>
      </c>
      <c r="C15">
        <f t="shared" si="0"/>
        <v>1597.7043478260871</v>
      </c>
      <c r="D15">
        <f t="shared" si="1"/>
        <v>86160.318133330118</v>
      </c>
      <c r="E15">
        <v>15</v>
      </c>
      <c r="G15">
        <f t="shared" si="2"/>
        <v>1597.7043478260871</v>
      </c>
      <c r="H15">
        <f t="shared" si="3"/>
        <v>91141.651278492063</v>
      </c>
      <c r="I15">
        <v>15</v>
      </c>
      <c r="K15">
        <f t="shared" si="4"/>
        <v>1531.0060606060611</v>
      </c>
      <c r="L15">
        <f t="shared" si="5"/>
        <v>71312.365693365427</v>
      </c>
      <c r="M15">
        <v>15</v>
      </c>
      <c r="O15">
        <f t="shared" si="6"/>
        <v>1531.0060606060611</v>
      </c>
      <c r="P15">
        <f t="shared" si="7"/>
        <v>101315.87163501623</v>
      </c>
      <c r="Q15">
        <v>15</v>
      </c>
      <c r="S15">
        <f t="shared" si="8"/>
        <v>94221.434871302874</v>
      </c>
      <c r="T15">
        <f t="shared" si="9"/>
        <v>79304.279996663958</v>
      </c>
      <c r="U15">
        <v>15</v>
      </c>
      <c r="W15">
        <f t="shared" si="10"/>
        <v>81822.993921251182</v>
      </c>
      <c r="X15">
        <f t="shared" si="11"/>
        <v>97036.071374427876</v>
      </c>
    </row>
    <row r="16" spans="1:24" x14ac:dyDescent="0.35">
      <c r="A16">
        <v>16</v>
      </c>
      <c r="C16">
        <f t="shared" si="0"/>
        <v>1613.4260869565219</v>
      </c>
      <c r="D16">
        <f t="shared" si="1"/>
        <v>86773.690409155563</v>
      </c>
      <c r="E16">
        <v>16</v>
      </c>
      <c r="G16">
        <f t="shared" si="2"/>
        <v>1613.4260869565219</v>
      </c>
      <c r="H16">
        <f t="shared" si="3"/>
        <v>91629.944422334753</v>
      </c>
      <c r="I16">
        <v>16</v>
      </c>
      <c r="K16">
        <f t="shared" si="4"/>
        <v>1541.9636363636369</v>
      </c>
      <c r="L16">
        <f t="shared" si="5"/>
        <v>71708.934043423011</v>
      </c>
      <c r="M16">
        <v>16</v>
      </c>
      <c r="O16">
        <f t="shared" si="6"/>
        <v>1541.9636363636369</v>
      </c>
      <c r="P16">
        <f t="shared" si="7"/>
        <v>101687.13069866673</v>
      </c>
      <c r="Q16">
        <v>16</v>
      </c>
      <c r="S16">
        <f t="shared" si="8"/>
        <v>95034.415960884391</v>
      </c>
      <c r="T16">
        <f t="shared" si="9"/>
        <v>80104.875061901068</v>
      </c>
      <c r="U16">
        <v>16</v>
      </c>
      <c r="W16">
        <f t="shared" si="10"/>
        <v>82861.401209924545</v>
      </c>
      <c r="X16">
        <f t="shared" si="11"/>
        <v>98015.37211918064</v>
      </c>
    </row>
    <row r="17" spans="1:24" x14ac:dyDescent="0.35">
      <c r="A17">
        <v>17</v>
      </c>
      <c r="C17">
        <f t="shared" si="0"/>
        <v>1629.1478260869567</v>
      </c>
      <c r="D17">
        <f t="shared" si="1"/>
        <v>87377.339614369557</v>
      </c>
      <c r="E17">
        <v>17</v>
      </c>
      <c r="G17">
        <f t="shared" si="2"/>
        <v>1629.1478260869567</v>
      </c>
      <c r="H17">
        <f t="shared" si="3"/>
        <v>92127.960636788892</v>
      </c>
      <c r="I17">
        <v>17</v>
      </c>
      <c r="K17">
        <f t="shared" si="4"/>
        <v>1552.9212121212126</v>
      </c>
      <c r="L17">
        <f t="shared" si="5"/>
        <v>72104.638677771814</v>
      </c>
      <c r="M17">
        <v>17</v>
      </c>
      <c r="O17">
        <f t="shared" si="6"/>
        <v>1552.9212121212126</v>
      </c>
      <c r="P17">
        <f t="shared" si="7"/>
        <v>102059.25347802602</v>
      </c>
      <c r="Q17">
        <v>17</v>
      </c>
      <c r="S17">
        <f t="shared" si="8"/>
        <v>95847.397050465908</v>
      </c>
      <c r="T17">
        <f t="shared" si="9"/>
        <v>80901.550637665263</v>
      </c>
      <c r="U17">
        <v>17</v>
      </c>
      <c r="W17">
        <f t="shared" si="10"/>
        <v>83899.808498597922</v>
      </c>
      <c r="X17">
        <f t="shared" si="11"/>
        <v>99000.787270586501</v>
      </c>
    </row>
    <row r="18" spans="1:24" x14ac:dyDescent="0.35">
      <c r="A18">
        <v>18</v>
      </c>
      <c r="C18">
        <f t="shared" si="0"/>
        <v>1644.8695652173915</v>
      </c>
      <c r="D18">
        <f t="shared" si="1"/>
        <v>87970.605262677738</v>
      </c>
      <c r="E18">
        <v>18</v>
      </c>
      <c r="G18">
        <f t="shared" si="2"/>
        <v>1644.8695652173915</v>
      </c>
      <c r="H18">
        <f t="shared" si="3"/>
        <v>92636.360408148845</v>
      </c>
      <c r="I18">
        <v>18</v>
      </c>
      <c r="K18">
        <f t="shared" si="4"/>
        <v>1563.8787878787884</v>
      </c>
      <c r="L18">
        <f t="shared" si="5"/>
        <v>72499.477555034726</v>
      </c>
      <c r="M18">
        <v>18</v>
      </c>
      <c r="O18">
        <f t="shared" si="6"/>
        <v>1563.8787878787884</v>
      </c>
      <c r="P18">
        <f t="shared" si="7"/>
        <v>102432.24201447119</v>
      </c>
      <c r="Q18">
        <v>18</v>
      </c>
      <c r="S18">
        <f t="shared" si="8"/>
        <v>96660.378140047425</v>
      </c>
      <c r="T18">
        <f t="shared" si="9"/>
        <v>81694.319534796843</v>
      </c>
      <c r="U18">
        <v>18</v>
      </c>
      <c r="W18">
        <f t="shared" si="10"/>
        <v>84938.215787271285</v>
      </c>
      <c r="X18">
        <f t="shared" si="11"/>
        <v>99992.38139871457</v>
      </c>
    </row>
    <row r="19" spans="1:24" x14ac:dyDescent="0.35">
      <c r="A19">
        <v>19</v>
      </c>
      <c r="C19">
        <f t="shared" si="0"/>
        <v>1660.5913043478263</v>
      </c>
      <c r="D19">
        <f t="shared" si="1"/>
        <v>88552.91293069729</v>
      </c>
      <c r="E19">
        <v>19</v>
      </c>
      <c r="G19">
        <f t="shared" si="2"/>
        <v>1660.5913043478263</v>
      </c>
      <c r="H19">
        <f t="shared" si="3"/>
        <v>93155.718159797427</v>
      </c>
      <c r="I19">
        <v>19</v>
      </c>
      <c r="K19">
        <f t="shared" si="4"/>
        <v>1574.8363636363642</v>
      </c>
      <c r="L19">
        <f t="shared" si="5"/>
        <v>72893.44877797876</v>
      </c>
      <c r="M19">
        <v>19</v>
      </c>
      <c r="O19">
        <f t="shared" si="6"/>
        <v>1574.8363636363642</v>
      </c>
      <c r="P19">
        <f t="shared" si="7"/>
        <v>102806.09820523528</v>
      </c>
      <c r="Q19">
        <v>19</v>
      </c>
      <c r="S19">
        <f t="shared" si="8"/>
        <v>97473.359229628943</v>
      </c>
      <c r="T19">
        <f t="shared" si="9"/>
        <v>82483.197556160492</v>
      </c>
      <c r="U19">
        <v>19</v>
      </c>
      <c r="W19">
        <f t="shared" si="10"/>
        <v>85976.623075944663</v>
      </c>
      <c r="X19">
        <f t="shared" si="11"/>
        <v>100990.21230279899</v>
      </c>
    </row>
    <row r="20" spans="1:24" x14ac:dyDescent="0.35">
      <c r="A20">
        <v>20</v>
      </c>
      <c r="C20">
        <f t="shared" si="0"/>
        <v>1676.3130434782611</v>
      </c>
      <c r="D20">
        <f t="shared" si="1"/>
        <v>89123.809021359441</v>
      </c>
      <c r="E20">
        <v>20</v>
      </c>
      <c r="G20">
        <f t="shared" si="2"/>
        <v>1676.3130434782611</v>
      </c>
      <c r="H20">
        <f t="shared" si="3"/>
        <v>93686.48748880341</v>
      </c>
      <c r="I20">
        <v>20</v>
      </c>
      <c r="K20">
        <f t="shared" si="4"/>
        <v>1585.79393939394</v>
      </c>
      <c r="L20">
        <f t="shared" si="5"/>
        <v>73286.550595141787</v>
      </c>
      <c r="M20">
        <v>20</v>
      </c>
      <c r="O20">
        <f t="shared" si="6"/>
        <v>1585.79393939394</v>
      </c>
      <c r="P20">
        <f t="shared" si="7"/>
        <v>103180.82380178034</v>
      </c>
      <c r="Q20">
        <v>20</v>
      </c>
      <c r="S20">
        <f t="shared" si="8"/>
        <v>98286.34031921046</v>
      </c>
      <c r="T20">
        <f t="shared" si="9"/>
        <v>83268.203435501884</v>
      </c>
      <c r="U20">
        <v>20</v>
      </c>
      <c r="W20">
        <f t="shared" si="10"/>
        <v>87015.030364618025</v>
      </c>
      <c r="X20">
        <f t="shared" si="11"/>
        <v>101994.33066603111</v>
      </c>
    </row>
    <row r="21" spans="1:24" x14ac:dyDescent="0.35">
      <c r="A21">
        <v>21</v>
      </c>
      <c r="C21">
        <f t="shared" si="0"/>
        <v>1692.0347826086959</v>
      </c>
      <c r="D21">
        <f t="shared" si="1"/>
        <v>89682.991329092998</v>
      </c>
      <c r="E21">
        <v>21</v>
      </c>
      <c r="G21">
        <f t="shared" si="2"/>
        <v>1692.0347826086959</v>
      </c>
      <c r="H21">
        <f t="shared" si="3"/>
        <v>94228.970600737986</v>
      </c>
      <c r="I21">
        <v>21</v>
      </c>
      <c r="K21">
        <f t="shared" si="4"/>
        <v>1596.7515151515158</v>
      </c>
      <c r="L21">
        <f t="shared" si="5"/>
        <v>73678.781402341498</v>
      </c>
      <c r="M21">
        <v>21</v>
      </c>
      <c r="O21">
        <f t="shared" si="6"/>
        <v>1596.7515151515158</v>
      </c>
      <c r="P21">
        <f t="shared" si="7"/>
        <v>103556.42040828872</v>
      </c>
      <c r="Q21">
        <v>21</v>
      </c>
      <c r="S21">
        <f t="shared" si="8"/>
        <v>99099.321408791991</v>
      </c>
      <c r="T21">
        <f t="shared" si="9"/>
        <v>84049.358765680474</v>
      </c>
      <c r="U21">
        <v>21</v>
      </c>
      <c r="W21">
        <f t="shared" si="10"/>
        <v>88053.437653291403</v>
      </c>
      <c r="X21">
        <f t="shared" si="11"/>
        <v>103004.77974684119</v>
      </c>
    </row>
    <row r="22" spans="1:24" x14ac:dyDescent="0.35">
      <c r="A22">
        <v>22</v>
      </c>
      <c r="C22">
        <f t="shared" si="0"/>
        <v>1707.7565217391307</v>
      </c>
      <c r="D22">
        <f t="shared" si="1"/>
        <v>90230.330960128224</v>
      </c>
      <c r="E22">
        <v>22</v>
      </c>
      <c r="G22">
        <f t="shared" si="2"/>
        <v>1707.7565217391307</v>
      </c>
      <c r="H22">
        <f t="shared" si="3"/>
        <v>94783.296389370895</v>
      </c>
      <c r="I22">
        <v>22</v>
      </c>
      <c r="K22">
        <f t="shared" si="4"/>
        <v>1607.7090909090916</v>
      </c>
      <c r="L22">
        <f t="shared" si="5"/>
        <v>74070.139744063388</v>
      </c>
      <c r="M22">
        <v>22</v>
      </c>
      <c r="O22">
        <f t="shared" si="6"/>
        <v>1607.7090909090916</v>
      </c>
      <c r="P22">
        <f t="shared" si="7"/>
        <v>103932.88948027491</v>
      </c>
      <c r="Q22">
        <v>22</v>
      </c>
      <c r="S22">
        <f t="shared" si="8"/>
        <v>99912.302498373494</v>
      </c>
      <c r="T22">
        <f t="shared" si="9"/>
        <v>84826.687916910305</v>
      </c>
      <c r="U22">
        <v>22</v>
      </c>
      <c r="W22">
        <f t="shared" si="10"/>
        <v>89091.844941964766</v>
      </c>
      <c r="X22">
        <f t="shared" si="11"/>
        <v>104021.59511094067</v>
      </c>
    </row>
    <row r="23" spans="1:24" x14ac:dyDescent="0.35">
      <c r="A23">
        <v>23</v>
      </c>
      <c r="C23">
        <f t="shared" si="0"/>
        <v>1723.4782608695655</v>
      </c>
      <c r="D23">
        <f t="shared" si="1"/>
        <v>90765.882065208934</v>
      </c>
      <c r="E23">
        <v>23</v>
      </c>
      <c r="G23">
        <f t="shared" si="2"/>
        <v>1723.4782608695655</v>
      </c>
      <c r="H23">
        <f t="shared" si="3"/>
        <v>95349.410703958318</v>
      </c>
      <c r="I23">
        <v>23</v>
      </c>
      <c r="K23">
        <f t="shared" si="4"/>
        <v>1618.6666666666674</v>
      </c>
      <c r="L23">
        <f t="shared" si="5"/>
        <v>74460.624314725064</v>
      </c>
      <c r="M23">
        <v>23</v>
      </c>
      <c r="O23">
        <f t="shared" si="6"/>
        <v>1618.6666666666674</v>
      </c>
      <c r="P23">
        <f t="shared" si="7"/>
        <v>104310.23232332135</v>
      </c>
      <c r="Q23">
        <v>23</v>
      </c>
      <c r="S23">
        <f t="shared" si="8"/>
        <v>100725.28358795503</v>
      </c>
      <c r="T23">
        <f t="shared" si="9"/>
        <v>85600.217945716795</v>
      </c>
      <c r="U23">
        <v>23</v>
      </c>
      <c r="W23">
        <f t="shared" si="10"/>
        <v>90130.252230638143</v>
      </c>
      <c r="X23">
        <f t="shared" si="11"/>
        <v>105044.80440792329</v>
      </c>
    </row>
    <row r="24" spans="1:24" x14ac:dyDescent="0.35">
      <c r="A24">
        <v>24</v>
      </c>
      <c r="C24">
        <f t="shared" si="0"/>
        <v>1739.2000000000003</v>
      </c>
      <c r="D24">
        <f t="shared" si="1"/>
        <v>91289.877722615274</v>
      </c>
      <c r="E24">
        <v>24</v>
      </c>
      <c r="G24">
        <f t="shared" si="2"/>
        <v>1739.2000000000003</v>
      </c>
      <c r="H24">
        <f t="shared" si="3"/>
        <v>95927.080466220112</v>
      </c>
      <c r="I24">
        <v>24</v>
      </c>
      <c r="K24">
        <f t="shared" si="4"/>
        <v>1629.6242424242432</v>
      </c>
      <c r="L24">
        <f t="shared" si="5"/>
        <v>74850.233959814272</v>
      </c>
      <c r="M24">
        <v>24</v>
      </c>
      <c r="O24">
        <f t="shared" si="6"/>
        <v>1629.6242424242432</v>
      </c>
      <c r="P24">
        <f t="shared" si="7"/>
        <v>104688.45009194023</v>
      </c>
      <c r="Q24">
        <v>24</v>
      </c>
      <c r="S24">
        <f t="shared" si="8"/>
        <v>101538.26467753654</v>
      </c>
      <c r="T24">
        <f t="shared" si="9"/>
        <v>86369.97849538218</v>
      </c>
      <c r="U24">
        <v>24</v>
      </c>
      <c r="W24">
        <f t="shared" si="10"/>
        <v>91168.659519311506</v>
      </c>
      <c r="X24">
        <f t="shared" si="11"/>
        <v>106074.42719565508</v>
      </c>
    </row>
    <row r="25" spans="1:24" x14ac:dyDescent="0.35">
      <c r="A25">
        <v>25</v>
      </c>
      <c r="C25">
        <f t="shared" si="0"/>
        <v>1754.9217391304351</v>
      </c>
      <c r="D25">
        <f t="shared" si="1"/>
        <v>91802.712681094577</v>
      </c>
      <c r="E25">
        <v>25</v>
      </c>
      <c r="G25">
        <f t="shared" si="2"/>
        <v>1754.9217391304351</v>
      </c>
      <c r="H25">
        <f t="shared" si="3"/>
        <v>96515.910927408942</v>
      </c>
      <c r="I25">
        <v>25</v>
      </c>
      <c r="K25">
        <f t="shared" si="4"/>
        <v>1640.581818181819</v>
      </c>
      <c r="L25">
        <f t="shared" si="5"/>
        <v>75238.967676898552</v>
      </c>
      <c r="M25">
        <v>25</v>
      </c>
      <c r="O25">
        <f t="shared" si="6"/>
        <v>1640.581818181819</v>
      </c>
      <c r="P25">
        <f t="shared" si="7"/>
        <v>105067.54378856404</v>
      </c>
      <c r="Q25">
        <v>25</v>
      </c>
      <c r="S25">
        <f t="shared" si="8"/>
        <v>102351.24576711806</v>
      </c>
      <c r="T25">
        <f t="shared" si="9"/>
        <v>87136.001688707329</v>
      </c>
      <c r="U25">
        <v>25</v>
      </c>
      <c r="W25">
        <f t="shared" si="10"/>
        <v>92207.066807984869</v>
      </c>
      <c r="X25">
        <f t="shared" si="11"/>
        <v>107110.47481503277</v>
      </c>
    </row>
    <row r="26" spans="1:24" x14ac:dyDescent="0.35">
      <c r="A26">
        <v>26</v>
      </c>
      <c r="C26">
        <f t="shared" si="0"/>
        <v>1770.6434782608699</v>
      </c>
      <c r="D26">
        <f t="shared" si="1"/>
        <v>92304.915831947204</v>
      </c>
      <c r="E26">
        <v>26</v>
      </c>
      <c r="G26">
        <f t="shared" si="2"/>
        <v>1770.6434782608699</v>
      </c>
      <c r="H26">
        <f t="shared" si="3"/>
        <v>97115.373196224449</v>
      </c>
      <c r="I26">
        <v>26</v>
      </c>
      <c r="K26">
        <f t="shared" si="4"/>
        <v>1651.5393939393948</v>
      </c>
      <c r="L26">
        <f t="shared" si="5"/>
        <v>75626.824616504178</v>
      </c>
      <c r="M26">
        <v>26</v>
      </c>
      <c r="O26">
        <f t="shared" si="6"/>
        <v>1651.5393939393948</v>
      </c>
      <c r="P26">
        <f t="shared" si="7"/>
        <v>105447.5142626665</v>
      </c>
      <c r="Q26">
        <v>26</v>
      </c>
      <c r="S26">
        <f t="shared" si="8"/>
        <v>103164.22685669958</v>
      </c>
      <c r="T26">
        <f t="shared" si="9"/>
        <v>87898.322013957732</v>
      </c>
      <c r="U26">
        <v>26</v>
      </c>
      <c r="W26">
        <f t="shared" si="10"/>
        <v>93245.474096658247</v>
      </c>
      <c r="X26">
        <f t="shared" si="11"/>
        <v>108152.95031697107</v>
      </c>
    </row>
    <row r="27" spans="1:24" x14ac:dyDescent="0.35">
      <c r="A27">
        <v>27</v>
      </c>
      <c r="C27">
        <f t="shared" si="0"/>
        <v>1786.3652173913047</v>
      </c>
      <c r="D27">
        <f t="shared" si="1"/>
        <v>92797.116619162523</v>
      </c>
      <c r="E27">
        <v>27</v>
      </c>
      <c r="G27">
        <f t="shared" si="2"/>
        <v>1786.3652173913047</v>
      </c>
      <c r="H27">
        <f t="shared" si="3"/>
        <v>97724.837828677264</v>
      </c>
      <c r="I27">
        <v>27</v>
      </c>
      <c r="K27">
        <f t="shared" si="4"/>
        <v>1662.4969696969706</v>
      </c>
      <c r="L27">
        <f t="shared" si="5"/>
        <v>76013.8040828628</v>
      </c>
      <c r="M27">
        <v>27</v>
      </c>
      <c r="O27">
        <f t="shared" si="6"/>
        <v>1662.4969696969706</v>
      </c>
      <c r="P27">
        <f t="shared" si="7"/>
        <v>105828.36221001597</v>
      </c>
      <c r="Q27">
        <v>27</v>
      </c>
      <c r="S27">
        <f t="shared" si="8"/>
        <v>103977.20794628109</v>
      </c>
      <c r="T27">
        <f t="shared" si="9"/>
        <v>88656.976204892737</v>
      </c>
      <c r="U27">
        <v>27</v>
      </c>
      <c r="W27">
        <f t="shared" si="10"/>
        <v>94283.881385331624</v>
      </c>
      <c r="X27">
        <f t="shared" si="11"/>
        <v>109201.84844271204</v>
      </c>
    </row>
    <row r="28" spans="1:24" x14ac:dyDescent="0.35">
      <c r="A28">
        <v>28</v>
      </c>
      <c r="C28">
        <f t="shared" si="0"/>
        <v>1802.0869565217395</v>
      </c>
      <c r="D28">
        <f t="shared" si="1"/>
        <v>93280.009857495112</v>
      </c>
      <c r="E28">
        <v>28</v>
      </c>
      <c r="G28">
        <f t="shared" si="2"/>
        <v>1802.0869565217395</v>
      </c>
      <c r="H28">
        <f t="shared" si="3"/>
        <v>98343.61001001281</v>
      </c>
      <c r="I28">
        <v>28</v>
      </c>
      <c r="K28">
        <f t="shared" si="4"/>
        <v>1673.4545454545464</v>
      </c>
      <c r="L28">
        <f t="shared" si="5"/>
        <v>76399.905534524136</v>
      </c>
      <c r="M28">
        <v>28</v>
      </c>
      <c r="O28">
        <f t="shared" si="6"/>
        <v>1673.4545454545464</v>
      </c>
      <c r="P28">
        <f t="shared" si="7"/>
        <v>106210.08817206275</v>
      </c>
      <c r="Q28">
        <v>28</v>
      </c>
      <c r="S28">
        <f t="shared" si="8"/>
        <v>104790.18903586263</v>
      </c>
      <c r="T28">
        <f t="shared" si="9"/>
        <v>89412.00311579401</v>
      </c>
      <c r="U28">
        <v>28</v>
      </c>
      <c r="W28">
        <f t="shared" si="10"/>
        <v>95322.288674004987</v>
      </c>
      <c r="X28">
        <f t="shared" si="11"/>
        <v>110257.1556577523</v>
      </c>
    </row>
    <row r="29" spans="1:24" x14ac:dyDescent="0.35">
      <c r="A29">
        <v>29</v>
      </c>
      <c r="C29">
        <f t="shared" si="0"/>
        <v>1817.8086956521743</v>
      </c>
      <c r="D29">
        <f t="shared" si="1"/>
        <v>93754.322752779131</v>
      </c>
      <c r="E29">
        <v>29</v>
      </c>
      <c r="G29">
        <f t="shared" si="2"/>
        <v>1817.8086956521743</v>
      </c>
      <c r="H29">
        <f t="shared" si="3"/>
        <v>98970.962534396924</v>
      </c>
      <c r="I29">
        <v>29</v>
      </c>
      <c r="K29">
        <f t="shared" si="4"/>
        <v>1684.4121212121222</v>
      </c>
      <c r="L29">
        <f t="shared" si="5"/>
        <v>76785.12858483351</v>
      </c>
      <c r="M29">
        <v>29</v>
      </c>
      <c r="O29">
        <f t="shared" si="6"/>
        <v>1684.4121212121222</v>
      </c>
      <c r="P29">
        <f t="shared" si="7"/>
        <v>106592.69253546147</v>
      </c>
      <c r="Q29">
        <v>29</v>
      </c>
      <c r="S29">
        <f t="shared" si="8"/>
        <v>105603.17012544413</v>
      </c>
      <c r="T29">
        <f t="shared" si="9"/>
        <v>90163.443592415511</v>
      </c>
      <c r="U29">
        <v>29</v>
      </c>
      <c r="W29">
        <f t="shared" si="10"/>
        <v>96360.69596267835</v>
      </c>
      <c r="X29">
        <f t="shared" si="11"/>
        <v>111318.85023887854</v>
      </c>
    </row>
    <row r="30" spans="1:24" x14ac:dyDescent="0.35">
      <c r="A30">
        <v>30</v>
      </c>
      <c r="C30">
        <f t="shared" si="0"/>
        <v>1833.5304347826091</v>
      </c>
      <c r="D30">
        <f t="shared" si="1"/>
        <v>94220.786704578655</v>
      </c>
      <c r="E30">
        <v>30</v>
      </c>
      <c r="G30">
        <f t="shared" si="2"/>
        <v>1833.5304347826091</v>
      </c>
      <c r="H30">
        <f t="shared" si="3"/>
        <v>99606.164002265505</v>
      </c>
      <c r="I30">
        <v>30</v>
      </c>
      <c r="K30">
        <f t="shared" si="4"/>
        <v>1695.369696969698</v>
      </c>
      <c r="L30">
        <f t="shared" si="5"/>
        <v>77169.4730022734</v>
      </c>
      <c r="M30">
        <v>30</v>
      </c>
      <c r="O30">
        <f t="shared" si="6"/>
        <v>1695.369696969698</v>
      </c>
      <c r="P30">
        <f t="shared" si="7"/>
        <v>106976.17553172966</v>
      </c>
      <c r="Q30">
        <v>30</v>
      </c>
      <c r="S30">
        <f t="shared" si="8"/>
        <v>106416.15121502566</v>
      </c>
      <c r="T30">
        <f t="shared" si="9"/>
        <v>90911.3403397722</v>
      </c>
      <c r="U30">
        <v>30</v>
      </c>
      <c r="W30">
        <f t="shared" si="10"/>
        <v>97399.103251351728</v>
      </c>
      <c r="X30">
        <f t="shared" si="11"/>
        <v>112386.90241301083</v>
      </c>
    </row>
    <row r="31" spans="1:24" x14ac:dyDescent="0.35">
      <c r="A31">
        <v>31</v>
      </c>
      <c r="C31">
        <f t="shared" si="0"/>
        <v>1849.2521739130439</v>
      </c>
      <c r="D31">
        <f t="shared" si="1"/>
        <v>94680.115155678242</v>
      </c>
      <c r="E31">
        <v>31</v>
      </c>
      <c r="G31">
        <f t="shared" si="2"/>
        <v>1849.2521739130439</v>
      </c>
      <c r="H31">
        <f t="shared" si="3"/>
        <v>100248.50097083405</v>
      </c>
      <c r="I31">
        <v>31</v>
      </c>
      <c r="K31">
        <f t="shared" si="4"/>
        <v>1706.3272727272738</v>
      </c>
      <c r="L31">
        <f t="shared" si="5"/>
        <v>77552.938710667979</v>
      </c>
      <c r="M31">
        <v>31</v>
      </c>
      <c r="O31">
        <f t="shared" si="6"/>
        <v>1706.3272727272738</v>
      </c>
      <c r="P31">
        <f t="shared" si="7"/>
        <v>107360.53723704317</v>
      </c>
      <c r="Q31">
        <v>31</v>
      </c>
      <c r="S31">
        <f t="shared" si="8"/>
        <v>107229.13230460718</v>
      </c>
      <c r="T31">
        <f t="shared" si="9"/>
        <v>91655.737787668797</v>
      </c>
      <c r="U31">
        <v>31</v>
      </c>
      <c r="W31">
        <f t="shared" si="10"/>
        <v>98437.510540025105</v>
      </c>
      <c r="X31">
        <f t="shared" si="11"/>
        <v>113461.27454579594</v>
      </c>
    </row>
    <row r="32" spans="1:24" x14ac:dyDescent="0.35">
      <c r="A32">
        <v>32</v>
      </c>
      <c r="C32">
        <f t="shared" si="0"/>
        <v>1864.9739130434787</v>
      </c>
      <c r="D32">
        <f t="shared" si="1"/>
        <v>95132.987651935822</v>
      </c>
      <c r="E32">
        <v>32</v>
      </c>
      <c r="G32">
        <f t="shared" si="2"/>
        <v>1864.9739130434787</v>
      </c>
      <c r="H32">
        <f t="shared" si="3"/>
        <v>100897.29389424461</v>
      </c>
      <c r="I32">
        <v>32</v>
      </c>
      <c r="K32">
        <f t="shared" si="4"/>
        <v>1717.2848484848496</v>
      </c>
      <c r="L32">
        <f t="shared" si="5"/>
        <v>77935.525789250431</v>
      </c>
      <c r="M32">
        <v>32</v>
      </c>
      <c r="O32">
        <f t="shared" si="6"/>
        <v>1717.2848484848496</v>
      </c>
      <c r="P32">
        <f t="shared" si="7"/>
        <v>107745.77757216881</v>
      </c>
      <c r="Q32">
        <v>32</v>
      </c>
      <c r="S32">
        <f t="shared" si="8"/>
        <v>108042.11339418869</v>
      </c>
      <c r="T32">
        <f t="shared" si="9"/>
        <v>92396.68195484535</v>
      </c>
      <c r="U32">
        <v>32</v>
      </c>
      <c r="W32">
        <f t="shared" si="10"/>
        <v>99475.917828698468</v>
      </c>
      <c r="X32">
        <f t="shared" si="11"/>
        <v>114541.92137719147</v>
      </c>
    </row>
    <row r="33" spans="1:24" x14ac:dyDescent="0.35">
      <c r="A33">
        <v>33</v>
      </c>
      <c r="C33">
        <f t="shared" ref="C33:C64" si="12">1377.6+(A33-1)*15.7217391304348</f>
        <v>1880.6956521739135</v>
      </c>
      <c r="D33">
        <f t="shared" ref="D33:D64" si="13">32673.219897243+35.0363725834721*C33-14729.0370242134*(0.0238095238095238+(C33-1695.2619047619)^2/1989034.11904762)^0.5</f>
        <v>95580.039531690811</v>
      </c>
      <c r="E33">
        <v>33</v>
      </c>
      <c r="G33">
        <f t="shared" ref="G33:G64" si="14">1377.6+(E33-1)*15.7217391304348</f>
        <v>1880.6956521739135</v>
      </c>
      <c r="H33">
        <f t="shared" ref="H33:H64" si="15">32673.219897243+35.0363725834721*G33+14729.0370242134*(0.0238095238095238+(G33-1695.2619047619)^2/1989034.11904762)^0.5</f>
        <v>101551.90743415778</v>
      </c>
      <c r="I33">
        <v>33</v>
      </c>
      <c r="K33">
        <f t="shared" ref="K33:K64" si="16">1377.6+(I33-1)*10.9575757575758</f>
        <v>1728.2424242424254</v>
      </c>
      <c r="L33">
        <f t="shared" ref="L33:L64" si="17">32673.219897243+35.0363725834721*K33-14729.0370242134*(1.02380952380952+(K33-1695.2619047619)^2/1989034.11904762)^0.5</f>
        <v>78317.234472593002</v>
      </c>
      <c r="M33">
        <v>33</v>
      </c>
      <c r="O33">
        <f t="shared" ref="O33:O64" si="18">1377.6+(M33-1)*10.9575757575758</f>
        <v>1728.2424242424254</v>
      </c>
      <c r="P33">
        <f t="shared" ref="P33:P64" si="19">32673.219897243+35.0363725834721*O33+14729.0370242134*(1.02380952380952+(O33-1695.2619047619)^2/1989034.11904762)^0.5</f>
        <v>108131.89630253435</v>
      </c>
      <c r="Q33">
        <v>33</v>
      </c>
      <c r="S33">
        <f t="shared" ref="S33:S64" si="20">82839.6996171616+(Q33-1)*812.981089581519</f>
        <v>108855.09448377021</v>
      </c>
      <c r="T33">
        <f t="shared" ref="T33:T64" si="21">0+1*S33-14729.0370242134*(1.02380952380952+(S33-92069.0476190476)^2/2441633668.92218)^0.5</f>
        <v>93134.22031258182</v>
      </c>
      <c r="U33">
        <v>33</v>
      </c>
      <c r="W33">
        <f t="shared" ref="W33:W64" si="22">67285.291879824+(U33-1)*1038.40728867337</f>
        <v>100514.32511737183</v>
      </c>
      <c r="X33">
        <f t="shared" ref="X33:X64" si="23">0+1*W33+14729.0370242134*(1.02380952380952+(W33-92069.0476190476)^2/2441633668.92218)^0.5</f>
        <v>115628.79030065089</v>
      </c>
    </row>
    <row r="34" spans="1:24" x14ac:dyDescent="0.35">
      <c r="A34">
        <v>34</v>
      </c>
      <c r="C34">
        <f t="shared" si="12"/>
        <v>1896.4173913043483</v>
      </c>
      <c r="D34">
        <f t="shared" si="13"/>
        <v>96021.85627577205</v>
      </c>
      <c r="E34">
        <v>34</v>
      </c>
      <c r="G34">
        <f t="shared" si="14"/>
        <v>1896.4173913043483</v>
      </c>
      <c r="H34">
        <f t="shared" si="15"/>
        <v>102211.75610974467</v>
      </c>
      <c r="I34">
        <v>34</v>
      </c>
      <c r="K34">
        <f t="shared" si="16"/>
        <v>1739.2000000000012</v>
      </c>
      <c r="L34">
        <f t="shared" si="17"/>
        <v>78698.065150399518</v>
      </c>
      <c r="M34">
        <v>34</v>
      </c>
      <c r="O34">
        <f t="shared" si="18"/>
        <v>1739.2000000000012</v>
      </c>
      <c r="P34">
        <f t="shared" si="19"/>
        <v>108518.89303843593</v>
      </c>
      <c r="Q34">
        <v>34</v>
      </c>
      <c r="S34">
        <f t="shared" si="20"/>
        <v>109668.07557335173</v>
      </c>
      <c r="T34">
        <f t="shared" si="21"/>
        <v>93868.401648563216</v>
      </c>
      <c r="U34">
        <v>34</v>
      </c>
      <c r="W34">
        <f t="shared" si="22"/>
        <v>101552.73240604521</v>
      </c>
      <c r="X34">
        <f t="shared" si="23"/>
        <v>116721.82168197566</v>
      </c>
    </row>
    <row r="35" spans="1:24" x14ac:dyDescent="0.35">
      <c r="A35">
        <v>35</v>
      </c>
      <c r="C35">
        <f t="shared" si="12"/>
        <v>1912.1391304347831</v>
      </c>
      <c r="D35">
        <f t="shared" si="13"/>
        <v>96458.971438308479</v>
      </c>
      <c r="E35">
        <v>35</v>
      </c>
      <c r="G35">
        <f t="shared" si="14"/>
        <v>1912.1391304347831</v>
      </c>
      <c r="H35">
        <f t="shared" si="15"/>
        <v>102876.30636687635</v>
      </c>
      <c r="I35">
        <v>35</v>
      </c>
      <c r="K35">
        <f t="shared" si="16"/>
        <v>1750.157575757577</v>
      </c>
      <c r="L35">
        <f t="shared" si="17"/>
        <v>79078.018367161494</v>
      </c>
      <c r="M35">
        <v>35</v>
      </c>
      <c r="O35">
        <f t="shared" si="18"/>
        <v>1750.157575757577</v>
      </c>
      <c r="P35">
        <f t="shared" si="19"/>
        <v>108906.76723538204</v>
      </c>
      <c r="Q35">
        <v>35</v>
      </c>
      <c r="S35">
        <f t="shared" si="20"/>
        <v>110481.05666293325</v>
      </c>
      <c r="T35">
        <f t="shared" si="21"/>
        <v>94599.275931758792</v>
      </c>
      <c r="U35">
        <v>35</v>
      </c>
      <c r="W35">
        <f t="shared" si="22"/>
        <v>102591.13969471859</v>
      </c>
      <c r="X35">
        <f t="shared" si="23"/>
        <v>117820.94921345467</v>
      </c>
    </row>
    <row r="36" spans="1:24" x14ac:dyDescent="0.35">
      <c r="A36">
        <v>36</v>
      </c>
      <c r="C36">
        <f t="shared" si="12"/>
        <v>1927.8608695652179</v>
      </c>
      <c r="D36">
        <f t="shared" si="13"/>
        <v>96891.867144770164</v>
      </c>
      <c r="E36">
        <v>36</v>
      </c>
      <c r="G36">
        <f t="shared" si="14"/>
        <v>1927.8608695652179</v>
      </c>
      <c r="H36">
        <f t="shared" si="15"/>
        <v>103545.0760800828</v>
      </c>
      <c r="I36">
        <v>36</v>
      </c>
      <c r="K36">
        <f t="shared" si="16"/>
        <v>1761.1151515151528</v>
      </c>
      <c r="L36">
        <f t="shared" si="17"/>
        <v>79457.094821677703</v>
      </c>
      <c r="M36">
        <v>36</v>
      </c>
      <c r="O36">
        <f t="shared" si="18"/>
        <v>1761.1151515151528</v>
      </c>
      <c r="P36">
        <f t="shared" si="19"/>
        <v>109295.51819457392</v>
      </c>
      <c r="Q36">
        <v>36</v>
      </c>
      <c r="S36">
        <f t="shared" si="20"/>
        <v>111294.03775251476</v>
      </c>
      <c r="T36">
        <f t="shared" si="21"/>
        <v>95326.894179015944</v>
      </c>
      <c r="U36">
        <v>36</v>
      </c>
      <c r="W36">
        <f t="shared" si="22"/>
        <v>103629.54698339195</v>
      </c>
      <c r="X36">
        <f t="shared" si="23"/>
        <v>118926.1002985693</v>
      </c>
    </row>
    <row r="37" spans="1:24" x14ac:dyDescent="0.35">
      <c r="A37">
        <v>37</v>
      </c>
      <c r="C37">
        <f t="shared" si="12"/>
        <v>1943.5826086956527</v>
      </c>
      <c r="D37">
        <f t="shared" si="13"/>
        <v>97320.976299539441</v>
      </c>
      <c r="E37">
        <v>37</v>
      </c>
      <c r="G37">
        <f t="shared" si="14"/>
        <v>1943.5826086956527</v>
      </c>
      <c r="H37">
        <f t="shared" si="15"/>
        <v>104217.63234498166</v>
      </c>
      <c r="I37">
        <v>37</v>
      </c>
      <c r="K37">
        <f t="shared" si="16"/>
        <v>1772.0727272727286</v>
      </c>
      <c r="L37">
        <f t="shared" si="17"/>
        <v>79835.295366438906</v>
      </c>
      <c r="M37">
        <v>37</v>
      </c>
      <c r="O37">
        <f t="shared" si="18"/>
        <v>1772.0727272727286</v>
      </c>
      <c r="P37">
        <f t="shared" si="19"/>
        <v>109685.14506352083</v>
      </c>
      <c r="Q37">
        <v>37</v>
      </c>
      <c r="S37">
        <f t="shared" si="20"/>
        <v>112107.01884209629</v>
      </c>
      <c r="T37">
        <f t="shared" si="21"/>
        <v>96051.3083240126</v>
      </c>
      <c r="U37">
        <v>37</v>
      </c>
      <c r="W37">
        <f t="shared" si="22"/>
        <v>104667.95427206531</v>
      </c>
      <c r="X37">
        <f t="shared" si="23"/>
        <v>120037.19646230958</v>
      </c>
    </row>
    <row r="38" spans="1:24" x14ac:dyDescent="0.35">
      <c r="A38">
        <v>38</v>
      </c>
      <c r="C38">
        <f t="shared" si="12"/>
        <v>1959.3043478260875</v>
      </c>
      <c r="D38">
        <f t="shared" si="13"/>
        <v>97746.685829054011</v>
      </c>
      <c r="E38">
        <v>38</v>
      </c>
      <c r="G38">
        <f t="shared" si="14"/>
        <v>1959.3043478260875</v>
      </c>
      <c r="H38">
        <f t="shared" si="15"/>
        <v>104893.58823513522</v>
      </c>
      <c r="I38">
        <v>38</v>
      </c>
      <c r="K38">
        <f t="shared" si="16"/>
        <v>1783.0303030303044</v>
      </c>
      <c r="L38">
        <f t="shared" si="17"/>
        <v>80212.621006878544</v>
      </c>
      <c r="M38">
        <v>38</v>
      </c>
      <c r="O38">
        <f t="shared" si="18"/>
        <v>1783.0303030303044</v>
      </c>
      <c r="P38">
        <f t="shared" si="19"/>
        <v>110075.64683678928</v>
      </c>
      <c r="Q38">
        <v>38</v>
      </c>
      <c r="S38">
        <f t="shared" si="20"/>
        <v>112919.9999316778</v>
      </c>
      <c r="T38">
        <f t="shared" si="21"/>
        <v>96772.571089151796</v>
      </c>
      <c r="U38">
        <v>38</v>
      </c>
      <c r="W38">
        <f t="shared" si="22"/>
        <v>105706.36156073869</v>
      </c>
      <c r="X38">
        <f t="shared" si="23"/>
        <v>121154.15378202224</v>
      </c>
    </row>
    <row r="39" spans="1:24" x14ac:dyDescent="0.35">
      <c r="A39">
        <v>39</v>
      </c>
      <c r="C39">
        <f t="shared" si="12"/>
        <v>1975.0260869565222</v>
      </c>
      <c r="D39">
        <f t="shared" si="13"/>
        <v>98169.340461609419</v>
      </c>
      <c r="E39">
        <v>39</v>
      </c>
      <c r="G39">
        <f t="shared" si="14"/>
        <v>1975.0260869565222</v>
      </c>
      <c r="H39">
        <f t="shared" si="15"/>
        <v>105572.59902224794</v>
      </c>
      <c r="I39">
        <v>39</v>
      </c>
      <c r="K39">
        <f t="shared" si="16"/>
        <v>1793.9878787878802</v>
      </c>
      <c r="L39">
        <f t="shared" si="17"/>
        <v>80589.072900491214</v>
      </c>
      <c r="M39">
        <v>39</v>
      </c>
      <c r="O39">
        <f t="shared" si="18"/>
        <v>1793.9878787878802</v>
      </c>
      <c r="P39">
        <f t="shared" si="19"/>
        <v>110467.0223568847</v>
      </c>
      <c r="Q39">
        <v>39</v>
      </c>
      <c r="S39">
        <f t="shared" si="20"/>
        <v>113732.98102125933</v>
      </c>
      <c r="T39">
        <f t="shared" si="21"/>
        <v>97490.735860920919</v>
      </c>
      <c r="U39">
        <v>39</v>
      </c>
      <c r="W39">
        <f t="shared" si="22"/>
        <v>106744.76884941207</v>
      </c>
      <c r="X39">
        <f t="shared" si="23"/>
        <v>122276.88333369125</v>
      </c>
    </row>
    <row r="40" spans="1:24" x14ac:dyDescent="0.35">
      <c r="A40">
        <v>40</v>
      </c>
      <c r="C40">
        <f t="shared" si="12"/>
        <v>1990.747826086957</v>
      </c>
      <c r="D40">
        <f t="shared" si="13"/>
        <v>98589.246693851659</v>
      </c>
      <c r="E40">
        <v>40</v>
      </c>
      <c r="G40">
        <f t="shared" si="14"/>
        <v>1990.747826086957</v>
      </c>
      <c r="H40">
        <f t="shared" si="15"/>
        <v>106254.35820967384</v>
      </c>
      <c r="I40">
        <v>40</v>
      </c>
      <c r="K40">
        <f t="shared" si="16"/>
        <v>1804.945454545456</v>
      </c>
      <c r="L40">
        <f t="shared" si="17"/>
        <v>80964.652355820581</v>
      </c>
      <c r="M40">
        <v>40</v>
      </c>
      <c r="O40">
        <f t="shared" si="18"/>
        <v>1804.945454545456</v>
      </c>
      <c r="P40">
        <f t="shared" si="19"/>
        <v>110859.27031526342</v>
      </c>
      <c r="Q40">
        <v>40</v>
      </c>
      <c r="S40">
        <f t="shared" si="20"/>
        <v>114545.96211084085</v>
      </c>
      <c r="T40">
        <f t="shared" si="21"/>
        <v>98205.856569174648</v>
      </c>
      <c r="U40">
        <v>40</v>
      </c>
      <c r="W40">
        <f t="shared" si="22"/>
        <v>107783.17613808543</v>
      </c>
      <c r="X40">
        <f t="shared" si="23"/>
        <v>123405.29164863023</v>
      </c>
    </row>
    <row r="41" spans="1:24" x14ac:dyDescent="0.35">
      <c r="A41">
        <v>41</v>
      </c>
      <c r="C41">
        <f t="shared" si="12"/>
        <v>2006.4695652173918</v>
      </c>
      <c r="D41">
        <f t="shared" si="13"/>
        <v>99006.676711706808</v>
      </c>
      <c r="E41">
        <v>41</v>
      </c>
      <c r="G41">
        <f t="shared" si="14"/>
        <v>2006.4695652173918</v>
      </c>
      <c r="H41">
        <f t="shared" si="15"/>
        <v>106938.59361148682</v>
      </c>
      <c r="I41">
        <v>41</v>
      </c>
      <c r="K41">
        <f t="shared" si="16"/>
        <v>1815.9030303030318</v>
      </c>
      <c r="L41">
        <f t="shared" si="17"/>
        <v>81339.360831318714</v>
      </c>
      <c r="M41">
        <v>41</v>
      </c>
      <c r="O41">
        <f t="shared" si="18"/>
        <v>1815.9030303030318</v>
      </c>
      <c r="P41">
        <f t="shared" si="19"/>
        <v>111252.38925347337</v>
      </c>
      <c r="Q41">
        <v>41</v>
      </c>
      <c r="S41">
        <f t="shared" si="20"/>
        <v>115358.94320042236</v>
      </c>
      <c r="T41">
        <f t="shared" si="21"/>
        <v>98917.987570739424</v>
      </c>
      <c r="U41">
        <v>41</v>
      </c>
      <c r="W41">
        <f t="shared" si="22"/>
        <v>108821.58342675879</v>
      </c>
      <c r="X41">
        <f t="shared" si="23"/>
        <v>124539.28117573258</v>
      </c>
    </row>
    <row r="42" spans="1:24" x14ac:dyDescent="0.35">
      <c r="A42">
        <v>42</v>
      </c>
      <c r="C42">
        <f t="shared" si="12"/>
        <v>2022.1913043478266</v>
      </c>
      <c r="D42">
        <f t="shared" si="13"/>
        <v>99421.872121581022</v>
      </c>
      <c r="E42">
        <v>42</v>
      </c>
      <c r="G42">
        <f t="shared" si="14"/>
        <v>2022.1913043478266</v>
      </c>
      <c r="H42">
        <f t="shared" si="15"/>
        <v>107625.06362128074</v>
      </c>
      <c r="I42">
        <v>42</v>
      </c>
      <c r="K42">
        <f t="shared" si="16"/>
        <v>1826.8606060606078</v>
      </c>
      <c r="L42">
        <f t="shared" si="17"/>
        <v>81713.19993407937</v>
      </c>
      <c r="M42">
        <v>42</v>
      </c>
      <c r="O42">
        <f t="shared" si="18"/>
        <v>1826.8606060606078</v>
      </c>
      <c r="P42">
        <f t="shared" si="19"/>
        <v>111646.37756442084</v>
      </c>
      <c r="Q42">
        <v>42</v>
      </c>
      <c r="S42">
        <f t="shared" si="20"/>
        <v>116171.92429000388</v>
      </c>
      <c r="T42">
        <f t="shared" si="21"/>
        <v>99627.183537674937</v>
      </c>
      <c r="U42">
        <v>42</v>
      </c>
      <c r="W42">
        <f t="shared" si="22"/>
        <v>109859.99071543217</v>
      </c>
      <c r="X42">
        <f t="shared" si="23"/>
        <v>125678.75074467057</v>
      </c>
    </row>
    <row r="43" spans="1:24" x14ac:dyDescent="0.35">
      <c r="A43">
        <v>43</v>
      </c>
      <c r="C43">
        <f t="shared" si="12"/>
        <v>2037.9130434782614</v>
      </c>
      <c r="D43">
        <f t="shared" si="13"/>
        <v>99835.047410682324</v>
      </c>
      <c r="E43">
        <v>43</v>
      </c>
      <c r="G43">
        <f t="shared" si="14"/>
        <v>2037.9130434782614</v>
      </c>
      <c r="H43">
        <f t="shared" si="15"/>
        <v>108313.55375184758</v>
      </c>
      <c r="I43">
        <v>43</v>
      </c>
      <c r="K43">
        <f t="shared" si="16"/>
        <v>1837.8181818181836</v>
      </c>
      <c r="L43">
        <f t="shared" si="17"/>
        <v>82086.171418447528</v>
      </c>
      <c r="M43">
        <v>43</v>
      </c>
      <c r="O43">
        <f t="shared" si="18"/>
        <v>1837.8181818181836</v>
      </c>
      <c r="P43">
        <f t="shared" si="19"/>
        <v>112041.23349376077</v>
      </c>
      <c r="Q43">
        <v>43</v>
      </c>
      <c r="S43">
        <f t="shared" si="20"/>
        <v>116984.9053795854</v>
      </c>
      <c r="T43">
        <f t="shared" si="21"/>
        <v>100333.49935046872</v>
      </c>
      <c r="U43">
        <v>43</v>
      </c>
      <c r="W43">
        <f t="shared" si="22"/>
        <v>110898.39800410555</v>
      </c>
      <c r="X43">
        <f t="shared" si="23"/>
        <v>126823.59602574431</v>
      </c>
    </row>
    <row r="44" spans="1:24" x14ac:dyDescent="0.35">
      <c r="A44">
        <v>44</v>
      </c>
      <c r="C44">
        <f t="shared" si="12"/>
        <v>2053.6347826086962</v>
      </c>
      <c r="D44">
        <f t="shared" si="13"/>
        <v>100246.39309858026</v>
      </c>
      <c r="E44">
        <v>44</v>
      </c>
      <c r="G44">
        <f t="shared" si="14"/>
        <v>2053.6347826086962</v>
      </c>
      <c r="H44">
        <f t="shared" si="15"/>
        <v>109003.87348361778</v>
      </c>
      <c r="I44">
        <v>44</v>
      </c>
      <c r="K44">
        <f t="shared" si="16"/>
        <v>1848.7757575757594</v>
      </c>
      <c r="L44">
        <f t="shared" si="17"/>
        <v>82458.277184508246</v>
      </c>
      <c r="M44">
        <v>44</v>
      </c>
      <c r="O44">
        <f t="shared" si="18"/>
        <v>1848.7757575757594</v>
      </c>
      <c r="P44">
        <f t="shared" si="19"/>
        <v>112436.95514140817</v>
      </c>
      <c r="Q44">
        <v>44</v>
      </c>
      <c r="S44">
        <f t="shared" si="20"/>
        <v>117797.88646916693</v>
      </c>
      <c r="T44">
        <f t="shared" si="21"/>
        <v>101036.98999638268</v>
      </c>
      <c r="U44">
        <v>44</v>
      </c>
      <c r="W44">
        <f t="shared" si="22"/>
        <v>111936.80529277891</v>
      </c>
      <c r="X44">
        <f t="shared" si="23"/>
        <v>127973.70998244477</v>
      </c>
    </row>
    <row r="45" spans="1:24" x14ac:dyDescent="0.35">
      <c r="A45">
        <v>45</v>
      </c>
      <c r="C45">
        <f t="shared" si="12"/>
        <v>2069.356521739131</v>
      </c>
      <c r="D45">
        <f t="shared" si="13"/>
        <v>100656.07857058267</v>
      </c>
      <c r="E45">
        <v>45</v>
      </c>
      <c r="G45">
        <f t="shared" si="14"/>
        <v>2069.356521739131</v>
      </c>
      <c r="H45">
        <f t="shared" si="15"/>
        <v>109695.8534312835</v>
      </c>
      <c r="I45">
        <v>45</v>
      </c>
      <c r="K45">
        <f t="shared" si="16"/>
        <v>1859.7333333333352</v>
      </c>
      <c r="L45">
        <f t="shared" si="17"/>
        <v>82829.519276457475</v>
      </c>
      <c r="M45">
        <v>45</v>
      </c>
      <c r="O45">
        <f t="shared" si="18"/>
        <v>1859.7333333333352</v>
      </c>
      <c r="P45">
        <f t="shared" si="19"/>
        <v>112833.54046316702</v>
      </c>
      <c r="Q45">
        <v>45</v>
      </c>
      <c r="S45">
        <f t="shared" si="20"/>
        <v>118610.86755874843</v>
      </c>
      <c r="T45">
        <f t="shared" si="21"/>
        <v>101737.71047311572</v>
      </c>
      <c r="U45">
        <v>45</v>
      </c>
      <c r="W45">
        <f t="shared" si="22"/>
        <v>112975.21258145227</v>
      </c>
      <c r="X45">
        <f t="shared" si="23"/>
        <v>129128.9833131944</v>
      </c>
    </row>
    <row r="46" spans="1:24" x14ac:dyDescent="0.35">
      <c r="A46">
        <v>46</v>
      </c>
      <c r="C46">
        <f t="shared" si="12"/>
        <v>2085.0782608695658</v>
      </c>
      <c r="D46">
        <f t="shared" si="13"/>
        <v>101064.25460130545</v>
      </c>
      <c r="E46">
        <v>46</v>
      </c>
      <c r="G46">
        <f t="shared" si="14"/>
        <v>2085.0782608695658</v>
      </c>
      <c r="H46">
        <f t="shared" si="15"/>
        <v>110389.34282022885</v>
      </c>
      <c r="I46">
        <v>46</v>
      </c>
      <c r="K46">
        <f t="shared" si="16"/>
        <v>1870.690909090911</v>
      </c>
      <c r="L46">
        <f t="shared" si="17"/>
        <v>83199.899880858386</v>
      </c>
      <c r="M46">
        <v>46</v>
      </c>
      <c r="O46">
        <f t="shared" si="18"/>
        <v>1870.690909090911</v>
      </c>
      <c r="P46">
        <f t="shared" si="19"/>
        <v>113230.9872724742</v>
      </c>
      <c r="Q46">
        <v>46</v>
      </c>
      <c r="S46">
        <f t="shared" si="20"/>
        <v>119423.84864832996</v>
      </c>
      <c r="T46">
        <f t="shared" si="21"/>
        <v>102435.71569789534</v>
      </c>
      <c r="U46">
        <v>46</v>
      </c>
      <c r="W46">
        <f t="shared" si="22"/>
        <v>114013.61987012565</v>
      </c>
      <c r="X46">
        <f t="shared" si="23"/>
        <v>130289.30487915657</v>
      </c>
    </row>
    <row r="47" spans="1:24" x14ac:dyDescent="0.35">
      <c r="A47">
        <v>47</v>
      </c>
      <c r="C47">
        <f t="shared" si="12"/>
        <v>2100.8000000000006</v>
      </c>
      <c r="D47">
        <f t="shared" si="13"/>
        <v>101471.05558717383</v>
      </c>
      <c r="E47">
        <v>47</v>
      </c>
      <c r="G47">
        <f t="shared" si="14"/>
        <v>2100.8000000000006</v>
      </c>
      <c r="H47">
        <f t="shared" si="15"/>
        <v>111084.2072540286</v>
      </c>
      <c r="I47">
        <v>47</v>
      </c>
      <c r="K47">
        <f t="shared" si="16"/>
        <v>1881.6484848484868</v>
      </c>
      <c r="L47">
        <f t="shared" si="17"/>
        <v>83569.421324786454</v>
      </c>
      <c r="M47">
        <v>47</v>
      </c>
      <c r="O47">
        <f t="shared" si="18"/>
        <v>1881.6484848484868</v>
      </c>
      <c r="P47">
        <f t="shared" si="19"/>
        <v>113629.29324225425</v>
      </c>
      <c r="Q47">
        <v>47</v>
      </c>
      <c r="S47">
        <f t="shared" si="20"/>
        <v>120236.82973791148</v>
      </c>
      <c r="T47">
        <f t="shared" si="21"/>
        <v>103131.06042206351</v>
      </c>
      <c r="U47">
        <v>47</v>
      </c>
      <c r="W47">
        <f t="shared" si="22"/>
        <v>115052.02715879903</v>
      </c>
      <c r="X47">
        <f t="shared" si="23"/>
        <v>131454.5621154434</v>
      </c>
    </row>
    <row r="48" spans="1:24" x14ac:dyDescent="0.35">
      <c r="A48">
        <v>48</v>
      </c>
      <c r="C48">
        <f t="shared" si="12"/>
        <v>2116.5217391304354</v>
      </c>
      <c r="D48">
        <f t="shared" si="13"/>
        <v>101876.60151193744</v>
      </c>
      <c r="E48">
        <v>48</v>
      </c>
      <c r="G48">
        <f t="shared" si="14"/>
        <v>2116.5217391304354</v>
      </c>
      <c r="H48">
        <f t="shared" si="15"/>
        <v>111780.32674893313</v>
      </c>
      <c r="I48">
        <v>48</v>
      </c>
      <c r="K48">
        <f t="shared" si="16"/>
        <v>1892.6060606060623</v>
      </c>
      <c r="L48">
        <f t="shared" si="17"/>
        <v>83938.086073866842</v>
      </c>
      <c r="M48">
        <v>48</v>
      </c>
      <c r="O48">
        <f t="shared" si="18"/>
        <v>1892.6060606060623</v>
      </c>
      <c r="P48">
        <f t="shared" si="19"/>
        <v>114028.45590688192</v>
      </c>
      <c r="Q48">
        <v>48</v>
      </c>
      <c r="S48">
        <f t="shared" si="20"/>
        <v>121049.810827493</v>
      </c>
      <c r="T48">
        <f t="shared" si="21"/>
        <v>103823.79915117839</v>
      </c>
      <c r="U48">
        <v>48</v>
      </c>
      <c r="W48">
        <f t="shared" si="22"/>
        <v>116090.43444747239</v>
      </c>
      <c r="X48">
        <f t="shared" si="23"/>
        <v>132624.64142349426</v>
      </c>
    </row>
    <row r="49" spans="1:24" x14ac:dyDescent="0.35">
      <c r="A49">
        <v>49</v>
      </c>
      <c r="C49">
        <f t="shared" si="12"/>
        <v>2132.2434782608702</v>
      </c>
      <c r="D49">
        <f t="shared" si="13"/>
        <v>102280.9996713471</v>
      </c>
      <c r="E49">
        <v>49</v>
      </c>
      <c r="G49">
        <f t="shared" si="14"/>
        <v>2132.2434782608702</v>
      </c>
      <c r="H49">
        <f t="shared" si="15"/>
        <v>112477.5940091916</v>
      </c>
      <c r="I49">
        <v>49</v>
      </c>
      <c r="K49">
        <f t="shared" si="16"/>
        <v>1903.5636363636384</v>
      </c>
      <c r="L49">
        <f t="shared" si="17"/>
        <v>84305.896730208231</v>
      </c>
      <c r="M49">
        <v>49</v>
      </c>
      <c r="O49">
        <f t="shared" si="18"/>
        <v>1903.5636363636384</v>
      </c>
      <c r="P49">
        <f t="shared" si="19"/>
        <v>114428.47266424865</v>
      </c>
      <c r="Q49">
        <v>49</v>
      </c>
      <c r="S49">
        <f t="shared" si="20"/>
        <v>121862.79191707452</v>
      </c>
      <c r="T49">
        <f t="shared" si="21"/>
        <v>104513.98607061329</v>
      </c>
      <c r="U49">
        <v>49</v>
      </c>
      <c r="W49">
        <f t="shared" si="22"/>
        <v>117128.84173614575</v>
      </c>
      <c r="X49">
        <f t="shared" si="23"/>
        <v>133799.42854282906</v>
      </c>
    </row>
    <row r="50" spans="1:24" x14ac:dyDescent="0.35">
      <c r="A50">
        <v>50</v>
      </c>
      <c r="C50">
        <f t="shared" si="12"/>
        <v>2147.965217391305</v>
      </c>
      <c r="D50">
        <f t="shared" si="13"/>
        <v>102684.34618315232</v>
      </c>
      <c r="E50">
        <v>50</v>
      </c>
      <c r="G50">
        <f t="shared" si="14"/>
        <v>2147.965217391305</v>
      </c>
      <c r="H50">
        <f t="shared" si="15"/>
        <v>113175.91291705452</v>
      </c>
      <c r="I50">
        <v>50</v>
      </c>
      <c r="K50">
        <f t="shared" si="16"/>
        <v>1914.5212121212141</v>
      </c>
      <c r="L50">
        <f t="shared" si="17"/>
        <v>84672.856030236406</v>
      </c>
      <c r="M50">
        <v>50</v>
      </c>
      <c r="O50">
        <f t="shared" si="18"/>
        <v>1914.5212121212141</v>
      </c>
      <c r="P50">
        <f t="shared" si="19"/>
        <v>114829.34077792856</v>
      </c>
      <c r="Q50">
        <v>50</v>
      </c>
      <c r="S50">
        <f t="shared" si="20"/>
        <v>122675.77300665603</v>
      </c>
      <c r="T50">
        <f t="shared" si="21"/>
        <v>105201.67497659894</v>
      </c>
      <c r="U50">
        <v>50</v>
      </c>
      <c r="W50">
        <f t="shared" si="22"/>
        <v>118167.24902481912</v>
      </c>
      <c r="X50">
        <f t="shared" si="23"/>
        <v>134978.80890079844</v>
      </c>
    </row>
    <row r="51" spans="1:24" x14ac:dyDescent="0.35">
      <c r="A51">
        <v>51</v>
      </c>
      <c r="C51">
        <f t="shared" si="12"/>
        <v>2163.6869565217398</v>
      </c>
      <c r="D51">
        <f t="shared" si="13"/>
        <v>103086.72730737035</v>
      </c>
      <c r="E51">
        <v>51</v>
      </c>
      <c r="G51">
        <f t="shared" si="14"/>
        <v>2163.6869565217398</v>
      </c>
      <c r="H51">
        <f t="shared" si="15"/>
        <v>113875.19721250462</v>
      </c>
      <c r="I51">
        <v>51</v>
      </c>
      <c r="K51">
        <f t="shared" si="16"/>
        <v>1925.4787878787899</v>
      </c>
      <c r="L51">
        <f t="shared" si="17"/>
        <v>85038.966842432419</v>
      </c>
      <c r="M51">
        <v>51</v>
      </c>
      <c r="O51">
        <f t="shared" si="18"/>
        <v>1925.4787878787899</v>
      </c>
      <c r="P51">
        <f t="shared" si="19"/>
        <v>115231.05737944064</v>
      </c>
      <c r="Q51">
        <v>51</v>
      </c>
      <c r="S51">
        <f t="shared" si="20"/>
        <v>123488.75409623755</v>
      </c>
      <c r="T51">
        <f t="shared" si="21"/>
        <v>105886.91921262266</v>
      </c>
      <c r="U51">
        <v>51</v>
      </c>
      <c r="W51">
        <f t="shared" si="22"/>
        <v>119205.65631349249</v>
      </c>
      <c r="X51">
        <f t="shared" si="23"/>
        <v>136162.66793934672</v>
      </c>
    </row>
    <row r="52" spans="1:24" x14ac:dyDescent="0.35">
      <c r="A52">
        <v>52</v>
      </c>
      <c r="C52">
        <f t="shared" si="12"/>
        <v>2179.4086956521746</v>
      </c>
      <c r="D52">
        <f t="shared" si="13"/>
        <v>103488.22059990972</v>
      </c>
      <c r="E52">
        <v>52</v>
      </c>
      <c r="G52">
        <f t="shared" si="14"/>
        <v>2179.4086956521746</v>
      </c>
      <c r="H52">
        <f t="shared" si="15"/>
        <v>114575.36933963338</v>
      </c>
      <c r="I52">
        <v>52</v>
      </c>
      <c r="K52">
        <f t="shared" si="16"/>
        <v>1936.4363636363657</v>
      </c>
      <c r="L52">
        <f t="shared" si="17"/>
        <v>85404.232164979068</v>
      </c>
      <c r="M52">
        <v>52</v>
      </c>
      <c r="O52">
        <f t="shared" si="18"/>
        <v>1936.4363636363657</v>
      </c>
      <c r="P52">
        <f t="shared" si="19"/>
        <v>115633.61947060211</v>
      </c>
      <c r="Q52">
        <v>52</v>
      </c>
      <c r="S52">
        <f t="shared" si="20"/>
        <v>124301.73518581907</v>
      </c>
      <c r="T52">
        <f t="shared" si="21"/>
        <v>106569.77161107086</v>
      </c>
      <c r="U52">
        <v>52</v>
      </c>
      <c r="W52">
        <f t="shared" si="22"/>
        <v>120244.06360216587</v>
      </c>
      <c r="X52">
        <f t="shared" si="23"/>
        <v>137350.89141816719</v>
      </c>
    </row>
    <row r="53" spans="1:24" x14ac:dyDescent="0.35">
      <c r="A53">
        <v>53</v>
      </c>
      <c r="C53">
        <f t="shared" si="12"/>
        <v>2195.1304347826094</v>
      </c>
      <c r="D53">
        <f t="shared" si="13"/>
        <v>103888.89592046407</v>
      </c>
      <c r="E53">
        <v>53</v>
      </c>
      <c r="G53">
        <f t="shared" si="14"/>
        <v>2195.1304347826094</v>
      </c>
      <c r="H53">
        <f t="shared" si="15"/>
        <v>115276.35943874717</v>
      </c>
      <c r="I53">
        <v>53</v>
      </c>
      <c r="K53">
        <f t="shared" si="16"/>
        <v>1947.3939393939415</v>
      </c>
      <c r="L53">
        <f t="shared" si="17"/>
        <v>85768.655123320103</v>
      </c>
      <c r="M53">
        <v>53</v>
      </c>
      <c r="O53">
        <f t="shared" si="18"/>
        <v>1947.3939393939415</v>
      </c>
      <c r="P53">
        <f t="shared" si="19"/>
        <v>116037.02392596916</v>
      </c>
      <c r="Q53">
        <v>53</v>
      </c>
      <c r="S53">
        <f t="shared" si="20"/>
        <v>125114.7162754006</v>
      </c>
      <c r="T53">
        <f t="shared" si="21"/>
        <v>107250.28443997657</v>
      </c>
      <c r="U53">
        <v>53</v>
      </c>
      <c r="W53">
        <f t="shared" si="22"/>
        <v>121282.47089083923</v>
      </c>
      <c r="X53">
        <f t="shared" si="23"/>
        <v>138543.36569396339</v>
      </c>
    </row>
    <row r="54" spans="1:24" x14ac:dyDescent="0.35">
      <c r="A54">
        <v>54</v>
      </c>
      <c r="C54">
        <f t="shared" si="12"/>
        <v>2210.8521739130442</v>
      </c>
      <c r="D54">
        <f t="shared" si="13"/>
        <v>104288.81631335591</v>
      </c>
      <c r="E54">
        <v>54</v>
      </c>
      <c r="G54">
        <f t="shared" si="14"/>
        <v>2210.8521739130442</v>
      </c>
      <c r="H54">
        <f t="shared" si="15"/>
        <v>115978.10446552346</v>
      </c>
      <c r="I54">
        <v>54</v>
      </c>
      <c r="K54">
        <f t="shared" si="16"/>
        <v>1958.3515151515173</v>
      </c>
      <c r="L54">
        <f t="shared" si="17"/>
        <v>86132.238967637022</v>
      </c>
      <c r="M54">
        <v>54</v>
      </c>
      <c r="O54">
        <f t="shared" si="18"/>
        <v>1958.3515151515173</v>
      </c>
      <c r="P54">
        <f t="shared" si="19"/>
        <v>116441.26749536033</v>
      </c>
      <c r="Q54">
        <v>54</v>
      </c>
      <c r="S54">
        <f t="shared" si="20"/>
        <v>125927.6973649821</v>
      </c>
      <c r="T54">
        <f t="shared" si="21"/>
        <v>107928.50935471388</v>
      </c>
      <c r="U54">
        <v>54</v>
      </c>
      <c r="W54">
        <f t="shared" si="22"/>
        <v>122320.8781795126</v>
      </c>
      <c r="X54">
        <f t="shared" si="23"/>
        <v>139739.97797582712</v>
      </c>
    </row>
    <row r="55" spans="1:24" x14ac:dyDescent="0.35">
      <c r="A55">
        <v>55</v>
      </c>
      <c r="C55">
        <f t="shared" si="12"/>
        <v>2226.573913043479</v>
      </c>
      <c r="D55">
        <f t="shared" si="13"/>
        <v>104688.03877783932</v>
      </c>
      <c r="E55">
        <v>55</v>
      </c>
      <c r="G55">
        <f t="shared" si="14"/>
        <v>2226.573913043479</v>
      </c>
      <c r="H55">
        <f t="shared" si="15"/>
        <v>116680.54742070819</v>
      </c>
      <c r="I55">
        <v>55</v>
      </c>
      <c r="K55">
        <f t="shared" si="16"/>
        <v>1969.3090909090931</v>
      </c>
      <c r="L55">
        <f t="shared" si="17"/>
        <v>86494.987070247444</v>
      </c>
      <c r="M55">
        <v>55</v>
      </c>
      <c r="O55">
        <f t="shared" si="18"/>
        <v>1969.3090909090931</v>
      </c>
      <c r="P55">
        <f t="shared" si="19"/>
        <v>116846.34680645799</v>
      </c>
      <c r="Q55">
        <v>55</v>
      </c>
      <c r="S55">
        <f t="shared" si="20"/>
        <v>126740.67845456363</v>
      </c>
      <c r="T55">
        <f t="shared" si="21"/>
        <v>108604.49735446394</v>
      </c>
      <c r="U55">
        <v>55</v>
      </c>
      <c r="W55">
        <f t="shared" si="22"/>
        <v>123359.28546818598</v>
      </c>
      <c r="X55">
        <f t="shared" si="23"/>
        <v>140940.61655700437</v>
      </c>
    </row>
    <row r="56" spans="1:24" x14ac:dyDescent="0.35">
      <c r="A56">
        <v>56</v>
      </c>
      <c r="C56">
        <f t="shared" si="12"/>
        <v>2242.2956521739138</v>
      </c>
      <c r="D56">
        <f t="shared" si="13"/>
        <v>105086.61494234366</v>
      </c>
      <c r="E56">
        <v>56</v>
      </c>
      <c r="G56">
        <f t="shared" si="14"/>
        <v>2242.2956521739138</v>
      </c>
      <c r="H56">
        <f t="shared" si="15"/>
        <v>117383.63667587198</v>
      </c>
      <c r="I56">
        <v>56</v>
      </c>
      <c r="K56">
        <f t="shared" si="16"/>
        <v>1980.2666666666689</v>
      </c>
      <c r="L56">
        <f t="shared" si="17"/>
        <v>86856.902922930123</v>
      </c>
      <c r="M56">
        <v>56</v>
      </c>
      <c r="O56">
        <f t="shared" si="18"/>
        <v>1980.2666666666689</v>
      </c>
      <c r="P56">
        <f t="shared" si="19"/>
        <v>117252.2583674834</v>
      </c>
      <c r="Q56">
        <v>56</v>
      </c>
      <c r="S56">
        <f t="shared" si="20"/>
        <v>127553.65954414515</v>
      </c>
      <c r="T56">
        <f t="shared" si="21"/>
        <v>109278.29874326347</v>
      </c>
      <c r="U56">
        <v>56</v>
      </c>
      <c r="W56">
        <f t="shared" si="22"/>
        <v>124397.69275685935</v>
      </c>
      <c r="X56">
        <f t="shared" si="23"/>
        <v>142145.17102354791</v>
      </c>
    </row>
    <row r="57" spans="1:24" x14ac:dyDescent="0.35">
      <c r="A57">
        <v>57</v>
      </c>
      <c r="C57">
        <f t="shared" si="12"/>
        <v>2258.0173913043486</v>
      </c>
      <c r="D57">
        <f t="shared" si="13"/>
        <v>105484.59165529326</v>
      </c>
      <c r="E57">
        <v>57</v>
      </c>
      <c r="G57">
        <f t="shared" si="14"/>
        <v>2258.0173913043486</v>
      </c>
      <c r="H57">
        <f t="shared" si="15"/>
        <v>118087.32538259051</v>
      </c>
      <c r="I57">
        <v>57</v>
      </c>
      <c r="K57">
        <f t="shared" si="16"/>
        <v>1991.2242424242447</v>
      </c>
      <c r="L57">
        <f t="shared" si="17"/>
        <v>87217.990134181266</v>
      </c>
      <c r="M57">
        <v>57</v>
      </c>
      <c r="O57">
        <f t="shared" si="18"/>
        <v>1991.2242424242447</v>
      </c>
      <c r="P57">
        <f t="shared" si="19"/>
        <v>117658.99856994038</v>
      </c>
      <c r="Q57">
        <v>57</v>
      </c>
      <c r="S57">
        <f t="shared" si="20"/>
        <v>128366.64063372667</v>
      </c>
      <c r="T57">
        <f t="shared" si="21"/>
        <v>109949.9630954368</v>
      </c>
      <c r="U57">
        <v>57</v>
      </c>
      <c r="W57">
        <f t="shared" si="22"/>
        <v>125436.10004553272</v>
      </c>
      <c r="X57">
        <f t="shared" si="23"/>
        <v>143353.53244054277</v>
      </c>
    </row>
    <row r="58" spans="1:24" x14ac:dyDescent="0.35">
      <c r="A58">
        <v>58</v>
      </c>
      <c r="C58">
        <f t="shared" si="12"/>
        <v>2273.7391304347834</v>
      </c>
      <c r="D58">
        <f t="shared" si="13"/>
        <v>105882.01150348425</v>
      </c>
      <c r="E58">
        <v>58</v>
      </c>
      <c r="G58">
        <f t="shared" si="14"/>
        <v>2273.7391304347834</v>
      </c>
      <c r="H58">
        <f t="shared" si="15"/>
        <v>118791.57095406763</v>
      </c>
      <c r="I58">
        <v>58</v>
      </c>
      <c r="K58">
        <f t="shared" si="16"/>
        <v>2002.1818181818205</v>
      </c>
      <c r="L58">
        <f t="shared" si="17"/>
        <v>87578.252426406616</v>
      </c>
      <c r="M58">
        <v>58</v>
      </c>
      <c r="O58">
        <f t="shared" si="18"/>
        <v>2002.1818181818205</v>
      </c>
      <c r="P58">
        <f t="shared" si="19"/>
        <v>118066.56369142311</v>
      </c>
      <c r="Q58">
        <v>58</v>
      </c>
      <c r="S58">
        <f t="shared" si="20"/>
        <v>129179.62172330818</v>
      </c>
      <c r="T58">
        <f t="shared" si="21"/>
        <v>110619.53922520339</v>
      </c>
      <c r="U58">
        <v>58</v>
      </c>
      <c r="W58">
        <f t="shared" si="22"/>
        <v>126474.50733420608</v>
      </c>
      <c r="X58">
        <f t="shared" si="23"/>
        <v>144565.59351674834</v>
      </c>
    </row>
    <row r="59" spans="1:24" x14ac:dyDescent="0.35">
      <c r="A59">
        <v>59</v>
      </c>
      <c r="C59">
        <f t="shared" si="12"/>
        <v>2289.4608695652182</v>
      </c>
      <c r="D59">
        <f t="shared" si="13"/>
        <v>106278.91326753653</v>
      </c>
      <c r="E59">
        <v>59</v>
      </c>
      <c r="G59">
        <f t="shared" si="14"/>
        <v>2289.4608695652182</v>
      </c>
      <c r="H59">
        <f t="shared" si="15"/>
        <v>119496.33460968349</v>
      </c>
      <c r="I59">
        <v>59</v>
      </c>
      <c r="K59">
        <f t="shared" si="16"/>
        <v>2013.1393939393963</v>
      </c>
      <c r="L59">
        <f t="shared" si="17"/>
        <v>87937.693633054601</v>
      </c>
      <c r="M59">
        <v>59</v>
      </c>
      <c r="O59">
        <f t="shared" si="18"/>
        <v>2013.1393939393963</v>
      </c>
      <c r="P59">
        <f t="shared" si="19"/>
        <v>118474.94989848322</v>
      </c>
      <c r="Q59">
        <v>59</v>
      </c>
      <c r="S59">
        <f t="shared" si="20"/>
        <v>129992.6028128897</v>
      </c>
      <c r="T59">
        <f t="shared" si="21"/>
        <v>111287.07516024863</v>
      </c>
      <c r="U59">
        <v>59</v>
      </c>
      <c r="W59">
        <f t="shared" si="22"/>
        <v>127512.91462287946</v>
      </c>
      <c r="X59">
        <f t="shared" si="23"/>
        <v>145781.24874862365</v>
      </c>
    </row>
    <row r="60" spans="1:24" x14ac:dyDescent="0.35">
      <c r="A60">
        <v>60</v>
      </c>
      <c r="C60">
        <f t="shared" si="12"/>
        <v>2305.182608695653</v>
      </c>
      <c r="D60">
        <f t="shared" si="13"/>
        <v>106675.33232265644</v>
      </c>
      <c r="E60">
        <v>60</v>
      </c>
      <c r="G60">
        <f t="shared" si="14"/>
        <v>2305.182608695653</v>
      </c>
      <c r="H60">
        <f t="shared" si="15"/>
        <v>120201.58097423171</v>
      </c>
      <c r="I60">
        <v>60</v>
      </c>
      <c r="K60">
        <f t="shared" si="16"/>
        <v>2024.0969696969721</v>
      </c>
      <c r="L60">
        <f t="shared" si="17"/>
        <v>88296.317695694946</v>
      </c>
      <c r="M60">
        <v>60</v>
      </c>
      <c r="O60">
        <f t="shared" si="18"/>
        <v>2024.0969696969721</v>
      </c>
      <c r="P60">
        <f t="shared" si="19"/>
        <v>118884.15324955096</v>
      </c>
      <c r="Q60">
        <v>60</v>
      </c>
      <c r="S60">
        <f t="shared" si="20"/>
        <v>130805.58390247123</v>
      </c>
      <c r="T60">
        <f t="shared" si="21"/>
        <v>111952.61811904228</v>
      </c>
      <c r="U60">
        <v>60</v>
      </c>
      <c r="W60">
        <f t="shared" si="22"/>
        <v>128551.32191155283</v>
      </c>
      <c r="X60">
        <f t="shared" si="23"/>
        <v>147000.39454479734</v>
      </c>
    </row>
    <row r="61" spans="1:24" x14ac:dyDescent="0.35">
      <c r="A61">
        <v>61</v>
      </c>
      <c r="C61">
        <f t="shared" si="12"/>
        <v>2320.9043478260878</v>
      </c>
      <c r="D61">
        <f t="shared" si="13"/>
        <v>107071.30099182825</v>
      </c>
      <c r="E61">
        <v>61</v>
      </c>
      <c r="G61">
        <f t="shared" si="14"/>
        <v>2320.9043478260878</v>
      </c>
      <c r="H61">
        <f t="shared" si="15"/>
        <v>120907.27772472803</v>
      </c>
      <c r="I61">
        <v>61</v>
      </c>
      <c r="K61">
        <f t="shared" si="16"/>
        <v>2035.0545454545479</v>
      </c>
      <c r="L61">
        <f t="shared" si="17"/>
        <v>88654.128661047798</v>
      </c>
      <c r="M61">
        <v>61</v>
      </c>
      <c r="O61">
        <f t="shared" si="18"/>
        <v>2035.0545454545479</v>
      </c>
      <c r="P61">
        <f t="shared" si="19"/>
        <v>119294.16969790623</v>
      </c>
      <c r="Q61">
        <v>61</v>
      </c>
      <c r="S61">
        <f t="shared" si="20"/>
        <v>131618.56499205274</v>
      </c>
      <c r="T61">
        <f t="shared" si="21"/>
        <v>112616.21449168769</v>
      </c>
      <c r="U61">
        <v>61</v>
      </c>
      <c r="W61">
        <f t="shared" si="22"/>
        <v>129589.7292002262</v>
      </c>
      <c r="X61">
        <f t="shared" si="23"/>
        <v>148222.92933211109</v>
      </c>
    </row>
    <row r="62" spans="1:24" x14ac:dyDescent="0.35">
      <c r="A62">
        <v>62</v>
      </c>
      <c r="C62">
        <f t="shared" si="12"/>
        <v>2336.6260869565226</v>
      </c>
      <c r="D62">
        <f t="shared" si="13"/>
        <v>107466.84885758316</v>
      </c>
      <c r="E62">
        <v>62</v>
      </c>
      <c r="G62">
        <f t="shared" si="14"/>
        <v>2336.6260869565226</v>
      </c>
      <c r="H62">
        <f t="shared" si="15"/>
        <v>121613.39527864126</v>
      </c>
      <c r="I62">
        <v>62</v>
      </c>
      <c r="K62">
        <f t="shared" si="16"/>
        <v>2046.0121212121237</v>
      </c>
      <c r="L62">
        <f t="shared" si="17"/>
        <v>89011.130677968104</v>
      </c>
      <c r="M62">
        <v>62</v>
      </c>
      <c r="O62">
        <f t="shared" si="18"/>
        <v>2046.0121212121237</v>
      </c>
      <c r="P62">
        <f t="shared" si="19"/>
        <v>119704.99509469401</v>
      </c>
      <c r="Q62">
        <v>62</v>
      </c>
      <c r="S62">
        <f t="shared" si="20"/>
        <v>132431.54608163427</v>
      </c>
      <c r="T62">
        <f t="shared" si="21"/>
        <v>113277.90982408612</v>
      </c>
      <c r="U62">
        <v>62</v>
      </c>
      <c r="W62">
        <f t="shared" si="22"/>
        <v>130628.13648889956</v>
      </c>
      <c r="X62">
        <f t="shared" si="23"/>
        <v>149448.75364440912</v>
      </c>
    </row>
    <row r="63" spans="1:24" x14ac:dyDescent="0.35">
      <c r="A63">
        <v>63</v>
      </c>
      <c r="C63">
        <f t="shared" si="12"/>
        <v>2352.3478260869574</v>
      </c>
      <c r="D63">
        <f t="shared" si="13"/>
        <v>107862.0030376581</v>
      </c>
      <c r="E63">
        <v>63</v>
      </c>
      <c r="G63">
        <f t="shared" si="14"/>
        <v>2352.3478260869574</v>
      </c>
      <c r="H63">
        <f t="shared" si="15"/>
        <v>122319.90651823445</v>
      </c>
      <c r="I63">
        <v>63</v>
      </c>
      <c r="K63">
        <f t="shared" si="16"/>
        <v>2056.9696969696997</v>
      </c>
      <c r="L63">
        <f t="shared" si="17"/>
        <v>89367.327994390347</v>
      </c>
      <c r="M63">
        <v>63</v>
      </c>
      <c r="O63">
        <f t="shared" si="18"/>
        <v>2056.9696969696997</v>
      </c>
      <c r="P63">
        <f t="shared" si="19"/>
        <v>120116.62519197988</v>
      </c>
      <c r="Q63">
        <v>63</v>
      </c>
      <c r="S63">
        <f t="shared" si="20"/>
        <v>133244.5271712158</v>
      </c>
      <c r="T63">
        <f t="shared" si="21"/>
        <v>113937.74880520244</v>
      </c>
      <c r="U63">
        <v>63</v>
      </c>
      <c r="W63">
        <f t="shared" si="22"/>
        <v>131666.54377757292</v>
      </c>
      <c r="X63">
        <f t="shared" si="23"/>
        <v>150677.77019526859</v>
      </c>
    </row>
    <row r="64" spans="1:24" x14ac:dyDescent="0.35">
      <c r="A64">
        <v>64</v>
      </c>
      <c r="C64">
        <f t="shared" si="12"/>
        <v>2368.0695652173922</v>
      </c>
      <c r="D64">
        <f t="shared" si="13"/>
        <v>108256.7884291332</v>
      </c>
      <c r="E64">
        <v>64</v>
      </c>
      <c r="G64">
        <f t="shared" si="14"/>
        <v>2368.0695652173922</v>
      </c>
      <c r="H64">
        <f t="shared" si="15"/>
        <v>123026.78654642748</v>
      </c>
      <c r="I64">
        <v>64</v>
      </c>
      <c r="K64">
        <f t="shared" si="16"/>
        <v>2067.9272727272755</v>
      </c>
      <c r="L64">
        <f t="shared" si="17"/>
        <v>89722.72495423787</v>
      </c>
      <c r="M64">
        <v>64</v>
      </c>
      <c r="O64">
        <f t="shared" si="18"/>
        <v>2067.9272727272755</v>
      </c>
      <c r="P64">
        <f t="shared" si="19"/>
        <v>120529.05564584045</v>
      </c>
      <c r="Q64">
        <v>64</v>
      </c>
      <c r="S64">
        <f t="shared" si="20"/>
        <v>134057.5082607973</v>
      </c>
      <c r="T64">
        <f t="shared" si="21"/>
        <v>114595.77525722289</v>
      </c>
      <c r="U64">
        <v>64</v>
      </c>
      <c r="W64">
        <f t="shared" si="22"/>
        <v>132704.95106624631</v>
      </c>
      <c r="X64">
        <f t="shared" si="23"/>
        <v>151909.88393587022</v>
      </c>
    </row>
    <row r="65" spans="1:24" x14ac:dyDescent="0.35">
      <c r="A65">
        <v>65</v>
      </c>
      <c r="C65">
        <f t="shared" ref="C65:C70" si="24">1377.6+(A65-1)*15.7217391304348</f>
        <v>2383.791304347827</v>
      </c>
      <c r="D65">
        <f t="shared" ref="D65:D70" si="25">32673.219897243+35.0363725834721*C65-14729.0370242134*(0.0238095238095238+(C65-1695.2619047619)^2/1989034.11904762)^0.5</f>
        <v>108651.22792501654</v>
      </c>
      <c r="E65">
        <v>65</v>
      </c>
      <c r="G65">
        <f t="shared" ref="G65:G70" si="26">1377.6+(E65-1)*15.7217391304348</f>
        <v>2383.791304347827</v>
      </c>
      <c r="H65">
        <f t="shared" ref="H65:H70" si="27">32673.219897243+35.0363725834721*G65+14729.0370242134*(0.0238095238095238+(G65-1695.2619047619)^2/1989034.11904762)^0.5</f>
        <v>123734.01247021227</v>
      </c>
      <c r="I65">
        <v>65</v>
      </c>
      <c r="K65">
        <f t="shared" ref="K65:K100" si="28">1377.6+(I65-1)*10.9575757575758</f>
        <v>2078.8848484848513</v>
      </c>
      <c r="L65">
        <f t="shared" ref="L65:L96" si="29">32673.219897243+35.0363725834721*K65-14729.0370242134*(1.02380952380952+(K65-1695.2619047619)^2/1989034.11904762)^0.5</f>
        <v>90077.325994302257</v>
      </c>
      <c r="M65">
        <v>65</v>
      </c>
      <c r="O65">
        <f t="shared" ref="O65:O100" si="30">1377.6+(M65-1)*10.9575757575758</f>
        <v>2078.8848484848513</v>
      </c>
      <c r="P65">
        <f t="shared" ref="P65:P96" si="31">32673.219897243+35.0363725834721*O65+14729.0370242134*(1.02380952380952+(O65-1695.2619047619)^2/1989034.11904762)^0.5</f>
        <v>120942.28201948415</v>
      </c>
      <c r="Q65">
        <v>65</v>
      </c>
      <c r="S65">
        <f t="shared" ref="S65:S70" si="32">82839.6996171616+(Q65-1)*812.981089581519</f>
        <v>134870.4893503788</v>
      </c>
      <c r="T65">
        <f t="shared" ref="T65:T70" si="33">0+1*S65-14729.0370242134*(1.02380952380952+(S65-92069.0476190476)^2/2441633668.92218)^0.5</f>
        <v>115252.0321283995</v>
      </c>
      <c r="U65">
        <v>65</v>
      </c>
      <c r="W65">
        <f t="shared" ref="W65:W70" si="34">67285.291879824+(U65-1)*1038.40728867337</f>
        <v>133743.35835491968</v>
      </c>
      <c r="X65">
        <f t="shared" ref="X65:X70" si="35">0+1*W65+14729.0370242134*(1.02380952380952+(W65-92069.0476190476)^2/2441633668.92218)^0.5</f>
        <v>153145.0020991975</v>
      </c>
    </row>
    <row r="66" spans="1:24" x14ac:dyDescent="0.35">
      <c r="A66">
        <v>66</v>
      </c>
      <c r="C66">
        <f t="shared" si="24"/>
        <v>2399.5130434782618</v>
      </c>
      <c r="D66">
        <f t="shared" si="25"/>
        <v>109045.3426067088</v>
      </c>
      <c r="E66">
        <v>66</v>
      </c>
      <c r="G66">
        <f t="shared" si="26"/>
        <v>2399.5130434782618</v>
      </c>
      <c r="H66">
        <f t="shared" si="27"/>
        <v>124441.56320818815</v>
      </c>
      <c r="I66">
        <v>66</v>
      </c>
      <c r="K66">
        <f t="shared" si="28"/>
        <v>2089.8424242424271</v>
      </c>
      <c r="L66">
        <f t="shared" si="29"/>
        <v>90431.1356410968</v>
      </c>
      <c r="M66">
        <v>66</v>
      </c>
      <c r="O66">
        <f t="shared" si="30"/>
        <v>2089.8424242424271</v>
      </c>
      <c r="P66">
        <f t="shared" si="31"/>
        <v>121356.29978639769</v>
      </c>
      <c r="Q66">
        <v>66</v>
      </c>
      <c r="S66">
        <f t="shared" si="32"/>
        <v>135683.47043996034</v>
      </c>
      <c r="T66">
        <f t="shared" si="33"/>
        <v>115906.56148838236</v>
      </c>
      <c r="U66">
        <v>66</v>
      </c>
      <c r="W66">
        <f t="shared" si="34"/>
        <v>134781.76564359304</v>
      </c>
      <c r="X66">
        <f t="shared" si="35"/>
        <v>154383.03423172864</v>
      </c>
    </row>
    <row r="67" spans="1:24" x14ac:dyDescent="0.35">
      <c r="A67">
        <v>67</v>
      </c>
      <c r="C67">
        <f t="shared" si="24"/>
        <v>2415.2347826086971</v>
      </c>
      <c r="D67">
        <f t="shared" si="25"/>
        <v>109439.1519153214</v>
      </c>
      <c r="E67">
        <v>67</v>
      </c>
      <c r="G67">
        <f t="shared" si="26"/>
        <v>2415.2347826086971</v>
      </c>
      <c r="H67">
        <f t="shared" si="27"/>
        <v>125149.41931924371</v>
      </c>
      <c r="I67">
        <v>67</v>
      </c>
      <c r="K67">
        <f t="shared" si="28"/>
        <v>2100.8000000000029</v>
      </c>
      <c r="L67">
        <f t="shared" si="29"/>
        <v>90784.158507689324</v>
      </c>
      <c r="M67">
        <v>67</v>
      </c>
      <c r="O67">
        <f t="shared" si="30"/>
        <v>2100.8000000000029</v>
      </c>
      <c r="P67">
        <f t="shared" si="31"/>
        <v>121771.10433351326</v>
      </c>
      <c r="Q67">
        <v>67</v>
      </c>
      <c r="S67">
        <f t="shared" si="32"/>
        <v>136496.45152954187</v>
      </c>
      <c r="T67">
        <f t="shared" si="33"/>
        <v>116559.40452584704</v>
      </c>
      <c r="U67">
        <v>67</v>
      </c>
      <c r="W67">
        <f t="shared" si="34"/>
        <v>135820.17293226643</v>
      </c>
      <c r="X67">
        <f t="shared" si="35"/>
        <v>155623.89221375066</v>
      </c>
    </row>
    <row r="68" spans="1:24" x14ac:dyDescent="0.35">
      <c r="A68">
        <v>68</v>
      </c>
      <c r="C68">
        <f t="shared" si="24"/>
        <v>2430.9565217391319</v>
      </c>
      <c r="D68">
        <f t="shared" si="25"/>
        <v>109832.6738044261</v>
      </c>
      <c r="E68">
        <v>68</v>
      </c>
      <c r="G68">
        <f t="shared" si="26"/>
        <v>2430.9565217391319</v>
      </c>
      <c r="H68">
        <f t="shared" si="27"/>
        <v>125857.56284980715</v>
      </c>
      <c r="I68">
        <v>68</v>
      </c>
      <c r="K68">
        <f t="shared" si="28"/>
        <v>2111.7575757575787</v>
      </c>
      <c r="L68">
        <f t="shared" si="29"/>
        <v>91136.399290518413</v>
      </c>
      <c r="M68">
        <v>68</v>
      </c>
      <c r="O68">
        <f t="shared" si="30"/>
        <v>2111.7575757575787</v>
      </c>
      <c r="P68">
        <f t="shared" si="31"/>
        <v>122186.69096439228</v>
      </c>
      <c r="Q68">
        <v>68</v>
      </c>
      <c r="S68">
        <f t="shared" si="32"/>
        <v>137309.43261912337</v>
      </c>
      <c r="T68">
        <f t="shared" si="33"/>
        <v>117210.60154823204</v>
      </c>
      <c r="U68">
        <v>68</v>
      </c>
      <c r="W68">
        <f t="shared" si="34"/>
        <v>136858.58022093977</v>
      </c>
      <c r="X68">
        <f t="shared" si="35"/>
        <v>156867.49026938248</v>
      </c>
    </row>
    <row r="69" spans="1:24" x14ac:dyDescent="0.35">
      <c r="A69">
        <v>69</v>
      </c>
      <c r="C69">
        <f t="shared" si="24"/>
        <v>2446.6782608695667</v>
      </c>
      <c r="D69">
        <f t="shared" si="25"/>
        <v>110225.9248764738</v>
      </c>
      <c r="E69">
        <v>69</v>
      </c>
      <c r="G69">
        <f t="shared" si="26"/>
        <v>2446.6782608695667</v>
      </c>
      <c r="H69">
        <f t="shared" si="27"/>
        <v>126565.97719742758</v>
      </c>
      <c r="I69">
        <v>69</v>
      </c>
      <c r="K69">
        <f t="shared" si="28"/>
        <v>2122.7151515151545</v>
      </c>
      <c r="L69">
        <f t="shared" si="29"/>
        <v>91487.862766197766</v>
      </c>
      <c r="M69">
        <v>69</v>
      </c>
      <c r="O69">
        <f t="shared" si="30"/>
        <v>2122.7151515151545</v>
      </c>
      <c r="P69">
        <f t="shared" si="31"/>
        <v>122603.05490242102</v>
      </c>
      <c r="Q69">
        <v>69</v>
      </c>
      <c r="S69">
        <f t="shared" si="32"/>
        <v>138122.4137087049</v>
      </c>
      <c r="T69">
        <f t="shared" si="33"/>
        <v>117860.19198340845</v>
      </c>
      <c r="U69">
        <v>69</v>
      </c>
      <c r="W69">
        <f t="shared" si="34"/>
        <v>137896.98750961316</v>
      </c>
      <c r="X69">
        <f t="shared" si="35"/>
        <v>158113.744967345</v>
      </c>
    </row>
    <row r="70" spans="1:24" x14ac:dyDescent="0.35">
      <c r="A70">
        <v>70</v>
      </c>
      <c r="C70">
        <f t="shared" si="24"/>
        <v>2462.4000000000015</v>
      </c>
      <c r="D70">
        <f t="shared" si="25"/>
        <v>110618.9205048279</v>
      </c>
      <c r="E70">
        <v>70</v>
      </c>
      <c r="G70">
        <f t="shared" si="26"/>
        <v>2462.4000000000015</v>
      </c>
      <c r="H70">
        <f t="shared" si="27"/>
        <v>127274.64698874162</v>
      </c>
      <c r="I70">
        <v>70</v>
      </c>
      <c r="K70">
        <f t="shared" si="28"/>
        <v>2133.6727272727303</v>
      </c>
      <c r="L70">
        <f t="shared" si="29"/>
        <v>91838.553788313351</v>
      </c>
      <c r="M70">
        <v>70</v>
      </c>
      <c r="O70">
        <f t="shared" si="30"/>
        <v>2133.6727272727303</v>
      </c>
      <c r="P70">
        <f t="shared" si="31"/>
        <v>123020.19129401352</v>
      </c>
      <c r="Q70">
        <v>70</v>
      </c>
      <c r="S70">
        <f t="shared" si="32"/>
        <v>138935.3947982864</v>
      </c>
      <c r="T70">
        <f t="shared" si="33"/>
        <v>118508.21438311206</v>
      </c>
      <c r="U70">
        <v>70</v>
      </c>
      <c r="W70">
        <f t="shared" si="34"/>
        <v>138935.39479828652</v>
      </c>
      <c r="X70">
        <f t="shared" si="35"/>
        <v>159362.57521346089</v>
      </c>
    </row>
    <row r="71" spans="1:24" x14ac:dyDescent="0.35">
      <c r="I71">
        <v>71</v>
      </c>
      <c r="K71">
        <f t="shared" si="28"/>
        <v>2144.6303030303061</v>
      </c>
      <c r="L71">
        <f t="shared" si="29"/>
        <v>92188.477284217006</v>
      </c>
      <c r="M71">
        <v>71</v>
      </c>
      <c r="O71">
        <f t="shared" si="30"/>
        <v>2144.6303030303061</v>
      </c>
      <c r="P71">
        <f t="shared" si="31"/>
        <v>123438.09521181796</v>
      </c>
    </row>
    <row r="72" spans="1:24" x14ac:dyDescent="0.35">
      <c r="I72">
        <v>72</v>
      </c>
      <c r="K72">
        <f t="shared" si="28"/>
        <v>2155.5878787878819</v>
      </c>
      <c r="L72">
        <f t="shared" si="29"/>
        <v>92537.63825182138</v>
      </c>
      <c r="M72">
        <v>72</v>
      </c>
      <c r="O72">
        <f t="shared" si="30"/>
        <v>2155.5878787878819</v>
      </c>
      <c r="P72">
        <f t="shared" si="31"/>
        <v>123856.7616579217</v>
      </c>
    </row>
    <row r="73" spans="1:24" x14ac:dyDescent="0.35">
      <c r="I73">
        <v>73</v>
      </c>
      <c r="K73">
        <f t="shared" si="28"/>
        <v>2166.5454545454577</v>
      </c>
      <c r="L73">
        <f t="shared" si="29"/>
        <v>92886.041756399733</v>
      </c>
      <c r="M73">
        <v>73</v>
      </c>
      <c r="O73">
        <f t="shared" si="30"/>
        <v>2166.5454545454577</v>
      </c>
      <c r="P73">
        <f t="shared" si="31"/>
        <v>124276.18556705143</v>
      </c>
    </row>
    <row r="74" spans="1:24" x14ac:dyDescent="0.35">
      <c r="I74">
        <v>74</v>
      </c>
      <c r="K74">
        <f t="shared" si="28"/>
        <v>2177.5030303030335</v>
      </c>
      <c r="L74">
        <f t="shared" si="29"/>
        <v>93233.692927395023</v>
      </c>
      <c r="M74">
        <v>74</v>
      </c>
      <c r="O74">
        <f t="shared" si="30"/>
        <v>2177.5030303030335</v>
      </c>
      <c r="P74">
        <f t="shared" si="31"/>
        <v>124696.36180976423</v>
      </c>
    </row>
    <row r="75" spans="1:24" x14ac:dyDescent="0.35">
      <c r="I75">
        <v>75</v>
      </c>
      <c r="K75">
        <f t="shared" si="28"/>
        <v>2188.4606060606093</v>
      </c>
      <c r="L75">
        <f t="shared" si="29"/>
        <v>93580.596955241766</v>
      </c>
      <c r="M75">
        <v>75</v>
      </c>
      <c r="O75">
        <f t="shared" si="30"/>
        <v>2188.4606060606093</v>
      </c>
      <c r="P75">
        <f t="shared" si="31"/>
        <v>125117.28519562558</v>
      </c>
    </row>
    <row r="76" spans="1:24" x14ac:dyDescent="0.35">
      <c r="I76">
        <v>76</v>
      </c>
      <c r="K76">
        <f t="shared" si="28"/>
        <v>2199.4181818181851</v>
      </c>
      <c r="L76">
        <f t="shared" si="29"/>
        <v>93926.759088204417</v>
      </c>
      <c r="M76">
        <v>76</v>
      </c>
      <c r="O76">
        <f t="shared" si="30"/>
        <v>2199.4181818181851</v>
      </c>
      <c r="P76">
        <f t="shared" si="31"/>
        <v>125538.95047637101</v>
      </c>
    </row>
    <row r="77" spans="1:24" x14ac:dyDescent="0.35">
      <c r="I77">
        <v>77</v>
      </c>
      <c r="K77">
        <f t="shared" si="28"/>
        <v>2210.3757575757609</v>
      </c>
      <c r="L77">
        <f t="shared" si="29"/>
        <v>94272.184629236071</v>
      </c>
      <c r="M77">
        <v>77</v>
      </c>
      <c r="O77">
        <f t="shared" si="30"/>
        <v>2210.3757575757609</v>
      </c>
      <c r="P77">
        <f t="shared" si="31"/>
        <v>125961.35234904748</v>
      </c>
    </row>
    <row r="78" spans="1:24" x14ac:dyDescent="0.35">
      <c r="I78">
        <v>78</v>
      </c>
      <c r="K78">
        <f t="shared" si="28"/>
        <v>2221.3333333333367</v>
      </c>
      <c r="L78">
        <f t="shared" si="29"/>
        <v>94616.878932860505</v>
      </c>
      <c r="M78">
        <v>78</v>
      </c>
      <c r="O78">
        <f t="shared" si="30"/>
        <v>2221.3333333333367</v>
      </c>
      <c r="P78">
        <f t="shared" si="31"/>
        <v>126384.48545913113</v>
      </c>
    </row>
    <row r="79" spans="1:24" x14ac:dyDescent="0.35">
      <c r="I79">
        <v>79</v>
      </c>
      <c r="K79">
        <f t="shared" si="28"/>
        <v>2232.2909090909125</v>
      </c>
      <c r="L79">
        <f t="shared" si="29"/>
        <v>94960.847402081272</v>
      </c>
      <c r="M79">
        <v>79</v>
      </c>
      <c r="O79">
        <f t="shared" si="30"/>
        <v>2232.2909090909125</v>
      </c>
      <c r="P79">
        <f t="shared" si="31"/>
        <v>126808.34440361845</v>
      </c>
    </row>
    <row r="80" spans="1:24" x14ac:dyDescent="0.35">
      <c r="I80">
        <v>80</v>
      </c>
      <c r="K80">
        <f t="shared" si="28"/>
        <v>2243.2484848484883</v>
      </c>
      <c r="L80">
        <f t="shared" si="29"/>
        <v>95304.095485320591</v>
      </c>
      <c r="M80">
        <v>80</v>
      </c>
      <c r="O80">
        <f t="shared" si="30"/>
        <v>2243.2484848484883</v>
      </c>
      <c r="P80">
        <f t="shared" si="31"/>
        <v>127232.92373408722</v>
      </c>
    </row>
    <row r="81" spans="9:16" x14ac:dyDescent="0.35">
      <c r="I81">
        <v>81</v>
      </c>
      <c r="K81">
        <f t="shared" si="28"/>
        <v>2254.2060606060641</v>
      </c>
      <c r="L81">
        <f t="shared" si="29"/>
        <v>95646.62867339114</v>
      </c>
      <c r="M81">
        <v>81</v>
      </c>
      <c r="O81">
        <f t="shared" si="30"/>
        <v>2254.2060606060641</v>
      </c>
      <c r="P81">
        <f t="shared" si="31"/>
        <v>127658.21795972476</v>
      </c>
    </row>
    <row r="82" spans="9:16" x14ac:dyDescent="0.35">
      <c r="I82">
        <v>82</v>
      </c>
      <c r="K82">
        <f t="shared" si="28"/>
        <v>2265.1636363636399</v>
      </c>
      <c r="L82">
        <f t="shared" si="29"/>
        <v>95988.452496503713</v>
      </c>
      <c r="M82">
        <v>82</v>
      </c>
      <c r="O82">
        <f t="shared" si="30"/>
        <v>2265.1636363636399</v>
      </c>
      <c r="P82">
        <f t="shared" si="31"/>
        <v>128084.2215503203</v>
      </c>
    </row>
    <row r="83" spans="9:16" x14ac:dyDescent="0.35">
      <c r="I83">
        <v>83</v>
      </c>
      <c r="K83">
        <f t="shared" si="28"/>
        <v>2276.1212121212156</v>
      </c>
      <c r="L83">
        <f t="shared" si="29"/>
        <v>96329.572521312992</v>
      </c>
      <c r="M83">
        <v>83</v>
      </c>
      <c r="O83">
        <f t="shared" si="30"/>
        <v>2276.1212121212156</v>
      </c>
      <c r="P83">
        <f t="shared" si="31"/>
        <v>128510.92893921911</v>
      </c>
    </row>
    <row r="84" spans="9:16" x14ac:dyDescent="0.35">
      <c r="I84">
        <v>84</v>
      </c>
      <c r="K84">
        <f t="shared" si="28"/>
        <v>2287.0787878787914</v>
      </c>
      <c r="L84">
        <f t="shared" si="29"/>
        <v>96669.99434800462</v>
      </c>
      <c r="M84">
        <v>84</v>
      </c>
      <c r="O84">
        <f t="shared" si="30"/>
        <v>2287.0787878787914</v>
      </c>
      <c r="P84">
        <f t="shared" si="31"/>
        <v>128938.33452623557</v>
      </c>
    </row>
    <row r="85" spans="9:16" x14ac:dyDescent="0.35">
      <c r="I85">
        <v>85</v>
      </c>
      <c r="K85">
        <f t="shared" si="28"/>
        <v>2298.0363636363672</v>
      </c>
      <c r="L85">
        <f t="shared" si="29"/>
        <v>97009.723607425054</v>
      </c>
      <c r="M85">
        <v>85</v>
      </c>
      <c r="O85">
        <f t="shared" si="30"/>
        <v>2298.0363636363672</v>
      </c>
      <c r="P85">
        <f t="shared" si="31"/>
        <v>129366.43268052323</v>
      </c>
    </row>
    <row r="86" spans="9:16" x14ac:dyDescent="0.35">
      <c r="I86">
        <v>86</v>
      </c>
      <c r="K86">
        <f t="shared" si="28"/>
        <v>2308.993939393943</v>
      </c>
      <c r="L86">
        <f t="shared" si="29"/>
        <v>97348.765958257194</v>
      </c>
      <c r="M86">
        <v>86</v>
      </c>
      <c r="O86">
        <f t="shared" si="30"/>
        <v>2308.993939393943</v>
      </c>
      <c r="P86">
        <f t="shared" si="31"/>
        <v>129795.2177433992</v>
      </c>
    </row>
    <row r="87" spans="9:16" x14ac:dyDescent="0.35">
      <c r="I87">
        <v>87</v>
      </c>
      <c r="K87">
        <f t="shared" si="28"/>
        <v>2319.9515151515188</v>
      </c>
      <c r="L87">
        <f t="shared" si="29"/>
        <v>97687.127084243257</v>
      </c>
      <c r="M87">
        <v>87</v>
      </c>
      <c r="O87">
        <f t="shared" si="30"/>
        <v>2319.9515151515188</v>
      </c>
      <c r="P87">
        <f t="shared" si="31"/>
        <v>130224.68403112123</v>
      </c>
    </row>
    <row r="88" spans="9:16" x14ac:dyDescent="0.35">
      <c r="I88">
        <v>88</v>
      </c>
      <c r="K88">
        <f t="shared" si="28"/>
        <v>2330.9090909090946</v>
      </c>
      <c r="L88">
        <f t="shared" si="29"/>
        <v>98024.812691457148</v>
      </c>
      <c r="M88">
        <v>88</v>
      </c>
      <c r="O88">
        <f t="shared" si="30"/>
        <v>2330.9090909090946</v>
      </c>
      <c r="P88">
        <f t="shared" si="31"/>
        <v>130654.82583761543</v>
      </c>
    </row>
    <row r="89" spans="9:16" x14ac:dyDescent="0.35">
      <c r="I89">
        <v>89</v>
      </c>
      <c r="K89">
        <f t="shared" si="28"/>
        <v>2341.8666666666704</v>
      </c>
      <c r="L89">
        <f t="shared" si="29"/>
        <v>98361.828505627884</v>
      </c>
      <c r="M89">
        <v>89</v>
      </c>
      <c r="O89">
        <f t="shared" si="30"/>
        <v>2341.8666666666704</v>
      </c>
      <c r="P89">
        <f t="shared" si="31"/>
        <v>131085.63743715279</v>
      </c>
    </row>
    <row r="90" spans="9:16" x14ac:dyDescent="0.35">
      <c r="I90">
        <v>90</v>
      </c>
      <c r="K90">
        <f t="shared" si="28"/>
        <v>2352.8242424242462</v>
      </c>
      <c r="L90">
        <f t="shared" si="29"/>
        <v>98698.180269515637</v>
      </c>
      <c r="M90">
        <v>90</v>
      </c>
      <c r="O90">
        <f t="shared" si="30"/>
        <v>2352.8242424242462</v>
      </c>
      <c r="P90">
        <f t="shared" si="31"/>
        <v>131517.11308697311</v>
      </c>
    </row>
    <row r="91" spans="9:16" x14ac:dyDescent="0.35">
      <c r="I91">
        <v>91</v>
      </c>
      <c r="K91">
        <f t="shared" si="28"/>
        <v>2363.781818181822</v>
      </c>
      <c r="L91">
        <f t="shared" si="29"/>
        <v>99033.87374034198</v>
      </c>
      <c r="M91">
        <v>91</v>
      </c>
      <c r="O91">
        <f t="shared" si="30"/>
        <v>2363.781818181822</v>
      </c>
      <c r="P91">
        <f t="shared" si="31"/>
        <v>131949.24702985489</v>
      </c>
    </row>
    <row r="92" spans="9:16" x14ac:dyDescent="0.35">
      <c r="I92">
        <v>92</v>
      </c>
      <c r="K92">
        <f t="shared" si="28"/>
        <v>2374.7393939393978</v>
      </c>
      <c r="L92">
        <f t="shared" si="29"/>
        <v>99368.914687275479</v>
      </c>
      <c r="M92">
        <v>92</v>
      </c>
      <c r="O92">
        <f t="shared" si="30"/>
        <v>2374.7393939393978</v>
      </c>
      <c r="P92">
        <f t="shared" si="31"/>
        <v>132382.03349662948</v>
      </c>
    </row>
    <row r="93" spans="9:16" x14ac:dyDescent="0.35">
      <c r="I93">
        <v>93</v>
      </c>
      <c r="K93">
        <f t="shared" si="28"/>
        <v>2385.6969696969736</v>
      </c>
      <c r="L93">
        <f t="shared" si="29"/>
        <v>99703.308888973901</v>
      </c>
      <c r="M93">
        <v>93</v>
      </c>
      <c r="O93">
        <f t="shared" si="30"/>
        <v>2385.6969696969736</v>
      </c>
      <c r="P93">
        <f t="shared" si="31"/>
        <v>132815.46670863914</v>
      </c>
    </row>
    <row r="94" spans="9:16" x14ac:dyDescent="0.35">
      <c r="I94">
        <v>94</v>
      </c>
      <c r="K94">
        <f t="shared" si="28"/>
        <v>2396.6545454545494</v>
      </c>
      <c r="L94">
        <f t="shared" si="29"/>
        <v>100037.06213118399</v>
      </c>
      <c r="M94">
        <v>94</v>
      </c>
      <c r="O94">
        <f t="shared" si="30"/>
        <v>2396.6545454545494</v>
      </c>
      <c r="P94">
        <f t="shared" si="31"/>
        <v>133249.54088013715</v>
      </c>
    </row>
    <row r="95" spans="9:16" x14ac:dyDescent="0.35">
      <c r="I95">
        <v>95</v>
      </c>
      <c r="K95">
        <f t="shared" si="28"/>
        <v>2407.6121212121252</v>
      </c>
      <c r="L95">
        <f t="shared" si="29"/>
        <v>100370.1802043997</v>
      </c>
      <c r="M95">
        <v>95</v>
      </c>
      <c r="O95">
        <f t="shared" si="30"/>
        <v>2407.6121212121252</v>
      </c>
      <c r="P95">
        <f t="shared" si="31"/>
        <v>133684.25022062953</v>
      </c>
    </row>
    <row r="96" spans="9:16" x14ac:dyDescent="0.35">
      <c r="I96">
        <v>96</v>
      </c>
      <c r="K96">
        <f t="shared" si="28"/>
        <v>2418.569696969701</v>
      </c>
      <c r="L96">
        <f t="shared" si="29"/>
        <v>100702.66890157966</v>
      </c>
      <c r="M96">
        <v>96</v>
      </c>
      <c r="O96">
        <f t="shared" si="30"/>
        <v>2418.569696969701</v>
      </c>
      <c r="P96">
        <f t="shared" si="31"/>
        <v>134119.58893715768</v>
      </c>
    </row>
    <row r="97" spans="9:16" x14ac:dyDescent="0.35">
      <c r="I97">
        <v>97</v>
      </c>
      <c r="K97">
        <f t="shared" si="28"/>
        <v>2429.5272727272768</v>
      </c>
      <c r="L97">
        <f t="shared" ref="L97:L100" si="36">32673.219897243+35.0363725834721*K97-14729.0370242134*(1.02380952380952+(K97-1695.2619047619)^2/1989034.11904762)^0.5</f>
        <v>101034.53401592452</v>
      </c>
      <c r="M97">
        <v>97</v>
      </c>
      <c r="O97">
        <f t="shared" si="30"/>
        <v>2429.5272727272768</v>
      </c>
      <c r="P97">
        <f t="shared" ref="P97:P100" si="37">32673.219897243+35.0363725834721*O97+14729.0370242134*(1.02380952380952+(O97-1695.2619047619)^2/1989034.11904762)^0.5</f>
        <v>134555.5512365209</v>
      </c>
    </row>
    <row r="98" spans="9:16" x14ac:dyDescent="0.35">
      <c r="I98">
        <v>98</v>
      </c>
      <c r="K98">
        <f t="shared" si="28"/>
        <v>2440.4848484848526</v>
      </c>
      <c r="L98">
        <f t="shared" si="36"/>
        <v>101365.78133871465</v>
      </c>
      <c r="M98">
        <v>98</v>
      </c>
      <c r="O98">
        <f t="shared" si="30"/>
        <v>2440.4848484848526</v>
      </c>
      <c r="P98">
        <f t="shared" si="37"/>
        <v>134992.13132743887</v>
      </c>
    </row>
    <row r="99" spans="9:16" x14ac:dyDescent="0.35">
      <c r="I99">
        <v>99</v>
      </c>
      <c r="K99">
        <f t="shared" si="28"/>
        <v>2451.4424242424284</v>
      </c>
      <c r="L99">
        <f t="shared" si="36"/>
        <v>101696.41665720848</v>
      </c>
      <c r="M99">
        <v>99</v>
      </c>
      <c r="O99">
        <f t="shared" si="30"/>
        <v>2451.4424242424284</v>
      </c>
      <c r="P99">
        <f t="shared" si="37"/>
        <v>135429.32342265311</v>
      </c>
    </row>
    <row r="100" spans="9:16" x14ac:dyDescent="0.35">
      <c r="I100">
        <v>100</v>
      </c>
      <c r="K100">
        <f t="shared" si="28"/>
        <v>2462.4000000000042</v>
      </c>
      <c r="L100">
        <f t="shared" si="36"/>
        <v>102026.44575260209</v>
      </c>
      <c r="M100">
        <v>100</v>
      </c>
      <c r="O100">
        <f t="shared" si="30"/>
        <v>2462.4000000000042</v>
      </c>
      <c r="P100">
        <f t="shared" si="37"/>
        <v>135867.12174096762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B2DD-8646-46EE-A57A-00C9D85B21A7}">
  <sheetPr codeName="Sheet10"/>
  <dimension ref="A1:XX1000"/>
  <sheetViews>
    <sheetView workbookViewId="0">
      <selection activeCell="F9" sqref="F9"/>
    </sheetView>
  </sheetViews>
  <sheetFormatPr defaultRowHeight="15.5" x14ac:dyDescent="0.35"/>
  <cols>
    <col min="1" max="3" width="15.6640625" customWidth="1"/>
    <col min="5" max="7" width="15.6640625" customWidth="1"/>
  </cols>
  <sheetData>
    <row r="1" spans="1:7" x14ac:dyDescent="0.35">
      <c r="A1" s="6" t="s">
        <v>28</v>
      </c>
      <c r="E1" s="6" t="s">
        <v>31</v>
      </c>
    </row>
    <row r="2" spans="1:7" s="21" customFormat="1" ht="31" thickBot="1" x14ac:dyDescent="0.4">
      <c r="A2" s="1" t="s">
        <v>26</v>
      </c>
      <c r="B2" s="1" t="s">
        <v>27</v>
      </c>
      <c r="C2" s="1" t="s">
        <v>29</v>
      </c>
      <c r="E2" s="1" t="s">
        <v>26</v>
      </c>
      <c r="F2" s="1" t="s">
        <v>27</v>
      </c>
      <c r="G2" s="1" t="s">
        <v>29</v>
      </c>
    </row>
    <row r="3" spans="1:7" x14ac:dyDescent="0.35">
      <c r="A3" s="22" t="s">
        <v>16</v>
      </c>
      <c r="B3" s="62">
        <v>47331.381535615728</v>
      </c>
      <c r="C3" s="35"/>
      <c r="E3" s="22" t="s">
        <v>16</v>
      </c>
      <c r="F3" s="62">
        <v>32673.219897243005</v>
      </c>
      <c r="G3" s="35"/>
    </row>
    <row r="4" spans="1:7" x14ac:dyDescent="0.35">
      <c r="A4" s="23" t="s">
        <v>22</v>
      </c>
      <c r="B4" s="57">
        <v>-825.16122034561795</v>
      </c>
      <c r="C4" s="36">
        <v>30</v>
      </c>
      <c r="E4" s="23" t="s">
        <v>22</v>
      </c>
      <c r="F4" s="9">
        <v>0</v>
      </c>
      <c r="G4" s="36">
        <v>5</v>
      </c>
    </row>
    <row r="5" spans="1:7" ht="16" thickBot="1" x14ac:dyDescent="0.4">
      <c r="A5" s="24" t="s">
        <v>23</v>
      </c>
      <c r="B5" s="58">
        <v>40.911068448437504</v>
      </c>
      <c r="C5" s="37">
        <v>1800</v>
      </c>
      <c r="E5" s="24" t="s">
        <v>23</v>
      </c>
      <c r="F5" s="58">
        <v>35.036372583472051</v>
      </c>
      <c r="G5" s="37">
        <v>2800</v>
      </c>
    </row>
    <row r="6" spans="1:7" ht="16" thickBot="1" x14ac:dyDescent="0.4">
      <c r="B6" s="25" t="s">
        <v>30</v>
      </c>
      <c r="C6" s="99">
        <f>(B4*C4)+(B5*C5)+B3</f>
        <v>96216.468132434689</v>
      </c>
      <c r="F6" s="25" t="s">
        <v>30</v>
      </c>
      <c r="G6" s="99">
        <f>(F5*G5)+F3</f>
        <v>130775.06313096474</v>
      </c>
    </row>
    <row r="1000" spans="648:648" x14ac:dyDescent="0.35">
      <c r="XX1000" s="47">
        <v>166765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66B6-34AF-4215-810B-8901EE7B8854}">
  <sheetPr codeName="Sheet11"/>
  <dimension ref="A1:XX1000"/>
  <sheetViews>
    <sheetView zoomScaleNormal="100" workbookViewId="0">
      <selection activeCell="K10" sqref="K10"/>
    </sheetView>
  </sheetViews>
  <sheetFormatPr defaultColWidth="8.83203125" defaultRowHeight="15.5" x14ac:dyDescent="0.35"/>
  <cols>
    <col min="1" max="1" width="8.83203125" style="2"/>
    <col min="2" max="2" width="12.6640625" style="2" customWidth="1"/>
    <col min="3" max="5" width="10.6640625" style="2" customWidth="1"/>
    <col min="6" max="6" width="15.6640625" style="2" customWidth="1"/>
    <col min="7" max="7" width="10.6640625" style="2" customWidth="1"/>
    <col min="8" max="9" width="8.83203125" style="2"/>
    <col min="10" max="10" width="65.6640625" style="2" customWidth="1"/>
    <col min="11" max="11" width="15.6640625" style="2" customWidth="1"/>
    <col min="12" max="16384" width="8.83203125" style="2"/>
  </cols>
  <sheetData>
    <row r="1" spans="1:17" ht="31" thickBot="1" x14ac:dyDescent="0.4">
      <c r="A1" s="4" t="s">
        <v>32</v>
      </c>
      <c r="B1" s="29" t="s">
        <v>33</v>
      </c>
      <c r="C1" s="28" t="s">
        <v>34</v>
      </c>
      <c r="D1" s="28" t="s">
        <v>35</v>
      </c>
      <c r="E1" s="28" t="s">
        <v>36</v>
      </c>
      <c r="F1" s="28" t="s">
        <v>37</v>
      </c>
      <c r="G1" s="28" t="s">
        <v>38</v>
      </c>
    </row>
    <row r="2" spans="1:17" ht="16" thickBot="1" x14ac:dyDescent="0.4">
      <c r="A2" s="2" t="s">
        <v>39</v>
      </c>
      <c r="B2" s="26">
        <v>60482</v>
      </c>
      <c r="C2" s="27">
        <v>0.15</v>
      </c>
      <c r="D2" s="27">
        <v>0.25</v>
      </c>
      <c r="E2" s="27">
        <v>-0.1</v>
      </c>
      <c r="F2" s="27">
        <v>0.06</v>
      </c>
      <c r="G2" s="27">
        <v>0.05</v>
      </c>
      <c r="H2" s="27"/>
      <c r="J2" s="41" t="s">
        <v>80</v>
      </c>
      <c r="Q2"/>
    </row>
    <row r="3" spans="1:17" ht="16" thickBot="1" x14ac:dyDescent="0.4">
      <c r="A3" s="2" t="s">
        <v>40</v>
      </c>
      <c r="B3" s="26">
        <v>57530</v>
      </c>
      <c r="C3" s="27">
        <v>-0.08</v>
      </c>
      <c r="D3" s="27">
        <v>0.13</v>
      </c>
      <c r="E3" s="27">
        <v>-0.01</v>
      </c>
      <c r="F3" s="27">
        <v>-0.01</v>
      </c>
      <c r="G3" s="27">
        <v>0.06</v>
      </c>
      <c r="J3" s="42" t="s">
        <v>84</v>
      </c>
      <c r="K3" s="93" t="s">
        <v>76</v>
      </c>
      <c r="Q3"/>
    </row>
    <row r="4" spans="1:17" ht="18" thickBot="1" x14ac:dyDescent="0.4">
      <c r="A4" s="2" t="s">
        <v>41</v>
      </c>
      <c r="B4" s="26">
        <v>85904</v>
      </c>
      <c r="C4" s="27">
        <v>0.16</v>
      </c>
      <c r="D4" s="27">
        <v>1.41</v>
      </c>
      <c r="E4" s="27">
        <v>0.43</v>
      </c>
      <c r="F4" s="27">
        <v>0.11</v>
      </c>
      <c r="G4" s="27">
        <v>0.33</v>
      </c>
      <c r="J4" s="43" t="s">
        <v>79</v>
      </c>
      <c r="K4" s="44" t="s">
        <v>210</v>
      </c>
      <c r="Q4"/>
    </row>
    <row r="5" spans="1:17" ht="18" thickBot="1" x14ac:dyDescent="0.4">
      <c r="A5" s="2" t="s">
        <v>42</v>
      </c>
      <c r="B5" s="26">
        <v>60904</v>
      </c>
      <c r="C5" s="27">
        <v>0.18</v>
      </c>
      <c r="D5" s="27">
        <v>0.22</v>
      </c>
      <c r="E5" s="27">
        <v>0.11</v>
      </c>
      <c r="F5" s="27">
        <v>-7.0000000000000007E-2</v>
      </c>
      <c r="G5" s="27">
        <v>0.1</v>
      </c>
      <c r="J5" s="45" t="s">
        <v>82</v>
      </c>
      <c r="K5" s="46">
        <v>1</v>
      </c>
      <c r="Q5"/>
    </row>
    <row r="6" spans="1:17" x14ac:dyDescent="0.35">
      <c r="A6" s="2" t="s">
        <v>43</v>
      </c>
      <c r="B6" s="26">
        <v>58012</v>
      </c>
      <c r="C6" s="27">
        <v>0.11</v>
      </c>
      <c r="D6" s="27">
        <v>0.05</v>
      </c>
      <c r="E6" s="27">
        <v>0.02</v>
      </c>
      <c r="F6" s="27">
        <v>-0.02</v>
      </c>
      <c r="G6" s="27">
        <v>0.06</v>
      </c>
      <c r="J6"/>
      <c r="K6"/>
      <c r="Q6"/>
    </row>
    <row r="7" spans="1:17" ht="16" thickBot="1" x14ac:dyDescent="0.4">
      <c r="A7" s="2" t="s">
        <v>44</v>
      </c>
      <c r="B7" s="26">
        <v>70000</v>
      </c>
      <c r="C7" s="27">
        <v>0.23</v>
      </c>
      <c r="D7" s="27">
        <v>0.73</v>
      </c>
      <c r="E7" s="27">
        <v>0.01</v>
      </c>
      <c r="F7" s="27">
        <v>0.18</v>
      </c>
      <c r="G7" s="27">
        <v>0.02</v>
      </c>
      <c r="J7"/>
      <c r="K7"/>
      <c r="Q7"/>
    </row>
    <row r="8" spans="1:17" ht="16" thickBot="1" x14ac:dyDescent="0.4">
      <c r="A8" s="2" t="s">
        <v>45</v>
      </c>
      <c r="B8" s="26">
        <v>54578</v>
      </c>
      <c r="C8" s="27">
        <v>0.01</v>
      </c>
      <c r="D8" s="27">
        <v>-0.01</v>
      </c>
      <c r="E8" s="27">
        <v>-0.05</v>
      </c>
      <c r="F8" s="27">
        <v>-0.06</v>
      </c>
      <c r="G8" s="27">
        <v>-0.01</v>
      </c>
      <c r="J8" s="41" t="s">
        <v>81</v>
      </c>
      <c r="Q8"/>
    </row>
    <row r="9" spans="1:17" ht="16" thickBot="1" x14ac:dyDescent="0.4">
      <c r="A9" s="2" t="s">
        <v>46</v>
      </c>
      <c r="B9" s="26">
        <v>58072</v>
      </c>
      <c r="C9" s="27">
        <v>0.12</v>
      </c>
      <c r="D9" s="27">
        <v>-0.04</v>
      </c>
      <c r="E9" s="27">
        <v>-0.03</v>
      </c>
      <c r="F9" s="27">
        <v>0.01</v>
      </c>
      <c r="G9" s="27">
        <v>0.05</v>
      </c>
      <c r="J9" s="42" t="s">
        <v>84</v>
      </c>
      <c r="K9" s="93" t="s">
        <v>76</v>
      </c>
      <c r="Q9"/>
    </row>
    <row r="10" spans="1:17" ht="18" thickBot="1" x14ac:dyDescent="0.4">
      <c r="A10" s="2" t="s">
        <v>47</v>
      </c>
      <c r="B10" s="26">
        <v>87892</v>
      </c>
      <c r="C10" s="27">
        <v>0.2</v>
      </c>
      <c r="D10" s="27">
        <v>2.14</v>
      </c>
      <c r="E10" s="27">
        <v>-0.06</v>
      </c>
      <c r="F10" s="27">
        <v>0.13</v>
      </c>
      <c r="G10" s="27">
        <v>-0.03</v>
      </c>
      <c r="J10" s="43" t="s">
        <v>79</v>
      </c>
      <c r="K10" s="44" t="s">
        <v>210</v>
      </c>
    </row>
    <row r="11" spans="1:17" ht="18" thickBot="1" x14ac:dyDescent="0.4">
      <c r="A11" s="2" t="s">
        <v>48</v>
      </c>
      <c r="B11" s="26">
        <v>65843</v>
      </c>
      <c r="C11" s="27">
        <v>7.0000000000000007E-2</v>
      </c>
      <c r="D11" s="27">
        <v>0.64</v>
      </c>
      <c r="E11" s="27">
        <v>-0.08</v>
      </c>
      <c r="F11" s="27">
        <v>0.01</v>
      </c>
      <c r="G11" s="27">
        <v>0.11</v>
      </c>
      <c r="J11" s="45" t="s">
        <v>83</v>
      </c>
      <c r="K11" s="46">
        <v>4</v>
      </c>
    </row>
    <row r="12" spans="1:17" x14ac:dyDescent="0.35">
      <c r="A12" s="2" t="s">
        <v>49</v>
      </c>
      <c r="B12" s="26">
        <v>57590</v>
      </c>
      <c r="C12" s="27">
        <v>-0.02</v>
      </c>
      <c r="D12" s="27">
        <v>0.15</v>
      </c>
      <c r="E12" s="27">
        <v>0</v>
      </c>
      <c r="F12" s="27">
        <v>0.06</v>
      </c>
      <c r="G12" s="27">
        <v>-0.01</v>
      </c>
    </row>
    <row r="13" spans="1:17" x14ac:dyDescent="0.35">
      <c r="A13" s="2" t="s">
        <v>50</v>
      </c>
      <c r="B13" s="26">
        <v>55120</v>
      </c>
      <c r="C13" s="27">
        <v>0.03</v>
      </c>
      <c r="D13" s="27">
        <v>0.04</v>
      </c>
      <c r="E13" s="27">
        <v>-0.11</v>
      </c>
      <c r="F13" s="27">
        <v>-0.06</v>
      </c>
      <c r="G13" s="27">
        <v>0.01</v>
      </c>
    </row>
    <row r="14" spans="1:17" x14ac:dyDescent="0.35">
      <c r="A14" s="2" t="s">
        <v>51</v>
      </c>
      <c r="B14" s="26">
        <v>83795</v>
      </c>
      <c r="C14" s="27">
        <v>0.16</v>
      </c>
      <c r="D14" s="27">
        <v>1.68</v>
      </c>
      <c r="E14" s="27">
        <v>0.1</v>
      </c>
      <c r="F14" s="27">
        <v>0.28999999999999998</v>
      </c>
      <c r="G14" s="27">
        <v>0.13</v>
      </c>
    </row>
    <row r="15" spans="1:17" x14ac:dyDescent="0.35">
      <c r="A15" s="2" t="s">
        <v>52</v>
      </c>
      <c r="B15" s="26">
        <v>55602</v>
      </c>
      <c r="C15" s="27">
        <v>0.01</v>
      </c>
      <c r="D15" s="27">
        <v>0.02</v>
      </c>
      <c r="E15" s="27">
        <v>-0.13</v>
      </c>
      <c r="F15" s="27">
        <v>0.05</v>
      </c>
      <c r="G15" s="27">
        <v>-0.08</v>
      </c>
    </row>
    <row r="16" spans="1:17" x14ac:dyDescent="0.35">
      <c r="A16" s="2" t="s">
        <v>53</v>
      </c>
      <c r="B16" s="26">
        <v>65060</v>
      </c>
      <c r="C16" s="27">
        <v>0.16</v>
      </c>
      <c r="D16" s="27">
        <v>0.43</v>
      </c>
      <c r="E16" s="27">
        <v>-0.1</v>
      </c>
      <c r="F16" s="27">
        <v>0.1</v>
      </c>
      <c r="G16" s="27">
        <v>0.08</v>
      </c>
    </row>
    <row r="17" spans="1:16" x14ac:dyDescent="0.35">
      <c r="A17" s="2" t="s">
        <v>54</v>
      </c>
      <c r="B17" s="26">
        <v>57530</v>
      </c>
      <c r="C17" s="27">
        <v>0.1</v>
      </c>
      <c r="D17" s="27">
        <v>0.24</v>
      </c>
      <c r="E17" s="27">
        <v>-0.17</v>
      </c>
      <c r="F17" s="27">
        <v>-0.05</v>
      </c>
      <c r="G17" s="27">
        <v>0.01</v>
      </c>
    </row>
    <row r="18" spans="1:16" x14ac:dyDescent="0.35">
      <c r="A18" s="2" t="s">
        <v>55</v>
      </c>
      <c r="B18" s="26">
        <v>136024</v>
      </c>
      <c r="C18" s="27">
        <v>0.37</v>
      </c>
      <c r="D18" s="27">
        <v>4.79</v>
      </c>
      <c r="E18" s="27">
        <v>0.26</v>
      </c>
      <c r="F18" s="27">
        <v>0.3</v>
      </c>
      <c r="G18" s="27">
        <v>0.19</v>
      </c>
    </row>
    <row r="19" spans="1:16" x14ac:dyDescent="0.35">
      <c r="A19" s="2" t="s">
        <v>56</v>
      </c>
      <c r="B19" s="26">
        <v>72048</v>
      </c>
      <c r="C19" s="27">
        <v>0.26</v>
      </c>
      <c r="D19" s="27">
        <v>0.72</v>
      </c>
      <c r="E19" s="27">
        <v>0.17</v>
      </c>
      <c r="F19" s="27">
        <v>0.1</v>
      </c>
      <c r="G19" s="27">
        <v>0.03</v>
      </c>
    </row>
    <row r="20" spans="1:16" x14ac:dyDescent="0.35">
      <c r="A20" s="2" t="s">
        <v>57</v>
      </c>
      <c r="B20" s="26">
        <v>57651</v>
      </c>
      <c r="C20" s="27">
        <v>7.0000000000000007E-2</v>
      </c>
      <c r="D20" s="27">
        <v>0.21</v>
      </c>
      <c r="E20" s="27">
        <v>-0.08</v>
      </c>
      <c r="F20" s="27">
        <v>0.02</v>
      </c>
      <c r="G20" s="27">
        <v>0.01</v>
      </c>
      <c r="J20" s="6" t="s">
        <v>77</v>
      </c>
      <c r="K20" s="6"/>
      <c r="L20" s="6"/>
      <c r="M20" s="6"/>
      <c r="N20" s="6"/>
      <c r="O20" s="6"/>
      <c r="P20" s="6"/>
    </row>
    <row r="21" spans="1:16" x14ac:dyDescent="0.35">
      <c r="A21" s="2" t="s">
        <v>58</v>
      </c>
      <c r="B21" s="26">
        <v>59578</v>
      </c>
      <c r="C21" s="27">
        <v>0.09</v>
      </c>
      <c r="D21" s="27">
        <v>0.21</v>
      </c>
      <c r="E21" s="27">
        <v>-0.03</v>
      </c>
      <c r="F21" s="27">
        <v>0.14000000000000001</v>
      </c>
      <c r="G21" s="27">
        <v>-0.01</v>
      </c>
      <c r="J21"/>
      <c r="K21" s="20" t="s">
        <v>76</v>
      </c>
      <c r="L21"/>
      <c r="M21"/>
      <c r="N21"/>
      <c r="O21"/>
      <c r="P21"/>
    </row>
    <row r="22" spans="1:16" x14ac:dyDescent="0.35">
      <c r="A22" s="2" t="s">
        <v>59</v>
      </c>
      <c r="B22" s="26">
        <v>77349</v>
      </c>
      <c r="C22" s="27">
        <v>0.25</v>
      </c>
      <c r="D22" s="27">
        <v>1.08</v>
      </c>
      <c r="E22" s="27">
        <v>-0.18</v>
      </c>
      <c r="F22" s="27">
        <v>0.19</v>
      </c>
      <c r="G22" s="27">
        <v>0.15</v>
      </c>
      <c r="J22"/>
      <c r="K22" s="34" t="s">
        <v>74</v>
      </c>
      <c r="L22"/>
      <c r="M22"/>
      <c r="N22"/>
      <c r="O22"/>
      <c r="P22"/>
    </row>
    <row r="23" spans="1:16" x14ac:dyDescent="0.35">
      <c r="A23" s="2" t="s">
        <v>60</v>
      </c>
      <c r="B23" s="26">
        <v>86446</v>
      </c>
      <c r="C23" s="27">
        <v>0.18</v>
      </c>
      <c r="D23" s="27">
        <v>1.87</v>
      </c>
      <c r="E23" s="27">
        <v>0.18</v>
      </c>
      <c r="F23" s="27">
        <v>0.27</v>
      </c>
      <c r="G23" s="27">
        <v>0.15</v>
      </c>
      <c r="J23"/>
      <c r="K23" s="38" t="s">
        <v>71</v>
      </c>
      <c r="L23"/>
      <c r="M23"/>
      <c r="N23"/>
      <c r="O23"/>
      <c r="P23"/>
    </row>
    <row r="24" spans="1:16" x14ac:dyDescent="0.35">
      <c r="A24" s="2" t="s">
        <v>61</v>
      </c>
      <c r="B24" s="26">
        <v>105241</v>
      </c>
      <c r="C24" s="27">
        <v>0.38</v>
      </c>
      <c r="D24" s="27">
        <v>3.04</v>
      </c>
      <c r="E24" s="27">
        <v>0.03</v>
      </c>
      <c r="F24" s="27">
        <v>0.26</v>
      </c>
      <c r="G24" s="27">
        <v>0.22</v>
      </c>
      <c r="J24"/>
      <c r="K24"/>
      <c r="L24"/>
      <c r="M24"/>
      <c r="N24"/>
      <c r="O24"/>
      <c r="P24"/>
    </row>
    <row r="25" spans="1:16" x14ac:dyDescent="0.35">
      <c r="A25" s="2" t="s">
        <v>62</v>
      </c>
      <c r="B25" s="26">
        <v>83253</v>
      </c>
      <c r="C25" s="27">
        <v>0.33</v>
      </c>
      <c r="D25" s="27">
        <v>1.33</v>
      </c>
      <c r="E25" s="27">
        <v>0.02</v>
      </c>
      <c r="F25" s="27">
        <v>0.21</v>
      </c>
      <c r="G25" s="27">
        <v>0.24</v>
      </c>
      <c r="J25" s="6" t="s">
        <v>78</v>
      </c>
      <c r="K25"/>
      <c r="L25"/>
      <c r="M25"/>
      <c r="N25"/>
      <c r="O25"/>
      <c r="P25"/>
    </row>
    <row r="26" spans="1:16" x14ac:dyDescent="0.35">
      <c r="A26" s="2" t="s">
        <v>63</v>
      </c>
      <c r="B26" s="26">
        <v>56084</v>
      </c>
      <c r="C26" s="27">
        <v>0.14000000000000001</v>
      </c>
      <c r="D26" s="27">
        <v>-0.09</v>
      </c>
      <c r="E26" s="27">
        <v>0.13</v>
      </c>
      <c r="F26" s="27">
        <v>0.01</v>
      </c>
      <c r="G26" s="27">
        <v>0.04</v>
      </c>
      <c r="J26"/>
      <c r="K26" s="38" t="s">
        <v>72</v>
      </c>
      <c r="L26"/>
      <c r="M26"/>
      <c r="N26"/>
      <c r="O26"/>
      <c r="P26"/>
    </row>
    <row r="27" spans="1:16" x14ac:dyDescent="0.35">
      <c r="J27"/>
      <c r="K27" s="20" t="s">
        <v>73</v>
      </c>
      <c r="L27" s="19"/>
      <c r="M27"/>
      <c r="N27"/>
      <c r="O27"/>
      <c r="P27"/>
    </row>
    <row r="1000" spans="648:648" x14ac:dyDescent="0.35">
      <c r="XX1000" s="47">
        <v>166765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0CF7-8582-4DB1-84F2-8FFD30E26696}">
  <sheetPr codeName="Sheet12">
    <tabColor rgb="FF007800"/>
  </sheetPr>
  <dimension ref="A1:XX998"/>
  <sheetViews>
    <sheetView topLeftCell="A60" zoomScaleNormal="100" workbookViewId="0">
      <selection activeCell="B65" sqref="B65:B70"/>
    </sheetView>
  </sheetViews>
  <sheetFormatPr defaultRowHeight="15.5" x14ac:dyDescent="0.35"/>
  <cols>
    <col min="1" max="1" width="8.83203125" customWidth="1"/>
    <col min="2" max="2" width="11.5" bestFit="1" customWidth="1"/>
    <col min="3" max="4" width="14.5" bestFit="1" customWidth="1"/>
    <col min="5" max="5" width="9.5" bestFit="1" customWidth="1"/>
    <col min="6" max="6" width="10.5" bestFit="1" customWidth="1"/>
    <col min="7" max="7" width="9.5" bestFit="1" customWidth="1"/>
    <col min="8" max="9" width="10.4140625" bestFit="1" customWidth="1"/>
    <col min="11" max="12" width="10.4140625" bestFit="1" customWidth="1"/>
  </cols>
  <sheetData>
    <row r="1" spans="1:8" x14ac:dyDescent="0.35">
      <c r="A1" t="s">
        <v>230</v>
      </c>
    </row>
    <row r="2" spans="1:8" x14ac:dyDescent="0.35">
      <c r="A2" t="s">
        <v>214</v>
      </c>
    </row>
    <row r="3" spans="1:8" x14ac:dyDescent="0.35">
      <c r="A3" t="s">
        <v>215</v>
      </c>
    </row>
    <row r="4" spans="1:8" x14ac:dyDescent="0.35">
      <c r="A4" t="s">
        <v>88</v>
      </c>
    </row>
    <row r="5" spans="1:8" x14ac:dyDescent="0.35">
      <c r="A5" t="s">
        <v>89</v>
      </c>
    </row>
    <row r="6" spans="1:8" ht="38" customHeight="1" x14ac:dyDescent="0.35"/>
    <row r="7" spans="1:8" ht="15.65" customHeight="1" x14ac:dyDescent="0.35">
      <c r="A7" s="30"/>
    </row>
    <row r="10" spans="1:8" x14ac:dyDescent="0.35">
      <c r="A10" s="2" t="s">
        <v>90</v>
      </c>
    </row>
    <row r="11" spans="1:8" ht="16" thickBot="1" x14ac:dyDescent="0.4"/>
    <row r="12" spans="1:8" ht="31.25" customHeight="1" x14ac:dyDescent="0.35">
      <c r="A12" s="49" t="s">
        <v>91</v>
      </c>
      <c r="B12" s="50" t="s">
        <v>92</v>
      </c>
      <c r="C12" s="50" t="s">
        <v>93</v>
      </c>
      <c r="D12" s="50" t="s">
        <v>94</v>
      </c>
      <c r="E12" s="50" t="s">
        <v>95</v>
      </c>
      <c r="F12" s="50" t="s">
        <v>96</v>
      </c>
      <c r="G12" s="50" t="s">
        <v>97</v>
      </c>
      <c r="H12" s="50" t="s">
        <v>98</v>
      </c>
    </row>
    <row r="13" spans="1:8" x14ac:dyDescent="0.35">
      <c r="A13" s="51" t="s">
        <v>33</v>
      </c>
      <c r="B13" s="53">
        <v>25</v>
      </c>
      <c r="C13" s="53">
        <v>0</v>
      </c>
      <c r="D13" s="53">
        <v>25</v>
      </c>
      <c r="E13" s="56">
        <v>54578</v>
      </c>
      <c r="F13" s="56">
        <v>136024</v>
      </c>
      <c r="G13" s="56">
        <v>70703.520000000004</v>
      </c>
      <c r="H13" s="56">
        <v>19304.295644838567</v>
      </c>
    </row>
    <row r="14" spans="1:8" x14ac:dyDescent="0.35">
      <c r="A14" s="48" t="s">
        <v>34</v>
      </c>
      <c r="B14" s="54">
        <v>25</v>
      </c>
      <c r="C14" s="54">
        <v>0</v>
      </c>
      <c r="D14" s="54">
        <v>25</v>
      </c>
      <c r="E14" s="57">
        <v>-0.08</v>
      </c>
      <c r="F14" s="57">
        <v>0.38</v>
      </c>
      <c r="G14" s="57">
        <v>0.14639999999999997</v>
      </c>
      <c r="H14" s="57">
        <v>0.11607756027760061</v>
      </c>
    </row>
    <row r="15" spans="1:8" x14ac:dyDescent="0.35">
      <c r="A15" s="48" t="s">
        <v>35</v>
      </c>
      <c r="B15" s="54">
        <v>25</v>
      </c>
      <c r="C15" s="54">
        <v>0</v>
      </c>
      <c r="D15" s="54">
        <v>25</v>
      </c>
      <c r="E15" s="57">
        <v>-0.09</v>
      </c>
      <c r="F15" s="57">
        <v>4.79</v>
      </c>
      <c r="G15" s="57">
        <v>0.84959999999999991</v>
      </c>
      <c r="H15" s="57">
        <v>1.1532327027389861</v>
      </c>
    </row>
    <row r="16" spans="1:8" x14ac:dyDescent="0.35">
      <c r="A16" s="48" t="s">
        <v>36</v>
      </c>
      <c r="B16" s="54">
        <v>25</v>
      </c>
      <c r="C16" s="54">
        <v>0</v>
      </c>
      <c r="D16" s="54">
        <v>25</v>
      </c>
      <c r="E16" s="57">
        <v>-0.18</v>
      </c>
      <c r="F16" s="57">
        <v>0.43</v>
      </c>
      <c r="G16" s="57">
        <v>1.3199999999999998E-2</v>
      </c>
      <c r="H16" s="57">
        <v>0.14161920773680384</v>
      </c>
    </row>
    <row r="17" spans="1:8" x14ac:dyDescent="0.35">
      <c r="A17" s="48" t="s">
        <v>37</v>
      </c>
      <c r="B17" s="54">
        <v>25</v>
      </c>
      <c r="C17" s="54">
        <v>0</v>
      </c>
      <c r="D17" s="54">
        <v>25</v>
      </c>
      <c r="E17" s="57">
        <v>-7.0000000000000007E-2</v>
      </c>
      <c r="F17" s="57">
        <v>0.3</v>
      </c>
      <c r="G17" s="57">
        <v>8.9200000000000015E-2</v>
      </c>
      <c r="H17" s="57">
        <v>0.11589938164919893</v>
      </c>
    </row>
    <row r="18" spans="1:8" ht="16" thickBot="1" x14ac:dyDescent="0.4">
      <c r="A18" s="52" t="s">
        <v>38</v>
      </c>
      <c r="B18" s="55">
        <v>25</v>
      </c>
      <c r="C18" s="55">
        <v>0</v>
      </c>
      <c r="D18" s="55">
        <v>25</v>
      </c>
      <c r="E18" s="58">
        <v>-0.08</v>
      </c>
      <c r="F18" s="58">
        <v>0.33</v>
      </c>
      <c r="G18" s="58">
        <v>7.6000000000000012E-2</v>
      </c>
      <c r="H18" s="58">
        <v>9.5742710775633816E-2</v>
      </c>
    </row>
    <row r="21" spans="1:8" x14ac:dyDescent="0.35">
      <c r="A21" s="6" t="s">
        <v>99</v>
      </c>
    </row>
    <row r="22" spans="1:8" ht="16" thickBot="1" x14ac:dyDescent="0.4"/>
    <row r="23" spans="1:8" ht="31" x14ac:dyDescent="0.35">
      <c r="A23" s="49"/>
      <c r="B23" s="50" t="s">
        <v>34</v>
      </c>
      <c r="C23" s="50" t="s">
        <v>35</v>
      </c>
      <c r="D23" s="50" t="s">
        <v>36</v>
      </c>
      <c r="E23" s="50" t="s">
        <v>37</v>
      </c>
      <c r="F23" s="50" t="s">
        <v>38</v>
      </c>
      <c r="G23" s="59" t="s">
        <v>33</v>
      </c>
    </row>
    <row r="24" spans="1:8" x14ac:dyDescent="0.35">
      <c r="A24" s="60" t="s">
        <v>34</v>
      </c>
      <c r="B24" s="66">
        <v>1</v>
      </c>
      <c r="C24" s="62">
        <v>0.73621245285294246</v>
      </c>
      <c r="D24" s="62">
        <v>0.3624248083695859</v>
      </c>
      <c r="E24" s="62">
        <v>0.70096713035334324</v>
      </c>
      <c r="F24" s="62">
        <v>0.59701732764050963</v>
      </c>
      <c r="G24" s="63">
        <v>0.77886134684878838</v>
      </c>
    </row>
    <row r="25" spans="1:8" x14ac:dyDescent="0.35">
      <c r="A25" s="48" t="s">
        <v>35</v>
      </c>
      <c r="B25" s="57">
        <v>0.73621245285294246</v>
      </c>
      <c r="C25" s="67">
        <v>1</v>
      </c>
      <c r="D25" s="57">
        <v>0.46545460295791469</v>
      </c>
      <c r="E25" s="57">
        <v>0.78598423612792712</v>
      </c>
      <c r="F25" s="57">
        <v>0.57600077224977164</v>
      </c>
      <c r="G25" s="64">
        <v>0.99215467909386024</v>
      </c>
    </row>
    <row r="26" spans="1:8" x14ac:dyDescent="0.35">
      <c r="A26" s="48" t="s">
        <v>36</v>
      </c>
      <c r="B26" s="57">
        <v>0.3624248083695859</v>
      </c>
      <c r="C26" s="57">
        <v>0.46545460295791469</v>
      </c>
      <c r="D26" s="67">
        <v>1</v>
      </c>
      <c r="E26" s="57">
        <v>0.3662211723698281</v>
      </c>
      <c r="F26" s="57">
        <v>0.61097149373681692</v>
      </c>
      <c r="G26" s="64">
        <v>0.52273952479259622</v>
      </c>
    </row>
    <row r="27" spans="1:8" x14ac:dyDescent="0.35">
      <c r="A27" s="48" t="s">
        <v>37</v>
      </c>
      <c r="B27" s="57">
        <v>0.70096713035334324</v>
      </c>
      <c r="C27" s="57">
        <v>0.78598423612792712</v>
      </c>
      <c r="D27" s="57">
        <v>0.3662211723698281</v>
      </c>
      <c r="E27" s="67">
        <v>1</v>
      </c>
      <c r="F27" s="57">
        <v>0.52088397907214601</v>
      </c>
      <c r="G27" s="64">
        <v>0.80468440916000772</v>
      </c>
    </row>
    <row r="28" spans="1:8" x14ac:dyDescent="0.35">
      <c r="A28" s="48" t="s">
        <v>38</v>
      </c>
      <c r="B28" s="57">
        <v>0.59701732764050963</v>
      </c>
      <c r="C28" s="57">
        <v>0.57600077224977164</v>
      </c>
      <c r="D28" s="57">
        <v>0.61097149373681692</v>
      </c>
      <c r="E28" s="57">
        <v>0.52088397907214601</v>
      </c>
      <c r="F28" s="67">
        <v>1</v>
      </c>
      <c r="G28" s="64">
        <v>0.64376617666149827</v>
      </c>
    </row>
    <row r="29" spans="1:8" ht="16" thickBot="1" x14ac:dyDescent="0.4">
      <c r="A29" s="61" t="s">
        <v>33</v>
      </c>
      <c r="B29" s="65">
        <v>0.77886134684878838</v>
      </c>
      <c r="C29" s="65">
        <v>0.99215467909386024</v>
      </c>
      <c r="D29" s="65">
        <v>0.52273952479259622</v>
      </c>
      <c r="E29" s="65">
        <v>0.80468440916000772</v>
      </c>
      <c r="F29" s="65">
        <v>0.64376617666149827</v>
      </c>
      <c r="G29" s="68">
        <v>1</v>
      </c>
    </row>
    <row r="32" spans="1:8" x14ac:dyDescent="0.35">
      <c r="A32" s="6" t="s">
        <v>216</v>
      </c>
    </row>
    <row r="34" spans="1:2" x14ac:dyDescent="0.35">
      <c r="A34" s="2" t="s">
        <v>217</v>
      </c>
    </row>
    <row r="35" spans="1:2" ht="16" thickBot="1" x14ac:dyDescent="0.4"/>
    <row r="36" spans="1:2" x14ac:dyDescent="0.35">
      <c r="A36" s="69" t="s">
        <v>92</v>
      </c>
      <c r="B36" s="70">
        <v>25</v>
      </c>
    </row>
    <row r="37" spans="1:2" x14ac:dyDescent="0.35">
      <c r="A37" s="48" t="s">
        <v>102</v>
      </c>
      <c r="B37" s="54">
        <v>25</v>
      </c>
    </row>
    <row r="38" spans="1:2" x14ac:dyDescent="0.35">
      <c r="A38" s="48" t="s">
        <v>103</v>
      </c>
      <c r="B38" s="54">
        <v>19</v>
      </c>
    </row>
    <row r="39" spans="1:2" x14ac:dyDescent="0.35">
      <c r="A39" s="48" t="s">
        <v>104</v>
      </c>
      <c r="B39" s="57">
        <v>0.99605426782616269</v>
      </c>
    </row>
    <row r="40" spans="1:2" x14ac:dyDescent="0.35">
      <c r="A40" s="48" t="s">
        <v>105</v>
      </c>
      <c r="B40" s="57">
        <v>0.99501591725410021</v>
      </c>
    </row>
    <row r="41" spans="1:2" x14ac:dyDescent="0.35">
      <c r="A41" s="48" t="s">
        <v>106</v>
      </c>
      <c r="B41" s="57">
        <v>1857347.4941731624</v>
      </c>
    </row>
    <row r="42" spans="1:2" x14ac:dyDescent="0.35">
      <c r="A42" s="48" t="s">
        <v>107</v>
      </c>
      <c r="B42" s="57">
        <v>1362.8453669338874</v>
      </c>
    </row>
    <row r="43" spans="1:2" x14ac:dyDescent="0.35">
      <c r="A43" s="48" t="s">
        <v>108</v>
      </c>
      <c r="B43" s="57">
        <v>1.3316464458567336</v>
      </c>
    </row>
    <row r="44" spans="1:2" x14ac:dyDescent="0.35">
      <c r="A44" s="48" t="s">
        <v>109</v>
      </c>
      <c r="B44" s="57">
        <v>2.2716038031958306</v>
      </c>
    </row>
    <row r="45" spans="1:2" x14ac:dyDescent="0.35">
      <c r="A45" s="48" t="s">
        <v>110</v>
      </c>
      <c r="B45" s="57">
        <v>6</v>
      </c>
    </row>
    <row r="46" spans="1:2" x14ac:dyDescent="0.35">
      <c r="A46" s="48" t="s">
        <v>111</v>
      </c>
      <c r="B46" s="57">
        <v>366.00557759421304</v>
      </c>
    </row>
    <row r="47" spans="1:2" x14ac:dyDescent="0.35">
      <c r="A47" s="48" t="s">
        <v>112</v>
      </c>
      <c r="B47" s="57">
        <v>370.67224426087972</v>
      </c>
    </row>
    <row r="48" spans="1:2" x14ac:dyDescent="0.35">
      <c r="A48" s="48" t="s">
        <v>113</v>
      </c>
      <c r="B48" s="57">
        <v>373.31883254342222</v>
      </c>
    </row>
    <row r="49" spans="1:8" ht="16" thickBot="1" x14ac:dyDescent="0.4">
      <c r="A49" s="52" t="s">
        <v>114</v>
      </c>
      <c r="B49" s="58">
        <v>6.4377735467872144E-3</v>
      </c>
    </row>
    <row r="52" spans="1:8" x14ac:dyDescent="0.35">
      <c r="A52" s="2" t="s">
        <v>218</v>
      </c>
    </row>
    <row r="53" spans="1:8" ht="16" thickBot="1" x14ac:dyDescent="0.4"/>
    <row r="54" spans="1:8" ht="46.5" x14ac:dyDescent="0.35">
      <c r="A54" s="49" t="s">
        <v>116</v>
      </c>
      <c r="B54" s="50" t="s">
        <v>103</v>
      </c>
      <c r="C54" s="50" t="s">
        <v>117</v>
      </c>
      <c r="D54" s="50" t="s">
        <v>118</v>
      </c>
      <c r="E54" s="50" t="s">
        <v>119</v>
      </c>
      <c r="F54" s="50" t="s">
        <v>120</v>
      </c>
      <c r="G54" s="50" t="s">
        <v>121</v>
      </c>
    </row>
    <row r="55" spans="1:8" x14ac:dyDescent="0.35">
      <c r="A55" s="60" t="s">
        <v>122</v>
      </c>
      <c r="B55" s="62">
        <v>5</v>
      </c>
      <c r="C55" s="62">
        <v>8908450325.850708</v>
      </c>
      <c r="D55" s="62">
        <v>1781690065.1701417</v>
      </c>
      <c r="E55" s="62">
        <v>959.2658728426577</v>
      </c>
      <c r="F55" s="74">
        <v>3.8376501939796594E-22</v>
      </c>
      <c r="G55" s="77" t="s">
        <v>125</v>
      </c>
    </row>
    <row r="56" spans="1:8" x14ac:dyDescent="0.35">
      <c r="A56" s="48" t="s">
        <v>123</v>
      </c>
      <c r="B56" s="57">
        <v>19</v>
      </c>
      <c r="C56" s="57">
        <v>35289602.389290087</v>
      </c>
      <c r="D56" s="57">
        <v>1857347.4941731624</v>
      </c>
      <c r="E56" s="57"/>
      <c r="F56" s="75"/>
      <c r="G56" s="78" t="s">
        <v>126</v>
      </c>
    </row>
    <row r="57" spans="1:8" ht="16" thickBot="1" x14ac:dyDescent="0.4">
      <c r="A57" s="52" t="s">
        <v>124</v>
      </c>
      <c r="B57" s="58">
        <v>24</v>
      </c>
      <c r="C57" s="58">
        <v>8943739928.2399979</v>
      </c>
      <c r="D57" s="58"/>
      <c r="E57" s="58"/>
      <c r="F57" s="76"/>
      <c r="G57" s="79" t="s">
        <v>126</v>
      </c>
    </row>
    <row r="58" spans="1:8" x14ac:dyDescent="0.35">
      <c r="A58" s="80" t="s">
        <v>127</v>
      </c>
    </row>
    <row r="59" spans="1:8" x14ac:dyDescent="0.35">
      <c r="A59" s="80" t="s">
        <v>128</v>
      </c>
    </row>
    <row r="62" spans="1:8" x14ac:dyDescent="0.35">
      <c r="A62" s="2" t="s">
        <v>219</v>
      </c>
    </row>
    <row r="63" spans="1:8" ht="16" thickBot="1" x14ac:dyDescent="0.4"/>
    <row r="64" spans="1:8" ht="46.5" x14ac:dyDescent="0.35">
      <c r="A64" s="49" t="s">
        <v>116</v>
      </c>
      <c r="B64" s="50" t="s">
        <v>130</v>
      </c>
      <c r="C64" s="50" t="s">
        <v>131</v>
      </c>
      <c r="D64" s="50" t="s">
        <v>132</v>
      </c>
      <c r="E64" s="50" t="s">
        <v>133</v>
      </c>
      <c r="F64" s="50" t="s">
        <v>134</v>
      </c>
      <c r="G64" s="50" t="s">
        <v>135</v>
      </c>
      <c r="H64" s="50" t="s">
        <v>121</v>
      </c>
    </row>
    <row r="65" spans="1:8" x14ac:dyDescent="0.35">
      <c r="A65" s="60" t="s">
        <v>16</v>
      </c>
      <c r="B65" s="62">
        <v>55278.317534797032</v>
      </c>
      <c r="C65" s="62">
        <v>468.49327002479924</v>
      </c>
      <c r="D65" s="62">
        <v>117.99170035435286</v>
      </c>
      <c r="E65" s="74">
        <v>1.0826151002046826E-28</v>
      </c>
      <c r="F65" s="62">
        <v>54297.749851454741</v>
      </c>
      <c r="G65" s="62">
        <v>56258.885218139323</v>
      </c>
      <c r="H65" s="77" t="s">
        <v>125</v>
      </c>
    </row>
    <row r="66" spans="1:8" x14ac:dyDescent="0.35">
      <c r="A66" s="48" t="s">
        <v>34</v>
      </c>
      <c r="B66" s="57">
        <v>12020.56017808453</v>
      </c>
      <c r="C66" s="57">
        <v>3897.0214513452638</v>
      </c>
      <c r="D66" s="57">
        <v>3.0845506826591871</v>
      </c>
      <c r="E66" s="75">
        <v>6.1015549990086626E-3</v>
      </c>
      <c r="F66" s="57">
        <v>3864.0005411049551</v>
      </c>
      <c r="G66" s="57">
        <v>20177.119815064107</v>
      </c>
      <c r="H66" s="78" t="s">
        <v>136</v>
      </c>
    </row>
    <row r="67" spans="1:8" x14ac:dyDescent="0.35">
      <c r="A67" s="48" t="s">
        <v>35</v>
      </c>
      <c r="B67" s="57">
        <v>14337.282873957533</v>
      </c>
      <c r="C67" s="57">
        <v>447.26919181290197</v>
      </c>
      <c r="D67" s="57">
        <v>32.055154113889849</v>
      </c>
      <c r="E67" s="75">
        <v>0</v>
      </c>
      <c r="F67" s="57">
        <v>13401.137696838678</v>
      </c>
      <c r="G67" s="57">
        <v>15273.428051076387</v>
      </c>
      <c r="H67" s="78" t="s">
        <v>125</v>
      </c>
    </row>
    <row r="68" spans="1:8" x14ac:dyDescent="0.35">
      <c r="A68" s="48" t="s">
        <v>36</v>
      </c>
      <c r="B68" s="57">
        <v>6711.1804883448876</v>
      </c>
      <c r="C68" s="57">
        <v>2546.4601700433077</v>
      </c>
      <c r="D68" s="57">
        <v>2.6354939956633019</v>
      </c>
      <c r="E68" s="75">
        <v>1.6300050085137796E-2</v>
      </c>
      <c r="F68" s="57">
        <v>1381.3780996561118</v>
      </c>
      <c r="G68" s="57">
        <v>12040.982877033664</v>
      </c>
      <c r="H68" s="78" t="s">
        <v>220</v>
      </c>
    </row>
    <row r="69" spans="1:8" x14ac:dyDescent="0.35">
      <c r="A69" s="48" t="s">
        <v>37</v>
      </c>
      <c r="B69" s="57">
        <v>5162.1708690186824</v>
      </c>
      <c r="C69" s="57">
        <v>4067.2572595333913</v>
      </c>
      <c r="D69" s="57">
        <v>1.269201955917316</v>
      </c>
      <c r="E69" s="72">
        <v>0.21969676493711865</v>
      </c>
      <c r="F69" s="57">
        <v>-3350.6964093664974</v>
      </c>
      <c r="G69" s="57">
        <v>13675.038147403862</v>
      </c>
      <c r="H69" s="78" t="s">
        <v>137</v>
      </c>
    </row>
    <row r="70" spans="1:8" ht="16" thickBot="1" x14ac:dyDescent="0.4">
      <c r="A70" s="52" t="s">
        <v>38</v>
      </c>
      <c r="B70" s="58">
        <v>12307.680282295463</v>
      </c>
      <c r="C70" s="58">
        <v>4295.852309698621</v>
      </c>
      <c r="D70" s="58">
        <v>2.8650147619155275</v>
      </c>
      <c r="E70" s="76">
        <v>9.9110200250973612E-3</v>
      </c>
      <c r="F70" s="58">
        <v>3316.3580652680066</v>
      </c>
      <c r="G70" s="58">
        <v>21299.00249932292</v>
      </c>
      <c r="H70" s="79" t="s">
        <v>136</v>
      </c>
    </row>
    <row r="71" spans="1:8" x14ac:dyDescent="0.35">
      <c r="A71" s="80" t="s">
        <v>128</v>
      </c>
    </row>
    <row r="74" spans="1:8" x14ac:dyDescent="0.35">
      <c r="A74" s="2" t="s">
        <v>221</v>
      </c>
    </row>
    <row r="76" spans="1:8" x14ac:dyDescent="0.35">
      <c r="A76" t="s">
        <v>222</v>
      </c>
    </row>
    <row r="79" spans="1:8" x14ac:dyDescent="0.35">
      <c r="A79" s="2" t="s">
        <v>223</v>
      </c>
    </row>
    <row r="80" spans="1:8" ht="16" thickBot="1" x14ac:dyDescent="0.4"/>
    <row r="81" spans="1:8" ht="46.5" x14ac:dyDescent="0.35">
      <c r="A81" s="49" t="s">
        <v>116</v>
      </c>
      <c r="B81" s="50" t="s">
        <v>130</v>
      </c>
      <c r="C81" s="50" t="s">
        <v>131</v>
      </c>
      <c r="D81" s="50" t="s">
        <v>132</v>
      </c>
      <c r="E81" s="50" t="s">
        <v>133</v>
      </c>
      <c r="F81" s="50" t="s">
        <v>134</v>
      </c>
      <c r="G81" s="50" t="s">
        <v>135</v>
      </c>
      <c r="H81" s="50" t="s">
        <v>121</v>
      </c>
    </row>
    <row r="82" spans="1:8" x14ac:dyDescent="0.35">
      <c r="A82" s="60" t="s">
        <v>34</v>
      </c>
      <c r="B82" s="62">
        <v>7.2280145534095244E-2</v>
      </c>
      <c r="C82" s="62">
        <v>2.3432957655856256E-2</v>
      </c>
      <c r="D82" s="62">
        <v>3.0845506826591875</v>
      </c>
      <c r="E82" s="74">
        <v>6.1015549990086626E-3</v>
      </c>
      <c r="F82" s="62">
        <v>2.323440150186027E-2</v>
      </c>
      <c r="G82" s="62">
        <v>0.12132588956633023</v>
      </c>
      <c r="H82" s="77" t="s">
        <v>136</v>
      </c>
    </row>
    <row r="83" spans="1:8" x14ac:dyDescent="0.35">
      <c r="A83" s="48" t="s">
        <v>35</v>
      </c>
      <c r="B83" s="57">
        <v>0.85650488279214776</v>
      </c>
      <c r="C83" s="57">
        <v>2.6719724377210676E-2</v>
      </c>
      <c r="D83" s="57">
        <v>32.055154113889849</v>
      </c>
      <c r="E83" s="75">
        <v>0</v>
      </c>
      <c r="F83" s="57">
        <v>0.80057985695192768</v>
      </c>
      <c r="G83" s="57">
        <v>0.91242990863236784</v>
      </c>
      <c r="H83" s="78" t="s">
        <v>125</v>
      </c>
    </row>
    <row r="84" spans="1:8" x14ac:dyDescent="0.35">
      <c r="A84" s="48" t="s">
        <v>36</v>
      </c>
      <c r="B84" s="57">
        <v>4.9234226476023664E-2</v>
      </c>
      <c r="C84" s="57">
        <v>1.8681213676463866E-2</v>
      </c>
      <c r="D84" s="57">
        <v>2.635493995663301</v>
      </c>
      <c r="E84" s="75">
        <v>1.6300050085138018E-2</v>
      </c>
      <c r="F84" s="57">
        <v>1.0133996891545538E-2</v>
      </c>
      <c r="G84" s="57">
        <v>8.833445606050179E-2</v>
      </c>
      <c r="H84" s="78" t="s">
        <v>220</v>
      </c>
    </row>
    <row r="85" spans="1:8" x14ac:dyDescent="0.35">
      <c r="A85" s="48" t="s">
        <v>37</v>
      </c>
      <c r="B85" s="57">
        <v>3.0992708705574554E-2</v>
      </c>
      <c r="C85" s="57">
        <v>2.4419052114660954E-2</v>
      </c>
      <c r="D85" s="57">
        <v>1.269201955917316</v>
      </c>
      <c r="E85" s="72">
        <v>0.21969676493711865</v>
      </c>
      <c r="F85" s="57">
        <v>-2.0116954748545846E-2</v>
      </c>
      <c r="G85" s="57">
        <v>8.2102372159694958E-2</v>
      </c>
      <c r="H85" s="78" t="s">
        <v>137</v>
      </c>
    </row>
    <row r="86" spans="1:8" ht="16" thickBot="1" x14ac:dyDescent="0.4">
      <c r="A86" s="52" t="s">
        <v>38</v>
      </c>
      <c r="B86" s="58">
        <v>6.1041889083471912E-2</v>
      </c>
      <c r="C86" s="58">
        <v>2.1305959709142917E-2</v>
      </c>
      <c r="D86" s="58">
        <v>2.8650147619155271</v>
      </c>
      <c r="E86" s="76">
        <v>9.9110200250973612E-3</v>
      </c>
      <c r="F86" s="58">
        <v>1.6448002916713028E-2</v>
      </c>
      <c r="G86" s="58">
        <v>0.1056357752502308</v>
      </c>
      <c r="H86" s="79" t="s">
        <v>136</v>
      </c>
    </row>
    <row r="87" spans="1:8" x14ac:dyDescent="0.35">
      <c r="A87" s="80" t="s">
        <v>128</v>
      </c>
    </row>
    <row r="106" spans="1:12" x14ac:dyDescent="0.35">
      <c r="D106" t="s">
        <v>141</v>
      </c>
    </row>
    <row r="109" spans="1:12" x14ac:dyDescent="0.35">
      <c r="A109" s="2" t="s">
        <v>224</v>
      </c>
    </row>
    <row r="110" spans="1:12" ht="16" thickBot="1" x14ac:dyDescent="0.4"/>
    <row r="111" spans="1:12" ht="62" x14ac:dyDescent="0.35">
      <c r="A111" s="49" t="s">
        <v>143</v>
      </c>
      <c r="B111" s="50" t="s">
        <v>144</v>
      </c>
      <c r="C111" s="50" t="s">
        <v>33</v>
      </c>
      <c r="D111" s="50" t="s">
        <v>225</v>
      </c>
      <c r="E111" s="50" t="s">
        <v>188</v>
      </c>
      <c r="F111" s="50" t="s">
        <v>189</v>
      </c>
      <c r="G111" s="50" t="s">
        <v>190</v>
      </c>
      <c r="H111" s="50" t="s">
        <v>191</v>
      </c>
      <c r="I111" s="50" t="s">
        <v>192</v>
      </c>
      <c r="J111" s="50" t="s">
        <v>193</v>
      </c>
      <c r="K111" s="50" t="s">
        <v>194</v>
      </c>
      <c r="L111" s="50" t="s">
        <v>195</v>
      </c>
    </row>
    <row r="112" spans="1:12" x14ac:dyDescent="0.35">
      <c r="A112" s="60" t="s">
        <v>145</v>
      </c>
      <c r="B112" s="81">
        <v>1</v>
      </c>
      <c r="C112" s="62">
        <v>60482</v>
      </c>
      <c r="D112" s="62">
        <v>60919.718497420494</v>
      </c>
      <c r="E112" s="62">
        <v>-437.7184974204938</v>
      </c>
      <c r="F112" s="62">
        <v>-0.32117986973479423</v>
      </c>
      <c r="G112" s="62">
        <v>399.392454204177</v>
      </c>
      <c r="H112" s="62">
        <v>60083.780483748167</v>
      </c>
      <c r="I112" s="62">
        <v>61755.65651109282</v>
      </c>
      <c r="J112" s="62">
        <v>1420.1626057069655</v>
      </c>
      <c r="K112" s="62">
        <v>57947.284002953325</v>
      </c>
      <c r="L112" s="62">
        <v>63892.152991887662</v>
      </c>
    </row>
    <row r="113" spans="1:12" x14ac:dyDescent="0.35">
      <c r="A113" s="48" t="s">
        <v>146</v>
      </c>
      <c r="B113" s="54">
        <v>1</v>
      </c>
      <c r="C113" s="57">
        <v>57530</v>
      </c>
      <c r="D113" s="57">
        <v>56800.246797528838</v>
      </c>
      <c r="E113" s="57">
        <v>729.75320247116179</v>
      </c>
      <c r="F113" s="57">
        <v>0.53546295139334221</v>
      </c>
      <c r="G113" s="57">
        <v>748.44077957540037</v>
      </c>
      <c r="H113" s="57">
        <v>55233.742242813882</v>
      </c>
      <c r="I113" s="57">
        <v>58366.751352243795</v>
      </c>
      <c r="J113" s="57">
        <v>1554.8347483590003</v>
      </c>
      <c r="K113" s="57">
        <v>53545.940269074803</v>
      </c>
      <c r="L113" s="57">
        <v>60054.553325982874</v>
      </c>
    </row>
    <row r="114" spans="1:12" x14ac:dyDescent="0.35">
      <c r="A114" s="48" t="s">
        <v>147</v>
      </c>
      <c r="B114" s="54">
        <v>1</v>
      </c>
      <c r="C114" s="57">
        <v>85904</v>
      </c>
      <c r="D114" s="57">
        <v>84932.356914308533</v>
      </c>
      <c r="E114" s="57">
        <v>971.64308569146669</v>
      </c>
      <c r="F114" s="57">
        <v>0.71295182070248897</v>
      </c>
      <c r="G114" s="57">
        <v>1062.3272201007806</v>
      </c>
      <c r="H114" s="57">
        <v>82708.880489320523</v>
      </c>
      <c r="I114" s="57">
        <v>87155.833339296543</v>
      </c>
      <c r="J114" s="57">
        <v>1727.9718217436923</v>
      </c>
      <c r="K114" s="57">
        <v>81315.670326605177</v>
      </c>
      <c r="L114" s="57">
        <v>88549.043502011889</v>
      </c>
    </row>
    <row r="115" spans="1:12" x14ac:dyDescent="0.35">
      <c r="A115" s="48" t="s">
        <v>148</v>
      </c>
      <c r="B115" s="54">
        <v>1</v>
      </c>
      <c r="C115" s="57">
        <v>60904</v>
      </c>
      <c r="D115" s="57">
        <v>62203.866520239077</v>
      </c>
      <c r="E115" s="57">
        <v>-1299.8665202390766</v>
      </c>
      <c r="F115" s="57">
        <v>-0.95378870690480477</v>
      </c>
      <c r="G115" s="57">
        <v>734.24354945214941</v>
      </c>
      <c r="H115" s="57">
        <v>60667.07710967357</v>
      </c>
      <c r="I115" s="57">
        <v>63740.655930804583</v>
      </c>
      <c r="J115" s="57">
        <v>1548.0507369221634</v>
      </c>
      <c r="K115" s="57">
        <v>58963.75909090558</v>
      </c>
      <c r="L115" s="57">
        <v>65443.973949572573</v>
      </c>
    </row>
    <row r="116" spans="1:12" x14ac:dyDescent="0.35">
      <c r="A116" s="48" t="s">
        <v>149</v>
      </c>
      <c r="B116" s="54">
        <v>1</v>
      </c>
      <c r="C116" s="57">
        <v>58012</v>
      </c>
      <c r="D116" s="57">
        <v>58086.884307408465</v>
      </c>
      <c r="E116" s="57">
        <v>-74.884307408465247</v>
      </c>
      <c r="F116" s="57">
        <v>-5.4947031574784623E-2</v>
      </c>
      <c r="G116" s="57">
        <v>419.00160165666222</v>
      </c>
      <c r="H116" s="57">
        <v>57209.903876437842</v>
      </c>
      <c r="I116" s="57">
        <v>58963.864738379089</v>
      </c>
      <c r="J116" s="57">
        <v>1425.8014715815139</v>
      </c>
      <c r="K116" s="57">
        <v>55102.647531028066</v>
      </c>
      <c r="L116" s="57">
        <v>61071.121083788865</v>
      </c>
    </row>
    <row r="117" spans="1:12" x14ac:dyDescent="0.35">
      <c r="A117" s="48" t="s">
        <v>150</v>
      </c>
      <c r="B117" s="54">
        <v>1</v>
      </c>
      <c r="C117" s="57">
        <v>70000</v>
      </c>
      <c r="D117" s="57">
        <v>69751.719040698197</v>
      </c>
      <c r="E117" s="57">
        <v>248.2809593018028</v>
      </c>
      <c r="F117" s="57">
        <v>0.18217837865229145</v>
      </c>
      <c r="G117" s="57">
        <v>635.39283597703832</v>
      </c>
      <c r="H117" s="57">
        <v>68421.826551200298</v>
      </c>
      <c r="I117" s="57">
        <v>71081.611530196096</v>
      </c>
      <c r="J117" s="57">
        <v>1503.6859878924542</v>
      </c>
      <c r="K117" s="57">
        <v>66604.468098237645</v>
      </c>
      <c r="L117" s="57">
        <v>72898.96998315875</v>
      </c>
    </row>
    <row r="118" spans="1:12" x14ac:dyDescent="0.35">
      <c r="A118" s="48" t="s">
        <v>151</v>
      </c>
      <c r="B118" s="54">
        <v>1</v>
      </c>
      <c r="C118" s="57">
        <v>54578</v>
      </c>
      <c r="D118" s="57">
        <v>54486.784228456978</v>
      </c>
      <c r="E118" s="57">
        <v>91.215771543022129</v>
      </c>
      <c r="F118" s="57">
        <v>6.6930389724432382E-2</v>
      </c>
      <c r="G118" s="57">
        <v>501.95973105382876</v>
      </c>
      <c r="H118" s="57">
        <v>53436.170437175577</v>
      </c>
      <c r="I118" s="57">
        <v>55537.398019738379</v>
      </c>
      <c r="J118" s="57">
        <v>1452.3467443323564</v>
      </c>
      <c r="K118" s="57">
        <v>51446.987557686625</v>
      </c>
      <c r="L118" s="57">
        <v>57526.580899227331</v>
      </c>
    </row>
    <row r="119" spans="1:12" x14ac:dyDescent="0.35">
      <c r="A119" s="48" t="s">
        <v>152</v>
      </c>
      <c r="B119" s="54">
        <v>1</v>
      </c>
      <c r="C119" s="57">
        <v>58072</v>
      </c>
      <c r="D119" s="57">
        <v>56612.963749363487</v>
      </c>
      <c r="E119" s="57">
        <v>1459.0362506365127</v>
      </c>
      <c r="F119" s="57">
        <v>1.0705809228518965</v>
      </c>
      <c r="G119" s="57">
        <v>382.84585996765901</v>
      </c>
      <c r="H119" s="57">
        <v>55811.658155441502</v>
      </c>
      <c r="I119" s="57">
        <v>57414.269343285472</v>
      </c>
      <c r="J119" s="57">
        <v>1415.5982645749248</v>
      </c>
      <c r="K119" s="57">
        <v>53650.082530676766</v>
      </c>
      <c r="L119" s="57">
        <v>59575.844968050209</v>
      </c>
    </row>
    <row r="120" spans="1:12" x14ac:dyDescent="0.35">
      <c r="A120" s="48" t="s">
        <v>153</v>
      </c>
      <c r="B120" s="54">
        <v>1</v>
      </c>
      <c r="C120" s="57">
        <v>87892</v>
      </c>
      <c r="D120" s="57">
        <v>88263.395895885929</v>
      </c>
      <c r="E120" s="57">
        <v>-371.39589588592935</v>
      </c>
      <c r="F120" s="57">
        <v>-0.27251506656363461</v>
      </c>
      <c r="G120" s="57">
        <v>749.27414899542748</v>
      </c>
      <c r="H120" s="57">
        <v>86695.147078928916</v>
      </c>
      <c r="I120" s="57">
        <v>89831.644712842943</v>
      </c>
      <c r="J120" s="57">
        <v>1555.2360735676061</v>
      </c>
      <c r="K120" s="57">
        <v>85008.249384116774</v>
      </c>
      <c r="L120" s="57">
        <v>91518.542407655084</v>
      </c>
    </row>
    <row r="121" spans="1:12" x14ac:dyDescent="0.35">
      <c r="A121" s="48" t="s">
        <v>154</v>
      </c>
      <c r="B121" s="54">
        <v>1</v>
      </c>
      <c r="C121" s="57">
        <v>65843</v>
      </c>
      <c r="D121" s="57">
        <v>66164.18988727087</v>
      </c>
      <c r="E121" s="57">
        <v>-321.1898872708698</v>
      </c>
      <c r="F121" s="57">
        <v>-0.23567595786268755</v>
      </c>
      <c r="G121" s="57">
        <v>577.21821765774325</v>
      </c>
      <c r="H121" s="57">
        <v>64956.058273252893</v>
      </c>
      <c r="I121" s="57">
        <v>67372.321501288854</v>
      </c>
      <c r="J121" s="57">
        <v>1480.0433659082912</v>
      </c>
      <c r="K121" s="57">
        <v>63066.423521324992</v>
      </c>
      <c r="L121" s="57">
        <v>69261.956253216747</v>
      </c>
    </row>
    <row r="122" spans="1:12" x14ac:dyDescent="0.35">
      <c r="A122" s="48" t="s">
        <v>155</v>
      </c>
      <c r="B122" s="54">
        <v>1</v>
      </c>
      <c r="C122" s="57">
        <v>57590</v>
      </c>
      <c r="D122" s="57">
        <v>57375.152211647131</v>
      </c>
      <c r="E122" s="57">
        <v>214.84778835286852</v>
      </c>
      <c r="F122" s="57">
        <v>0.15764648988478452</v>
      </c>
      <c r="G122" s="57">
        <v>584.7822134345638</v>
      </c>
      <c r="H122" s="57">
        <v>56151.188972523218</v>
      </c>
      <c r="I122" s="57">
        <v>58599.115450771045</v>
      </c>
      <c r="J122" s="57">
        <v>1483.0096868606727</v>
      </c>
      <c r="K122" s="57">
        <v>54271.177264595761</v>
      </c>
      <c r="L122" s="57">
        <v>60479.127158698502</v>
      </c>
    </row>
    <row r="123" spans="1:12" x14ac:dyDescent="0.35">
      <c r="A123" s="48" t="s">
        <v>156</v>
      </c>
      <c r="B123" s="54">
        <v>1</v>
      </c>
      <c r="C123" s="57">
        <v>55120</v>
      </c>
      <c r="D123" s="57">
        <v>55287.54235206177</v>
      </c>
      <c r="E123" s="57">
        <v>-167.54235206176963</v>
      </c>
      <c r="F123" s="57">
        <v>-0.12293570211762495</v>
      </c>
      <c r="G123" s="57">
        <v>515.7500178752706</v>
      </c>
      <c r="H123" s="57">
        <v>54208.065158750258</v>
      </c>
      <c r="I123" s="57">
        <v>56367.019545373281</v>
      </c>
      <c r="J123" s="57">
        <v>1457.1704001631051</v>
      </c>
      <c r="K123" s="57">
        <v>52237.649653608991</v>
      </c>
      <c r="L123" s="57">
        <v>58337.435050514548</v>
      </c>
    </row>
    <row r="124" spans="1:12" x14ac:dyDescent="0.35">
      <c r="A124" s="48" t="s">
        <v>157</v>
      </c>
      <c r="B124" s="54">
        <v>1</v>
      </c>
      <c r="C124" s="57">
        <v>83795</v>
      </c>
      <c r="D124" s="57">
        <v>85056.388429087528</v>
      </c>
      <c r="E124" s="57">
        <v>-1261.3884290875285</v>
      </c>
      <c r="F124" s="57">
        <v>-0.92555506273274757</v>
      </c>
      <c r="G124" s="57">
        <v>717.83698691152949</v>
      </c>
      <c r="H124" s="57">
        <v>83553.938348564508</v>
      </c>
      <c r="I124" s="57">
        <v>86558.838509610548</v>
      </c>
      <c r="J124" s="57">
        <v>1540.3367923773637</v>
      </c>
      <c r="K124" s="57">
        <v>81832.426471238228</v>
      </c>
      <c r="L124" s="57">
        <v>88280.350386936829</v>
      </c>
    </row>
    <row r="125" spans="1:12" x14ac:dyDescent="0.35">
      <c r="A125" s="48" t="s">
        <v>158</v>
      </c>
      <c r="B125" s="54">
        <v>1</v>
      </c>
      <c r="C125" s="57">
        <v>55602</v>
      </c>
      <c r="D125" s="57">
        <v>54086.309451439483</v>
      </c>
      <c r="E125" s="57">
        <v>1515.6905485605166</v>
      </c>
      <c r="F125" s="57">
        <v>1.1121515216142961</v>
      </c>
      <c r="G125" s="57">
        <v>590.58420194580856</v>
      </c>
      <c r="H125" s="57">
        <v>52850.202510799965</v>
      </c>
      <c r="I125" s="57">
        <v>55322.416392079002</v>
      </c>
      <c r="J125" s="57">
        <v>1485.3071041912949</v>
      </c>
      <c r="K125" s="57">
        <v>50977.525954652832</v>
      </c>
      <c r="L125" s="57">
        <v>57195.092948226134</v>
      </c>
    </row>
    <row r="126" spans="1:12" x14ac:dyDescent="0.35">
      <c r="A126" s="48" t="s">
        <v>159</v>
      </c>
      <c r="B126" s="54">
        <v>1</v>
      </c>
      <c r="C126" s="57">
        <v>65060</v>
      </c>
      <c r="D126" s="57">
        <v>64196.352259743311</v>
      </c>
      <c r="E126" s="57">
        <v>863.64774025668885</v>
      </c>
      <c r="F126" s="57">
        <v>0.633709268278699</v>
      </c>
      <c r="G126" s="57">
        <v>435.67039665882197</v>
      </c>
      <c r="H126" s="57">
        <v>63284.483639880433</v>
      </c>
      <c r="I126" s="57">
        <v>65108.22087960619</v>
      </c>
      <c r="J126" s="57">
        <v>1430.7886596901785</v>
      </c>
      <c r="K126" s="57">
        <v>61201.677178689191</v>
      </c>
      <c r="L126" s="57">
        <v>67191.027340797431</v>
      </c>
    </row>
    <row r="127" spans="1:12" x14ac:dyDescent="0.35">
      <c r="A127" s="48" t="s">
        <v>160</v>
      </c>
      <c r="B127" s="54">
        <v>1</v>
      </c>
      <c r="C127" s="57">
        <v>57530</v>
      </c>
      <c r="D127" s="57">
        <v>58645.38901870868</v>
      </c>
      <c r="E127" s="57">
        <v>-1115.3890187086799</v>
      </c>
      <c r="F127" s="57">
        <v>-0.81842668711423094</v>
      </c>
      <c r="G127" s="57">
        <v>587.23152665654391</v>
      </c>
      <c r="H127" s="57">
        <v>57416.299308095149</v>
      </c>
      <c r="I127" s="57">
        <v>59874.478729322211</v>
      </c>
      <c r="J127" s="57">
        <v>1483.9772100920343</v>
      </c>
      <c r="K127" s="57">
        <v>55539.389022261174</v>
      </c>
      <c r="L127" s="57">
        <v>61751.389015156186</v>
      </c>
    </row>
    <row r="128" spans="1:12" x14ac:dyDescent="0.35">
      <c r="A128" s="48" t="s">
        <v>161</v>
      </c>
      <c r="B128" s="54">
        <v>1</v>
      </c>
      <c r="C128" s="57">
        <v>136024</v>
      </c>
      <c r="D128" s="57">
        <v>134033.5272082563</v>
      </c>
      <c r="E128" s="57">
        <v>1990.4727917436976</v>
      </c>
      <c r="F128" s="57">
        <v>1.4605272469185837</v>
      </c>
      <c r="G128" s="57">
        <v>1099.0989192670495</v>
      </c>
      <c r="H128" s="57">
        <v>131733.08673240343</v>
      </c>
      <c r="I128" s="57">
        <v>136333.96768410917</v>
      </c>
      <c r="J128" s="57">
        <v>1750.8186452363245</v>
      </c>
      <c r="K128" s="57">
        <v>130369.02166942327</v>
      </c>
      <c r="L128" s="57">
        <v>137698.03274708934</v>
      </c>
    </row>
    <row r="129" spans="1:12" x14ac:dyDescent="0.35">
      <c r="A129" s="48" t="s">
        <v>162</v>
      </c>
      <c r="B129" s="54">
        <v>1</v>
      </c>
      <c r="C129" s="57">
        <v>72048</v>
      </c>
      <c r="D129" s="57">
        <v>70752.855028737802</v>
      </c>
      <c r="E129" s="57">
        <v>1295.1449712621979</v>
      </c>
      <c r="F129" s="57">
        <v>0.95032422803476158</v>
      </c>
      <c r="G129" s="57">
        <v>818.9496588873177</v>
      </c>
      <c r="H129" s="57">
        <v>69038.773693595911</v>
      </c>
      <c r="I129" s="57">
        <v>72466.936363879693</v>
      </c>
      <c r="J129" s="57">
        <v>1589.9767413282548</v>
      </c>
      <c r="K129" s="57">
        <v>67424.995463690371</v>
      </c>
      <c r="L129" s="57">
        <v>74080.714593785233</v>
      </c>
    </row>
    <row r="130" spans="1:12" x14ac:dyDescent="0.35">
      <c r="A130" s="48" t="s">
        <v>163</v>
      </c>
      <c r="B130" s="54">
        <v>1</v>
      </c>
      <c r="C130" s="57">
        <v>57651</v>
      </c>
      <c r="D130" s="57">
        <v>58820.011931929774</v>
      </c>
      <c r="E130" s="57">
        <v>-1169.0119319297737</v>
      </c>
      <c r="F130" s="57">
        <v>-0.85777298018762194</v>
      </c>
      <c r="G130" s="57">
        <v>357.02423624531917</v>
      </c>
      <c r="H130" s="57">
        <v>58072.751617574366</v>
      </c>
      <c r="I130" s="57">
        <v>59567.272246285182</v>
      </c>
      <c r="J130" s="57">
        <v>1408.8341987046297</v>
      </c>
      <c r="K130" s="57">
        <v>55871.288065813045</v>
      </c>
      <c r="L130" s="57">
        <v>61768.735798046502</v>
      </c>
    </row>
    <row r="131" spans="1:12" x14ac:dyDescent="0.35">
      <c r="A131" s="48" t="s">
        <v>164</v>
      </c>
      <c r="B131" s="54">
        <v>1</v>
      </c>
      <c r="C131" s="57">
        <v>59578</v>
      </c>
      <c r="D131" s="57">
        <v>59769.28905854503</v>
      </c>
      <c r="E131" s="57">
        <v>-191.28905854502955</v>
      </c>
      <c r="F131" s="57">
        <v>-0.14036006078619859</v>
      </c>
      <c r="G131" s="57">
        <v>579.56595060089751</v>
      </c>
      <c r="H131" s="57">
        <v>58556.243583004441</v>
      </c>
      <c r="I131" s="57">
        <v>60982.334534085618</v>
      </c>
      <c r="J131" s="57">
        <v>1480.9605616859228</v>
      </c>
      <c r="K131" s="57">
        <v>56669.602979774252</v>
      </c>
      <c r="L131" s="57">
        <v>62868.975137315807</v>
      </c>
    </row>
    <row r="132" spans="1:12" x14ac:dyDescent="0.35">
      <c r="A132" s="48" t="s">
        <v>165</v>
      </c>
      <c r="B132" s="54">
        <v>1</v>
      </c>
      <c r="C132" s="57">
        <v>77349</v>
      </c>
      <c r="D132" s="57">
        <v>75386.675102748093</v>
      </c>
      <c r="E132" s="57">
        <v>1962.3248972519068</v>
      </c>
      <c r="F132" s="57">
        <v>1.4398734771111421</v>
      </c>
      <c r="G132" s="57">
        <v>780.65996537906585</v>
      </c>
      <c r="H132" s="57">
        <v>73752.735017142797</v>
      </c>
      <c r="I132" s="57">
        <v>77020.615188353389</v>
      </c>
      <c r="J132" s="57">
        <v>1570.5978083897885</v>
      </c>
      <c r="K132" s="57">
        <v>72099.376110483514</v>
      </c>
      <c r="L132" s="57">
        <v>78673.974095012672</v>
      </c>
    </row>
    <row r="133" spans="1:12" x14ac:dyDescent="0.35">
      <c r="A133" s="48" t="s">
        <v>166</v>
      </c>
      <c r="B133" s="54">
        <v>1</v>
      </c>
      <c r="C133" s="57">
        <v>86446</v>
      </c>
      <c r="D133" s="57">
        <v>88700.688006034252</v>
      </c>
      <c r="E133" s="57">
        <v>-2254.6880060342519</v>
      </c>
      <c r="F133" s="57">
        <v>-1.6543975279505267</v>
      </c>
      <c r="G133" s="57">
        <v>651.21110511445534</v>
      </c>
      <c r="H133" s="57">
        <v>87337.687498737621</v>
      </c>
      <c r="I133" s="57">
        <v>90063.688513330882</v>
      </c>
      <c r="J133" s="57">
        <v>1510.4381475577052</v>
      </c>
      <c r="K133" s="57">
        <v>85539.304630977262</v>
      </c>
      <c r="L133" s="57">
        <v>91862.071381091242</v>
      </c>
    </row>
    <row r="134" spans="1:12" x14ac:dyDescent="0.35">
      <c r="A134" s="48" t="s">
        <v>167</v>
      </c>
      <c r="B134" s="54">
        <v>1</v>
      </c>
      <c r="C134" s="57">
        <v>105241</v>
      </c>
      <c r="D134" s="57">
        <v>107682.65984200024</v>
      </c>
      <c r="E134" s="57">
        <v>-2441.659842000241</v>
      </c>
      <c r="F134" s="57">
        <v>-1.7915897879841329</v>
      </c>
      <c r="G134" s="57">
        <v>731.21416379384254</v>
      </c>
      <c r="H134" s="57">
        <v>106152.21100848669</v>
      </c>
      <c r="I134" s="57">
        <v>109213.10867551379</v>
      </c>
      <c r="J134" s="57">
        <v>1546.6161926948425</v>
      </c>
      <c r="K134" s="57">
        <v>104445.55494824119</v>
      </c>
      <c r="L134" s="57">
        <v>110919.76473575929</v>
      </c>
    </row>
    <row r="135" spans="1:12" x14ac:dyDescent="0.35">
      <c r="A135" s="48" t="s">
        <v>168</v>
      </c>
      <c r="B135" s="54">
        <v>1</v>
      </c>
      <c r="C135" s="57">
        <v>83253</v>
      </c>
      <c r="D135" s="57">
        <v>82485.811375940175</v>
      </c>
      <c r="E135" s="57">
        <v>767.18862405982509</v>
      </c>
      <c r="F135" s="57">
        <v>0.56293152743061126</v>
      </c>
      <c r="G135" s="57">
        <v>764.46621618715119</v>
      </c>
      <c r="H135" s="57">
        <v>80885.765196919499</v>
      </c>
      <c r="I135" s="57">
        <v>84085.85755496085</v>
      </c>
      <c r="J135" s="57">
        <v>1562.6119447465717</v>
      </c>
      <c r="K135" s="57">
        <v>79215.226988373557</v>
      </c>
      <c r="L135" s="57">
        <v>85756.395763506793</v>
      </c>
    </row>
    <row r="136" spans="1:12" ht="16" thickBot="1" x14ac:dyDescent="0.4">
      <c r="A136" s="52" t="s">
        <v>169</v>
      </c>
      <c r="B136" s="55">
        <v>1</v>
      </c>
      <c r="C136" s="58">
        <v>56084</v>
      </c>
      <c r="D136" s="58">
        <v>57087.222884539529</v>
      </c>
      <c r="E136" s="58">
        <v>-1003.2228845395293</v>
      </c>
      <c r="F136" s="58">
        <v>-0.73612378108351928</v>
      </c>
      <c r="G136" s="58">
        <v>618.86561525744389</v>
      </c>
      <c r="H136" s="58">
        <v>55791.922265555026</v>
      </c>
      <c r="I136" s="58">
        <v>58382.523503524033</v>
      </c>
      <c r="J136" s="58">
        <v>1496.7772526067922</v>
      </c>
      <c r="K136" s="58">
        <v>53954.432091215233</v>
      </c>
      <c r="L136" s="58">
        <v>60220.013677863826</v>
      </c>
    </row>
    <row r="155" spans="4:4" x14ac:dyDescent="0.35">
      <c r="D155" t="s">
        <v>141</v>
      </c>
    </row>
    <row r="174" spans="4:4" x14ac:dyDescent="0.35">
      <c r="D174" t="s">
        <v>141</v>
      </c>
    </row>
    <row r="177" spans="1:9" x14ac:dyDescent="0.35">
      <c r="A177" s="6" t="s">
        <v>196</v>
      </c>
    </row>
    <row r="179" spans="1:9" x14ac:dyDescent="0.35">
      <c r="A179" s="2" t="s">
        <v>226</v>
      </c>
    </row>
    <row r="180" spans="1:9" ht="16" thickBot="1" x14ac:dyDescent="0.4"/>
    <row r="181" spans="1:9" x14ac:dyDescent="0.35">
      <c r="A181" s="69" t="s">
        <v>198</v>
      </c>
      <c r="B181" s="82">
        <v>0.97162045374726447</v>
      </c>
    </row>
    <row r="182" spans="1:9" x14ac:dyDescent="0.35">
      <c r="A182" s="48" t="s">
        <v>199</v>
      </c>
      <c r="B182" s="72">
        <v>0.68635962616979518</v>
      </c>
    </row>
    <row r="183" spans="1:9" ht="16" thickBot="1" x14ac:dyDescent="0.4">
      <c r="A183" s="52" t="s">
        <v>200</v>
      </c>
      <c r="B183" s="55">
        <v>0.05</v>
      </c>
    </row>
    <row r="185" spans="1:9" x14ac:dyDescent="0.35">
      <c r="A185" s="2" t="s">
        <v>202</v>
      </c>
    </row>
    <row r="186" spans="1:9" x14ac:dyDescent="0.35">
      <c r="A186" s="2" t="s">
        <v>203</v>
      </c>
    </row>
    <row r="187" spans="1:9" x14ac:dyDescent="0.35">
      <c r="A187" s="2" t="s">
        <v>204</v>
      </c>
    </row>
    <row r="188" spans="1:9" ht="15.65" customHeight="1" x14ac:dyDescent="0.35">
      <c r="A188" s="102" t="s">
        <v>227</v>
      </c>
      <c r="B188" s="102"/>
      <c r="C188" s="102"/>
      <c r="D188" s="102"/>
      <c r="E188" s="102"/>
      <c r="F188" s="102"/>
      <c r="G188" s="102"/>
      <c r="H188" s="102"/>
      <c r="I188" s="102"/>
    </row>
    <row r="191" spans="1:9" x14ac:dyDescent="0.35">
      <c r="A191" s="2" t="s">
        <v>228</v>
      </c>
    </row>
    <row r="193" spans="1:6" x14ac:dyDescent="0.35">
      <c r="A193" s="103" t="s">
        <v>229</v>
      </c>
      <c r="B193" s="104"/>
      <c r="C193" s="104"/>
      <c r="D193" s="104"/>
      <c r="E193" s="104"/>
      <c r="F193" s="104"/>
    </row>
    <row r="194" spans="1:6" x14ac:dyDescent="0.35">
      <c r="A194" s="104"/>
      <c r="B194" s="104"/>
      <c r="C194" s="104"/>
      <c r="D194" s="104"/>
      <c r="E194" s="104"/>
      <c r="F194" s="104"/>
    </row>
    <row r="196" spans="1:6" x14ac:dyDescent="0.35">
      <c r="A196" s="103" t="s">
        <v>208</v>
      </c>
      <c r="B196" s="104"/>
      <c r="C196" s="104"/>
      <c r="D196" s="104"/>
      <c r="E196" s="104"/>
      <c r="F196" s="104"/>
    </row>
    <row r="197" spans="1:6" x14ac:dyDescent="0.35">
      <c r="A197" s="104"/>
      <c r="B197" s="104"/>
      <c r="C197" s="104"/>
      <c r="D197" s="104"/>
      <c r="E197" s="104"/>
      <c r="F197" s="104"/>
    </row>
    <row r="198" spans="1:6" x14ac:dyDescent="0.35">
      <c r="A198" s="104"/>
      <c r="B198" s="104"/>
      <c r="C198" s="104"/>
      <c r="D198" s="104"/>
      <c r="E198" s="104"/>
      <c r="F198" s="104"/>
    </row>
    <row r="998" spans="648:648" x14ac:dyDescent="0.35">
      <c r="XX998" s="47">
        <v>166765</v>
      </c>
    </row>
  </sheetData>
  <mergeCells count="3">
    <mergeCell ref="A188:I188"/>
    <mergeCell ref="A193:F194"/>
    <mergeCell ref="A196:F19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199948">
              <controlPr defaultSize="0" autoFill="0" autoPict="0" macro="[0]!GoToResultsNew2111202507292752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DD38-6D35-4FBF-9289-16C6A115761F}">
  <sheetPr codeName="Sheet12_HID">
    <tabColor rgb="FF007800"/>
  </sheetPr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50888.4207411668+(A1-1)*1593.50452041653</f>
        <v>50888.420741166803</v>
      </c>
      <c r="D1">
        <f t="shared" ref="D1:D32" si="1">0+1*C1-2852.46813500096*(1.04+(C1-70703.52)^2/8908450325.85071)^0.5</f>
        <v>47918.461932597886</v>
      </c>
      <c r="E1">
        <v>1</v>
      </c>
      <c r="G1">
        <f t="shared" ref="G1:G32" si="2">43269.0475611516+(E1-1)*1703.93021867762</f>
        <v>43269.047561151601</v>
      </c>
      <c r="H1">
        <f t="shared" ref="H1:H32" si="3">0+1*G1+2852.46813500096*(1.04+(G1-70703.52)^2/8908450325.85071)^0.5</f>
        <v>46293.857317998089</v>
      </c>
    </row>
    <row r="2" spans="1:8" x14ac:dyDescent="0.35">
      <c r="A2">
        <v>2</v>
      </c>
      <c r="C2">
        <f t="shared" si="0"/>
        <v>52481.925261583332</v>
      </c>
      <c r="D2">
        <f t="shared" si="1"/>
        <v>49521.301104698963</v>
      </c>
      <c r="E2">
        <v>2</v>
      </c>
      <c r="G2">
        <f t="shared" si="2"/>
        <v>44972.97777982922</v>
      </c>
      <c r="H2">
        <f t="shared" si="3"/>
        <v>47984.079529608818</v>
      </c>
    </row>
    <row r="3" spans="1:8" x14ac:dyDescent="0.35">
      <c r="A3">
        <v>3</v>
      </c>
      <c r="C3">
        <f t="shared" si="0"/>
        <v>54075.429781999861</v>
      </c>
      <c r="D3">
        <f t="shared" si="1"/>
        <v>51123.384058138305</v>
      </c>
      <c r="E3">
        <v>3</v>
      </c>
      <c r="G3">
        <f t="shared" si="2"/>
        <v>46676.907998506838</v>
      </c>
      <c r="H3">
        <f t="shared" si="3"/>
        <v>49675.123644159219</v>
      </c>
    </row>
    <row r="4" spans="1:8" x14ac:dyDescent="0.35">
      <c r="A4">
        <v>4</v>
      </c>
      <c r="C4">
        <f t="shared" si="0"/>
        <v>55668.934302416397</v>
      </c>
      <c r="D4">
        <f t="shared" si="1"/>
        <v>52724.704182856774</v>
      </c>
      <c r="E4">
        <v>4</v>
      </c>
      <c r="G4">
        <f t="shared" si="2"/>
        <v>48380.838217184457</v>
      </c>
      <c r="H4">
        <f t="shared" si="3"/>
        <v>51367.000301874519</v>
      </c>
    </row>
    <row r="5" spans="1:8" x14ac:dyDescent="0.35">
      <c r="A5">
        <v>5</v>
      </c>
      <c r="C5">
        <f t="shared" si="0"/>
        <v>57262.438822832926</v>
      </c>
      <c r="D5">
        <f t="shared" si="1"/>
        <v>54325.25538937399</v>
      </c>
      <c r="E5">
        <v>5</v>
      </c>
      <c r="G5">
        <f t="shared" si="2"/>
        <v>50084.768435862083</v>
      </c>
      <c r="H5">
        <f t="shared" si="3"/>
        <v>53059.719622376433</v>
      </c>
    </row>
    <row r="6" spans="1:8" x14ac:dyDescent="0.35">
      <c r="A6">
        <v>6</v>
      </c>
      <c r="C6">
        <f t="shared" si="0"/>
        <v>58855.943343249455</v>
      </c>
      <c r="D6">
        <f t="shared" si="1"/>
        <v>55925.032131636246</v>
      </c>
      <c r="E6">
        <v>6</v>
      </c>
      <c r="G6">
        <f t="shared" si="2"/>
        <v>51788.698654539701</v>
      </c>
      <c r="H6">
        <f t="shared" si="3"/>
        <v>54753.291165516988</v>
      </c>
    </row>
    <row r="7" spans="1:8" x14ac:dyDescent="0.35">
      <c r="A7">
        <v>7</v>
      </c>
      <c r="C7">
        <f t="shared" si="0"/>
        <v>60449.447863665984</v>
      </c>
      <c r="D7">
        <f t="shared" si="1"/>
        <v>57524.029428186172</v>
      </c>
      <c r="E7">
        <v>7</v>
      </c>
      <c r="G7">
        <f t="shared" si="2"/>
        <v>53492.62887321732</v>
      </c>
      <c r="H7">
        <f t="shared" si="3"/>
        <v>56447.723893354399</v>
      </c>
    </row>
    <row r="8" spans="1:8" x14ac:dyDescent="0.35">
      <c r="A8">
        <v>8</v>
      </c>
      <c r="C8">
        <f t="shared" si="0"/>
        <v>62042.952384082513</v>
      </c>
      <c r="D8">
        <f t="shared" si="1"/>
        <v>59122.242881471699</v>
      </c>
      <c r="E8">
        <v>8</v>
      </c>
      <c r="G8">
        <f t="shared" si="2"/>
        <v>55196.559091894938</v>
      </c>
      <c r="H8">
        <f t="shared" si="3"/>
        <v>58143.026133596264</v>
      </c>
    </row>
    <row r="9" spans="1:8" x14ac:dyDescent="0.35">
      <c r="A9">
        <v>9</v>
      </c>
      <c r="C9">
        <f t="shared" si="0"/>
        <v>63636.456904499042</v>
      </c>
      <c r="D9">
        <f t="shared" si="1"/>
        <v>60719.668695124245</v>
      </c>
      <c r="E9">
        <v>9</v>
      </c>
      <c r="G9">
        <f t="shared" si="2"/>
        <v>56900.489310572564</v>
      </c>
      <c r="H9">
        <f t="shared" si="3"/>
        <v>59839.205544835786</v>
      </c>
    </row>
    <row r="10" spans="1:8" x14ac:dyDescent="0.35">
      <c r="A10">
        <v>10</v>
      </c>
      <c r="C10">
        <f t="shared" si="0"/>
        <v>65229.961424915571</v>
      </c>
      <c r="D10">
        <f t="shared" si="1"/>
        <v>62316.303689050677</v>
      </c>
      <c r="E10">
        <v>10</v>
      </c>
      <c r="G10">
        <f t="shared" si="2"/>
        <v>58604.419529250183</v>
      </c>
      <c r="H10">
        <f t="shared" si="3"/>
        <v>61536.269083901498</v>
      </c>
    </row>
    <row r="11" spans="1:8" x14ac:dyDescent="0.35">
      <c r="A11">
        <v>11</v>
      </c>
      <c r="C11">
        <f t="shared" si="0"/>
        <v>66823.465945332107</v>
      </c>
      <c r="D11">
        <f t="shared" si="1"/>
        <v>63912.145312201217</v>
      </c>
      <c r="E11">
        <v>11</v>
      </c>
      <c r="G11">
        <f t="shared" si="2"/>
        <v>60308.349747927801</v>
      </c>
      <c r="H11">
        <f t="shared" si="3"/>
        <v>63234.222975631426</v>
      </c>
    </row>
    <row r="12" spans="1:8" x14ac:dyDescent="0.35">
      <c r="A12">
        <v>12</v>
      </c>
      <c r="C12">
        <f t="shared" si="0"/>
        <v>68416.970465748629</v>
      </c>
      <c r="D12">
        <f t="shared" si="1"/>
        <v>65507.19165289485</v>
      </c>
      <c r="E12">
        <v>12</v>
      </c>
      <c r="G12">
        <f t="shared" si="2"/>
        <v>62012.27996660542</v>
      </c>
      <c r="H12">
        <f t="shared" si="3"/>
        <v>64933.072685367471</v>
      </c>
    </row>
    <row r="13" spans="1:8" x14ac:dyDescent="0.35">
      <c r="A13">
        <v>13</v>
      </c>
      <c r="C13">
        <f t="shared" si="0"/>
        <v>70010.474986165165</v>
      </c>
      <c r="D13">
        <f t="shared" si="1"/>
        <v>67101.441446605575</v>
      </c>
      <c r="E13">
        <v>13</v>
      </c>
      <c r="G13">
        <f t="shared" si="2"/>
        <v>63716.210185283038</v>
      </c>
      <c r="H13">
        <f t="shared" si="3"/>
        <v>66632.822894445999</v>
      </c>
    </row>
    <row r="14" spans="1:8" x14ac:dyDescent="0.35">
      <c r="A14">
        <v>14</v>
      </c>
      <c r="C14">
        <f t="shared" si="0"/>
        <v>71603.979506581702</v>
      </c>
      <c r="D14">
        <f t="shared" si="1"/>
        <v>68694.894081135542</v>
      </c>
      <c r="E14">
        <v>14</v>
      </c>
      <c r="G14">
        <f t="shared" si="2"/>
        <v>65420.140403960657</v>
      </c>
      <c r="H14">
        <f t="shared" si="3"/>
        <v>68333.477478935878</v>
      </c>
    </row>
    <row r="15" spans="1:8" x14ac:dyDescent="0.35">
      <c r="A15">
        <v>15</v>
      </c>
      <c r="C15">
        <f t="shared" si="0"/>
        <v>73197.484026998223</v>
      </c>
      <c r="D15">
        <f t="shared" si="1"/>
        <v>70287.549599126229</v>
      </c>
      <c r="E15">
        <v>15</v>
      </c>
      <c r="G15">
        <f t="shared" si="2"/>
        <v>67124.070622638275</v>
      </c>
      <c r="H15">
        <f t="shared" si="3"/>
        <v>70035.039491845964</v>
      </c>
    </row>
    <row r="16" spans="1:8" x14ac:dyDescent="0.35">
      <c r="A16">
        <v>16</v>
      </c>
      <c r="C16">
        <f t="shared" si="0"/>
        <v>74790.98854741476</v>
      </c>
      <c r="D16">
        <f t="shared" si="1"/>
        <v>71879.408697883409</v>
      </c>
      <c r="E16">
        <v>16</v>
      </c>
      <c r="G16">
        <f t="shared" si="2"/>
        <v>68828.000841315894</v>
      </c>
      <c r="H16">
        <f t="shared" si="3"/>
        <v>71737.511148990423</v>
      </c>
    </row>
    <row r="17" spans="1:8" x14ac:dyDescent="0.35">
      <c r="A17">
        <v>17</v>
      </c>
      <c r="C17">
        <f t="shared" si="0"/>
        <v>76384.493067831281</v>
      </c>
      <c r="D17">
        <f t="shared" si="1"/>
        <v>73470.472726517575</v>
      </c>
      <c r="E17">
        <v>17</v>
      </c>
      <c r="G17">
        <f t="shared" si="2"/>
        <v>70531.931059993512</v>
      </c>
      <c r="H17">
        <f t="shared" si="3"/>
        <v>73440.89381866355</v>
      </c>
    </row>
    <row r="18" spans="1:8" x14ac:dyDescent="0.35">
      <c r="A18">
        <v>18</v>
      </c>
      <c r="C18">
        <f t="shared" si="0"/>
        <v>77977.997588247817</v>
      </c>
      <c r="D18">
        <f t="shared" si="1"/>
        <v>75060.743680427346</v>
      </c>
      <c r="E18">
        <v>18</v>
      </c>
      <c r="G18">
        <f t="shared" si="2"/>
        <v>72235.861278671131</v>
      </c>
      <c r="H18">
        <f t="shared" si="3"/>
        <v>75145.188015235952</v>
      </c>
    </row>
    <row r="19" spans="1:8" x14ac:dyDescent="0.35">
      <c r="A19">
        <v>19</v>
      </c>
      <c r="C19">
        <f t="shared" si="0"/>
        <v>79571.502108664339</v>
      </c>
      <c r="D19">
        <f t="shared" si="1"/>
        <v>76650.224193177957</v>
      </c>
      <c r="E19">
        <v>19</v>
      </c>
      <c r="G19">
        <f t="shared" si="2"/>
        <v>73939.791497348764</v>
      </c>
      <c r="H19">
        <f t="shared" si="3"/>
        <v>76850.393396741638</v>
      </c>
    </row>
    <row r="20" spans="1:8" x14ac:dyDescent="0.35">
      <c r="A20">
        <v>20</v>
      </c>
      <c r="C20">
        <f t="shared" si="0"/>
        <v>81165.006629080875</v>
      </c>
      <c r="D20">
        <f t="shared" si="1"/>
        <v>78238.917525852157</v>
      </c>
      <c r="E20">
        <v>20</v>
      </c>
      <c r="G20">
        <f t="shared" si="2"/>
        <v>75643.721716026383</v>
      </c>
      <c r="H20">
        <f t="shared" si="3"/>
        <v>78556.508766482497</v>
      </c>
    </row>
    <row r="21" spans="1:8" x14ac:dyDescent="0.35">
      <c r="A21">
        <v>21</v>
      </c>
      <c r="C21">
        <f t="shared" si="0"/>
        <v>82758.511149497412</v>
      </c>
      <c r="D21">
        <f t="shared" si="1"/>
        <v>79826.827553972471</v>
      </c>
      <c r="E21">
        <v>21</v>
      </c>
      <c r="G21">
        <f t="shared" si="2"/>
        <v>77347.651934704001</v>
      </c>
      <c r="H21">
        <f t="shared" si="3"/>
        <v>80263.532078632605</v>
      </c>
    </row>
    <row r="22" spans="1:8" x14ac:dyDescent="0.35">
      <c r="A22">
        <v>22</v>
      </c>
      <c r="C22">
        <f t="shared" si="0"/>
        <v>84352.015669913933</v>
      </c>
      <c r="D22">
        <f t="shared" si="1"/>
        <v>81413.958752116552</v>
      </c>
      <c r="E22">
        <v>22</v>
      </c>
      <c r="G22">
        <f t="shared" si="2"/>
        <v>79051.58215338162</v>
      </c>
      <c r="H22">
        <f t="shared" si="3"/>
        <v>81971.460447781268</v>
      </c>
    </row>
    <row r="23" spans="1:8" x14ac:dyDescent="0.35">
      <c r="A23">
        <v>23</v>
      </c>
      <c r="C23">
        <f t="shared" si="0"/>
        <v>85945.520190330455</v>
      </c>
      <c r="D23">
        <f t="shared" si="1"/>
        <v>83000.316176365581</v>
      </c>
      <c r="E23">
        <v>23</v>
      </c>
      <c r="G23">
        <f t="shared" si="2"/>
        <v>80755.512372059238</v>
      </c>
      <c r="H23">
        <f t="shared" si="3"/>
        <v>83680.290162311372</v>
      </c>
    </row>
    <row r="24" spans="1:8" x14ac:dyDescent="0.35">
      <c r="A24">
        <v>24</v>
      </c>
      <c r="C24">
        <f t="shared" si="0"/>
        <v>87539.024710747006</v>
      </c>
      <c r="D24">
        <f t="shared" si="1"/>
        <v>84585.905444743112</v>
      </c>
      <c r="E24">
        <v>24</v>
      </c>
      <c r="G24">
        <f t="shared" si="2"/>
        <v>82459.442590736857</v>
      </c>
      <c r="H24">
        <f t="shared" si="3"/>
        <v>85390.016701469242</v>
      </c>
    </row>
    <row r="25" spans="1:8" x14ac:dyDescent="0.35">
      <c r="A25">
        <v>25</v>
      </c>
      <c r="C25">
        <f t="shared" si="0"/>
        <v>89132.529231163528</v>
      </c>
      <c r="D25">
        <f t="shared" si="1"/>
        <v>86170.732715816339</v>
      </c>
      <c r="E25">
        <v>25</v>
      </c>
      <c r="G25">
        <f t="shared" si="2"/>
        <v>84163.372809414475</v>
      </c>
      <c r="H25">
        <f t="shared" si="3"/>
        <v>87100.634755944717</v>
      </c>
    </row>
    <row r="26" spans="1:8" x14ac:dyDescent="0.35">
      <c r="A26">
        <v>26</v>
      </c>
      <c r="C26">
        <f t="shared" si="0"/>
        <v>90726.033751580049</v>
      </c>
      <c r="D26">
        <f t="shared" si="1"/>
        <v>87754.804665643926</v>
      </c>
      <c r="E26">
        <v>26</v>
      </c>
      <c r="G26">
        <f t="shared" si="2"/>
        <v>85867.303028092108</v>
      </c>
      <c r="H26">
        <f t="shared" si="3"/>
        <v>88812.138251745739</v>
      </c>
    </row>
    <row r="27" spans="1:8" x14ac:dyDescent="0.35">
      <c r="A27">
        <v>27</v>
      </c>
      <c r="C27">
        <f t="shared" si="0"/>
        <v>92319.538271996586</v>
      </c>
      <c r="D27">
        <f t="shared" si="1"/>
        <v>89338.128463262838</v>
      </c>
      <c r="E27">
        <v>27</v>
      </c>
      <c r="G27">
        <f t="shared" si="2"/>
        <v>87571.233246769727</v>
      </c>
      <c r="H27">
        <f t="shared" si="3"/>
        <v>90524.520377122011</v>
      </c>
    </row>
    <row r="28" spans="1:8" x14ac:dyDescent="0.35">
      <c r="A28">
        <v>28</v>
      </c>
      <c r="C28">
        <f t="shared" si="0"/>
        <v>93913.042792413122</v>
      </c>
      <c r="D28">
        <f t="shared" si="1"/>
        <v>90920.711744914282</v>
      </c>
      <c r="E28">
        <v>28</v>
      </c>
      <c r="G28">
        <f t="shared" si="2"/>
        <v>89275.163465447346</v>
      </c>
      <c r="H28">
        <f t="shared" si="3"/>
        <v>92237.773612266305</v>
      </c>
    </row>
    <row r="29" spans="1:8" x14ac:dyDescent="0.35">
      <c r="A29">
        <v>29</v>
      </c>
      <c r="C29">
        <f t="shared" si="0"/>
        <v>95506.547312829643</v>
      </c>
      <c r="D29">
        <f t="shared" si="1"/>
        <v>92502.56258721136</v>
      </c>
      <c r="E29">
        <v>29</v>
      </c>
      <c r="G29">
        <f t="shared" si="2"/>
        <v>90979.093684124964</v>
      </c>
      <c r="H29">
        <f t="shared" si="3"/>
        <v>93951.88976150089</v>
      </c>
    </row>
    <row r="30" spans="1:8" x14ac:dyDescent="0.35">
      <c r="A30">
        <v>30</v>
      </c>
      <c r="C30">
        <f t="shared" si="0"/>
        <v>97100.05183324618</v>
      </c>
      <c r="D30">
        <f t="shared" si="1"/>
        <v>94083.689479452907</v>
      </c>
      <c r="E30">
        <v>30</v>
      </c>
      <c r="G30">
        <f t="shared" si="2"/>
        <v>92683.023902802583</v>
      </c>
      <c r="H30">
        <f t="shared" si="3"/>
        <v>95666.859987641306</v>
      </c>
    </row>
    <row r="31" spans="1:8" x14ac:dyDescent="0.35">
      <c r="A31">
        <v>31</v>
      </c>
      <c r="C31">
        <f t="shared" si="0"/>
        <v>98693.556353662716</v>
      </c>
      <c r="D31">
        <f t="shared" si="1"/>
        <v>95664.101295285815</v>
      </c>
      <c r="E31">
        <v>31</v>
      </c>
      <c r="G31">
        <f t="shared" si="2"/>
        <v>94386.954121480201</v>
      </c>
      <c r="H31">
        <f t="shared" si="3"/>
        <v>97382.674848217997</v>
      </c>
    </row>
    <row r="32" spans="1:8" x14ac:dyDescent="0.35">
      <c r="A32">
        <v>32</v>
      </c>
      <c r="C32">
        <f t="shared" si="0"/>
        <v>100287.06087407924</v>
      </c>
      <c r="D32">
        <f t="shared" si="1"/>
        <v>97243.807263914583</v>
      </c>
      <c r="E32">
        <v>32</v>
      </c>
      <c r="G32">
        <f t="shared" si="2"/>
        <v>96090.88434015782</v>
      </c>
      <c r="H32">
        <f t="shared" si="3"/>
        <v>99099.324333231314</v>
      </c>
    </row>
    <row r="33" spans="1:8" x14ac:dyDescent="0.35">
      <c r="A33">
        <v>33</v>
      </c>
      <c r="C33">
        <f t="shared" ref="C33:C64" si="4">50888.4207411668+(A33-1)*1593.50452041653</f>
        <v>101880.56539449576</v>
      </c>
      <c r="D33">
        <f t="shared" ref="D33:D64" si="5">0+1*C33-2852.46813500096*(1.04+(C33-70703.52)^2/8908450325.85071)^0.5</f>
        <v>98822.816941050667</v>
      </c>
      <c r="E33">
        <v>33</v>
      </c>
      <c r="G33">
        <f t="shared" ref="G33:G64" si="6">43269.0475611516+(E33-1)*1703.93021867762</f>
        <v>97794.814558835438</v>
      </c>
      <c r="H33">
        <f t="shared" ref="H33:H64" si="7">0+1*G33+2852.46813500096*(1.04+(G33-70703.52)^2/8908450325.85071)^0.5</f>
        <v>100816.79790411358</v>
      </c>
    </row>
    <row r="34" spans="1:8" x14ac:dyDescent="0.35">
      <c r="A34">
        <v>34</v>
      </c>
      <c r="C34">
        <f t="shared" si="4"/>
        <v>103474.0699149123</v>
      </c>
      <c r="D34">
        <f t="shared" si="5"/>
        <v>100401.14017978616</v>
      </c>
      <c r="E34">
        <v>34</v>
      </c>
      <c r="G34">
        <f t="shared" si="6"/>
        <v>99498.744777513057</v>
      </c>
      <c r="H34">
        <f t="shared" si="7"/>
        <v>102535.08453357623</v>
      </c>
    </row>
    <row r="35" spans="1:8" x14ac:dyDescent="0.35">
      <c r="A35">
        <v>35</v>
      </c>
      <c r="C35">
        <f t="shared" si="4"/>
        <v>105067.57443532883</v>
      </c>
      <c r="D35">
        <f t="shared" si="5"/>
        <v>101978.78710156668</v>
      </c>
      <c r="E35">
        <v>35</v>
      </c>
      <c r="G35">
        <f t="shared" si="6"/>
        <v>101202.67499619068</v>
      </c>
      <c r="H35">
        <f t="shared" si="7"/>
        <v>104254.1727460273</v>
      </c>
    </row>
    <row r="36" spans="1:8" x14ac:dyDescent="0.35">
      <c r="A36">
        <v>36</v>
      </c>
      <c r="C36">
        <f t="shared" si="4"/>
        <v>106661.07895574535</v>
      </c>
      <c r="D36">
        <f t="shared" si="5"/>
        <v>103555.76806742715</v>
      </c>
      <c r="E36">
        <v>36</v>
      </c>
      <c r="G36">
        <f t="shared" si="6"/>
        <v>102906.60521486829</v>
      </c>
      <c r="H36">
        <f t="shared" si="7"/>
        <v>105974.05065825648</v>
      </c>
    </row>
    <row r="37" spans="1:8" x14ac:dyDescent="0.35">
      <c r="A37">
        <v>37</v>
      </c>
      <c r="C37">
        <f t="shared" si="4"/>
        <v>108254.58347616189</v>
      </c>
      <c r="D37">
        <f t="shared" si="5"/>
        <v>105132.09364964261</v>
      </c>
      <c r="E37">
        <v>37</v>
      </c>
      <c r="G37">
        <f t="shared" si="6"/>
        <v>104610.53543354591</v>
      </c>
      <c r="H37">
        <f t="shared" si="7"/>
        <v>107694.70602009991</v>
      </c>
    </row>
    <row r="38" spans="1:8" x14ac:dyDescent="0.35">
      <c r="A38">
        <v>38</v>
      </c>
      <c r="C38">
        <f t="shared" si="4"/>
        <v>109848.08799657843</v>
      </c>
      <c r="D38">
        <f t="shared" si="5"/>
        <v>106707.77460393176</v>
      </c>
      <c r="E38">
        <v>38</v>
      </c>
      <c r="G38">
        <f t="shared" si="6"/>
        <v>106314.46565222353</v>
      </c>
      <c r="H38">
        <f t="shared" si="7"/>
        <v>109416.12625481427</v>
      </c>
    </row>
    <row r="39" spans="1:8" x14ac:dyDescent="0.35">
      <c r="A39">
        <v>39</v>
      </c>
      <c r="C39">
        <f t="shared" si="4"/>
        <v>111441.59251699495</v>
      </c>
      <c r="D39">
        <f t="shared" si="5"/>
        <v>108282.82184233899</v>
      </c>
      <c r="E39">
        <v>39</v>
      </c>
      <c r="G39">
        <f t="shared" si="6"/>
        <v>108018.39587090115</v>
      </c>
      <c r="H39">
        <f t="shared" si="7"/>
        <v>111138.29849891042</v>
      </c>
    </row>
    <row r="40" spans="1:8" x14ac:dyDescent="0.35">
      <c r="A40">
        <v>40</v>
      </c>
      <c r="C40">
        <f t="shared" si="4"/>
        <v>113035.09703741147</v>
      </c>
      <c r="D40">
        <f t="shared" si="5"/>
        <v>109857.24640690544</v>
      </c>
      <c r="E40">
        <v>40</v>
      </c>
      <c r="G40">
        <f t="shared" si="6"/>
        <v>109722.32608957878</v>
      </c>
      <c r="H40">
        <f t="shared" si="7"/>
        <v>112861.20964121805</v>
      </c>
    </row>
    <row r="41" spans="1:8" x14ac:dyDescent="0.35">
      <c r="A41">
        <v>41</v>
      </c>
      <c r="C41">
        <f t="shared" si="4"/>
        <v>114628.60155782801</v>
      </c>
      <c r="D41">
        <f t="shared" si="5"/>
        <v>111431.05944422582</v>
      </c>
      <c r="E41">
        <v>41</v>
      </c>
      <c r="G41">
        <f t="shared" si="6"/>
        <v>111426.2563082564</v>
      </c>
      <c r="H41">
        <f t="shared" si="7"/>
        <v>114584.84636097625</v>
      </c>
    </row>
    <row r="42" spans="1:8" x14ac:dyDescent="0.35">
      <c r="A42">
        <v>42</v>
      </c>
      <c r="C42">
        <f t="shared" si="4"/>
        <v>116222.10607824454</v>
      </c>
      <c r="D42">
        <f t="shared" si="5"/>
        <v>113004.27218097416</v>
      </c>
      <c r="E42">
        <v>42</v>
      </c>
      <c r="G42">
        <f t="shared" si="6"/>
        <v>113130.18652693402</v>
      </c>
      <c r="H42">
        <f t="shared" si="7"/>
        <v>116309.19516476861</v>
      </c>
    </row>
    <row r="43" spans="1:8" x14ac:dyDescent="0.35">
      <c r="A43">
        <v>43</v>
      </c>
      <c r="C43">
        <f t="shared" si="4"/>
        <v>117815.61059866106</v>
      </c>
      <c r="D43">
        <f t="shared" si="5"/>
        <v>114576.89590046737</v>
      </c>
      <c r="E43">
        <v>43</v>
      </c>
      <c r="G43">
        <f t="shared" si="6"/>
        <v>114834.11674561164</v>
      </c>
      <c r="H43">
        <f t="shared" si="7"/>
        <v>118034.24242214528</v>
      </c>
    </row>
    <row r="44" spans="1:8" x14ac:dyDescent="0.35">
      <c r="A44">
        <v>44</v>
      </c>
      <c r="C44">
        <f t="shared" si="4"/>
        <v>119409.1151190776</v>
      </c>
      <c r="D44">
        <f t="shared" si="5"/>
        <v>116148.94192032263</v>
      </c>
      <c r="E44">
        <v>44</v>
      </c>
      <c r="G44">
        <f t="shared" si="6"/>
        <v>116538.04696428926</v>
      </c>
      <c r="H44">
        <f t="shared" si="7"/>
        <v>119759.9743997989</v>
      </c>
    </row>
    <row r="45" spans="1:8" x14ac:dyDescent="0.35">
      <c r="A45">
        <v>45</v>
      </c>
      <c r="C45">
        <f t="shared" si="4"/>
        <v>121002.61963949412</v>
      </c>
      <c r="D45">
        <f t="shared" si="5"/>
        <v>117720.42157125154</v>
      </c>
      <c r="E45">
        <v>45</v>
      </c>
      <c r="G45">
        <f t="shared" si="6"/>
        <v>118241.97718296688</v>
      </c>
      <c r="H45">
        <f t="shared" si="7"/>
        <v>121486.3772941841</v>
      </c>
    </row>
    <row r="46" spans="1:8" x14ac:dyDescent="0.35">
      <c r="A46">
        <v>46</v>
      </c>
      <c r="C46">
        <f t="shared" si="4"/>
        <v>122596.12415991066</v>
      </c>
      <c r="D46">
        <f t="shared" si="5"/>
        <v>119291.34617702267</v>
      </c>
      <c r="E46">
        <v>46</v>
      </c>
      <c r="G46">
        <f t="shared" si="6"/>
        <v>119945.90740164449</v>
      </c>
      <c r="H46">
        <f t="shared" si="7"/>
        <v>123213.43726249351</v>
      </c>
    </row>
    <row r="47" spans="1:8" x14ac:dyDescent="0.35">
      <c r="A47">
        <v>47</v>
      </c>
      <c r="C47">
        <f t="shared" si="4"/>
        <v>124189.62868032719</v>
      </c>
      <c r="D47">
        <f t="shared" si="5"/>
        <v>120861.72703561203</v>
      </c>
      <c r="E47">
        <v>47</v>
      </c>
      <c r="G47">
        <f t="shared" si="6"/>
        <v>121649.83762032211</v>
      </c>
      <c r="H47">
        <f t="shared" si="7"/>
        <v>124941.14045192396</v>
      </c>
    </row>
    <row r="48" spans="1:8" x14ac:dyDescent="0.35">
      <c r="A48">
        <v>48</v>
      </c>
      <c r="C48">
        <f t="shared" si="4"/>
        <v>125783.13320074372</v>
      </c>
      <c r="D48">
        <f t="shared" si="5"/>
        <v>122431.57540155161</v>
      </c>
      <c r="E48">
        <v>48</v>
      </c>
      <c r="G48">
        <f t="shared" si="6"/>
        <v>123353.76783899973</v>
      </c>
      <c r="H48">
        <f t="shared" si="7"/>
        <v>126669.47302718784</v>
      </c>
    </row>
    <row r="49" spans="1:8" x14ac:dyDescent="0.35">
      <c r="A49">
        <v>49</v>
      </c>
      <c r="C49">
        <f t="shared" si="4"/>
        <v>127376.63772116025</v>
      </c>
      <c r="D49">
        <f t="shared" si="5"/>
        <v>124000.902469476</v>
      </c>
      <c r="E49">
        <v>49</v>
      </c>
      <c r="G49">
        <f t="shared" si="6"/>
        <v>125057.69805767735</v>
      </c>
      <c r="H49">
        <f t="shared" si="7"/>
        <v>128398.42119624205</v>
      </c>
    </row>
    <row r="50" spans="1:8" x14ac:dyDescent="0.35">
      <c r="A50">
        <v>50</v>
      </c>
      <c r="C50">
        <f t="shared" si="4"/>
        <v>128970.14224157677</v>
      </c>
      <c r="D50">
        <f t="shared" si="5"/>
        <v>125569.7193588587</v>
      </c>
      <c r="E50">
        <v>50</v>
      </c>
      <c r="G50">
        <f t="shared" si="6"/>
        <v>126761.62827635498</v>
      </c>
      <c r="H50">
        <f t="shared" si="7"/>
        <v>130127.97123422522</v>
      </c>
    </row>
    <row r="51" spans="1:8" x14ac:dyDescent="0.35">
      <c r="A51">
        <v>51</v>
      </c>
      <c r="C51">
        <f t="shared" si="4"/>
        <v>130563.64676199331</v>
      </c>
      <c r="D51">
        <f t="shared" si="5"/>
        <v>127138.03709992254</v>
      </c>
      <c r="E51">
        <v>51</v>
      </c>
      <c r="G51">
        <f t="shared" si="6"/>
        <v>128465.5584950326</v>
      </c>
      <c r="H51">
        <f t="shared" si="7"/>
        <v>131858.10950560862</v>
      </c>
    </row>
    <row r="52" spans="1:8" x14ac:dyDescent="0.35">
      <c r="A52">
        <v>52</v>
      </c>
      <c r="C52">
        <f t="shared" si="4"/>
        <v>132157.15128240985</v>
      </c>
      <c r="D52">
        <f t="shared" si="5"/>
        <v>128705.8666207015</v>
      </c>
      <c r="E52">
        <v>52</v>
      </c>
      <c r="G52">
        <f t="shared" si="6"/>
        <v>130169.48871371022</v>
      </c>
      <c r="H52">
        <f t="shared" si="7"/>
        <v>133588.82248458065</v>
      </c>
    </row>
    <row r="53" spans="1:8" x14ac:dyDescent="0.35">
      <c r="A53">
        <v>53</v>
      </c>
      <c r="C53">
        <f t="shared" si="4"/>
        <v>133750.65580282637</v>
      </c>
      <c r="D53">
        <f t="shared" si="5"/>
        <v>130273.21873522547</v>
      </c>
      <c r="E53">
        <v>53</v>
      </c>
      <c r="G53">
        <f t="shared" si="6"/>
        <v>131873.41893238784</v>
      </c>
      <c r="H53">
        <f t="shared" si="7"/>
        <v>135320.09677369625</v>
      </c>
    </row>
    <row r="54" spans="1:8" x14ac:dyDescent="0.35">
      <c r="A54">
        <v>54</v>
      </c>
      <c r="C54">
        <f t="shared" si="4"/>
        <v>135344.16032324289</v>
      </c>
      <c r="D54">
        <f t="shared" si="5"/>
        <v>131840.10413279489</v>
      </c>
      <c r="E54">
        <v>54</v>
      </c>
      <c r="G54">
        <f t="shared" si="6"/>
        <v>133577.34915106546</v>
      </c>
      <c r="H54">
        <f t="shared" si="7"/>
        <v>137051.91912083363</v>
      </c>
    </row>
    <row r="55" spans="1:8" x14ac:dyDescent="0.35">
      <c r="A55">
        <v>55</v>
      </c>
      <c r="C55">
        <f t="shared" si="4"/>
        <v>136937.66484365944</v>
      </c>
      <c r="D55">
        <f t="shared" si="5"/>
        <v>133406.53336830769</v>
      </c>
      <c r="E55">
        <v>55</v>
      </c>
      <c r="G55">
        <f t="shared" si="6"/>
        <v>135281.27936974308</v>
      </c>
      <c r="H55">
        <f t="shared" si="7"/>
        <v>138784.27643450917</v>
      </c>
    </row>
    <row r="56" spans="1:8" x14ac:dyDescent="0.35">
      <c r="A56">
        <v>56</v>
      </c>
      <c r="C56">
        <f t="shared" si="4"/>
        <v>138531.16936407596</v>
      </c>
      <c r="D56">
        <f t="shared" si="5"/>
        <v>134972.51685359763</v>
      </c>
      <c r="E56">
        <v>56</v>
      </c>
      <c r="G56">
        <f t="shared" si="6"/>
        <v>136985.20958842069</v>
      </c>
      <c r="H56">
        <f t="shared" si="7"/>
        <v>140517.15579760933</v>
      </c>
    </row>
    <row r="57" spans="1:8" x14ac:dyDescent="0.35">
      <c r="A57">
        <v>57</v>
      </c>
      <c r="C57">
        <f t="shared" si="4"/>
        <v>140124.67388449248</v>
      </c>
      <c r="D57">
        <f t="shared" si="5"/>
        <v>136538.06484974138</v>
      </c>
      <c r="E57">
        <v>57</v>
      </c>
      <c r="G57">
        <f t="shared" si="6"/>
        <v>138689.13980709831</v>
      </c>
      <c r="H57">
        <f t="shared" si="7"/>
        <v>142250.54447960336</v>
      </c>
    </row>
    <row r="58" spans="1:8" x14ac:dyDescent="0.35">
      <c r="A58">
        <v>58</v>
      </c>
      <c r="C58">
        <f t="shared" si="4"/>
        <v>141718.17840490903</v>
      </c>
      <c r="D58">
        <f t="shared" si="5"/>
        <v>138103.18746028777</v>
      </c>
      <c r="E58">
        <v>58</v>
      </c>
      <c r="G58">
        <f t="shared" si="6"/>
        <v>140393.07002577593</v>
      </c>
      <c r="H58">
        <f t="shared" si="7"/>
        <v>143984.42994730658</v>
      </c>
    </row>
    <row r="59" spans="1:8" x14ac:dyDescent="0.35">
      <c r="A59">
        <v>59</v>
      </c>
      <c r="C59">
        <f t="shared" si="4"/>
        <v>143311.68292532556</v>
      </c>
      <c r="D59">
        <f t="shared" si="5"/>
        <v>139667.89462536358</v>
      </c>
      <c r="E59">
        <v>59</v>
      </c>
      <c r="G59">
        <f t="shared" si="6"/>
        <v>142097.00024445355</v>
      </c>
      <c r="H59">
        <f t="shared" si="7"/>
        <v>145718.79987426594</v>
      </c>
    </row>
    <row r="60" spans="1:8" x14ac:dyDescent="0.35">
      <c r="A60">
        <v>60</v>
      </c>
      <c r="C60">
        <f t="shared" si="4"/>
        <v>144905.18744574208</v>
      </c>
      <c r="D60">
        <f t="shared" si="5"/>
        <v>141232.19611660764</v>
      </c>
      <c r="E60">
        <v>60</v>
      </c>
      <c r="G60">
        <f t="shared" si="6"/>
        <v>143800.93046313117</v>
      </c>
      <c r="H60">
        <f t="shared" si="7"/>
        <v>147453.64214884338</v>
      </c>
    </row>
    <row r="61" spans="1:8" x14ac:dyDescent="0.35">
      <c r="A61">
        <v>61</v>
      </c>
      <c r="C61">
        <f t="shared" si="4"/>
        <v>146498.69196615863</v>
      </c>
      <c r="D61">
        <f t="shared" si="5"/>
        <v>142796.10153288566</v>
      </c>
      <c r="E61">
        <v>61</v>
      </c>
      <c r="G61">
        <f t="shared" si="6"/>
        <v>145504.86068180879</v>
      </c>
      <c r="H61">
        <f t="shared" si="7"/>
        <v>149188.94488107253</v>
      </c>
    </row>
    <row r="62" spans="1:8" x14ac:dyDescent="0.35">
      <c r="A62">
        <v>62</v>
      </c>
      <c r="C62">
        <f t="shared" si="4"/>
        <v>148092.19648657512</v>
      </c>
      <c r="D62">
        <f t="shared" si="5"/>
        <v>144359.62029673744</v>
      </c>
      <c r="E62">
        <v>62</v>
      </c>
      <c r="G62">
        <f t="shared" si="6"/>
        <v>147208.79090048641</v>
      </c>
      <c r="H62">
        <f t="shared" si="7"/>
        <v>150924.69640836574</v>
      </c>
    </row>
    <row r="63" spans="1:8" x14ac:dyDescent="0.35">
      <c r="A63">
        <v>63</v>
      </c>
      <c r="C63">
        <f t="shared" si="4"/>
        <v>149685.70100699167</v>
      </c>
      <c r="D63">
        <f t="shared" si="5"/>
        <v>145922.76165151005</v>
      </c>
      <c r="E63">
        <v>63</v>
      </c>
      <c r="G63">
        <f t="shared" si="6"/>
        <v>148912.72111916402</v>
      </c>
      <c r="H63">
        <f t="shared" si="7"/>
        <v>152660.88530014755</v>
      </c>
    </row>
    <row r="64" spans="1:8" x14ac:dyDescent="0.35">
      <c r="A64">
        <v>64</v>
      </c>
      <c r="C64">
        <f t="shared" si="4"/>
        <v>151279.20552740819</v>
      </c>
      <c r="D64">
        <f t="shared" si="5"/>
        <v>147485.53465912869</v>
      </c>
      <c r="E64">
        <v>64</v>
      </c>
      <c r="G64">
        <f t="shared" si="6"/>
        <v>150616.65133784164</v>
      </c>
      <c r="H64">
        <f t="shared" si="7"/>
        <v>154397.50036149027</v>
      </c>
    </row>
    <row r="65" spans="1:8" x14ac:dyDescent="0.35">
      <c r="A65">
        <v>65</v>
      </c>
      <c r="C65">
        <f t="shared" ref="C65:C70" si="8">50888.4207411668+(A65-1)*1593.50452041653</f>
        <v>152872.71004782472</v>
      </c>
      <c r="D65">
        <f t="shared" ref="D65:D70" si="9">0+1*C65-2852.46813500096*(1.04+(C65-70703.52)^2/8908450325.85071)^0.5</f>
        <v>149047.94819846161</v>
      </c>
      <c r="E65">
        <v>65</v>
      </c>
      <c r="G65">
        <f t="shared" ref="G65:G70" si="10">43269.0475611516+(E65-1)*1703.93021867762</f>
        <v>152320.58155651926</v>
      </c>
      <c r="H65">
        <f t="shared" ref="H65:H70" si="11">0+1*G65+2852.46813500096*(1.04+(G65-70703.52)^2/8908450325.85071)^0.5</f>
        <v>156134.53063582518</v>
      </c>
    </row>
    <row r="66" spans="1:8" x14ac:dyDescent="0.35">
      <c r="A66">
        <v>66</v>
      </c>
      <c r="C66">
        <f t="shared" si="8"/>
        <v>154466.21456824127</v>
      </c>
      <c r="D66">
        <f t="shared" si="9"/>
        <v>150610.01096423317</v>
      </c>
      <c r="E66">
        <v>66</v>
      </c>
      <c r="G66">
        <f t="shared" si="10"/>
        <v>154024.51177519688</v>
      </c>
      <c r="H66">
        <f t="shared" si="11"/>
        <v>157871.9654068017</v>
      </c>
    </row>
    <row r="67" spans="1:8" x14ac:dyDescent="0.35">
      <c r="A67">
        <v>67</v>
      </c>
      <c r="C67">
        <f t="shared" si="8"/>
        <v>156059.71908865779</v>
      </c>
      <c r="D67">
        <f t="shared" si="9"/>
        <v>152171.73146644272</v>
      </c>
      <c r="E67">
        <v>67</v>
      </c>
      <c r="G67">
        <f t="shared" si="10"/>
        <v>155728.4419938745</v>
      </c>
      <c r="H67">
        <f t="shared" si="11"/>
        <v>159609.79419936377</v>
      </c>
    </row>
    <row r="68" spans="1:8" x14ac:dyDescent="0.35">
      <c r="A68">
        <v>68</v>
      </c>
      <c r="C68">
        <f t="shared" si="8"/>
        <v>157653.22360907431</v>
      </c>
      <c r="D68">
        <f t="shared" si="9"/>
        <v>153733.11803024856</v>
      </c>
      <c r="E68">
        <v>68</v>
      </c>
      <c r="G68">
        <f t="shared" si="10"/>
        <v>157432.37221255212</v>
      </c>
      <c r="H68">
        <f t="shared" si="11"/>
        <v>161348.00678011082</v>
      </c>
    </row>
    <row r="69" spans="1:8" x14ac:dyDescent="0.35">
      <c r="A69">
        <v>69</v>
      </c>
      <c r="C69">
        <f t="shared" si="8"/>
        <v>159246.72812949086</v>
      </c>
      <c r="D69">
        <f t="shared" si="9"/>
        <v>155294.1787962763</v>
      </c>
      <c r="E69">
        <v>69</v>
      </c>
      <c r="G69">
        <f t="shared" si="10"/>
        <v>159136.30243122973</v>
      </c>
      <c r="H69">
        <f t="shared" si="11"/>
        <v>163086.59315700698</v>
      </c>
    </row>
    <row r="70" spans="1:8" x14ac:dyDescent="0.35">
      <c r="A70">
        <v>70</v>
      </c>
      <c r="C70">
        <f t="shared" si="8"/>
        <v>160840.23264990738</v>
      </c>
      <c r="D70">
        <f t="shared" si="9"/>
        <v>156854.92172131478</v>
      </c>
      <c r="E70">
        <v>70</v>
      </c>
      <c r="G70">
        <f t="shared" si="10"/>
        <v>160840.23264990735</v>
      </c>
      <c r="H70">
        <f t="shared" si="11"/>
        <v>164825.54357849996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99E6-8C86-424F-BF41-0AE424EAB8BB}">
  <sheetPr codeName="Sheet14">
    <tabColor rgb="FF007800"/>
  </sheetPr>
  <dimension ref="A1:L192"/>
  <sheetViews>
    <sheetView zoomScaleNormal="100" workbookViewId="0">
      <selection activeCell="D4" sqref="D4"/>
    </sheetView>
  </sheetViews>
  <sheetFormatPr defaultRowHeight="15.5" x14ac:dyDescent="0.35"/>
  <cols>
    <col min="1" max="1" width="8.83203125" customWidth="1"/>
    <col min="2" max="2" width="11.5" bestFit="1" customWidth="1"/>
    <col min="3" max="4" width="14.5" bestFit="1" customWidth="1"/>
    <col min="5" max="5" width="9.5" bestFit="1" customWidth="1"/>
    <col min="6" max="6" width="10.5" bestFit="1" customWidth="1"/>
    <col min="7" max="7" width="9.5" bestFit="1" customWidth="1"/>
    <col min="8" max="9" width="10.4140625" bestFit="1" customWidth="1"/>
    <col min="11" max="12" width="10.4140625" bestFit="1" customWidth="1"/>
  </cols>
  <sheetData>
    <row r="1" spans="1:8" x14ac:dyDescent="0.35">
      <c r="A1" s="94" t="s">
        <v>247</v>
      </c>
    </row>
    <row r="2" spans="1:8" x14ac:dyDescent="0.35">
      <c r="A2" s="94" t="s">
        <v>88</v>
      </c>
    </row>
    <row r="3" spans="1:8" x14ac:dyDescent="0.35">
      <c r="A3" s="94" t="s">
        <v>89</v>
      </c>
    </row>
    <row r="4" spans="1:8" ht="38" customHeight="1" x14ac:dyDescent="0.35"/>
    <row r="5" spans="1:8" ht="15.65" customHeight="1" x14ac:dyDescent="0.35">
      <c r="A5" s="95"/>
    </row>
    <row r="8" spans="1:8" x14ac:dyDescent="0.35">
      <c r="A8" s="96" t="s">
        <v>90</v>
      </c>
    </row>
    <row r="9" spans="1:8" ht="16" thickBot="1" x14ac:dyDescent="0.4"/>
    <row r="10" spans="1:8" ht="31.25" customHeight="1" x14ac:dyDescent="0.35">
      <c r="A10" s="97" t="s">
        <v>91</v>
      </c>
      <c r="B10" s="50" t="s">
        <v>92</v>
      </c>
      <c r="C10" s="50" t="s">
        <v>93</v>
      </c>
      <c r="D10" s="50" t="s">
        <v>94</v>
      </c>
      <c r="E10" s="50" t="s">
        <v>95</v>
      </c>
      <c r="F10" s="50" t="s">
        <v>96</v>
      </c>
      <c r="G10" s="50" t="s">
        <v>97</v>
      </c>
      <c r="H10" s="50" t="s">
        <v>98</v>
      </c>
    </row>
    <row r="11" spans="1:8" x14ac:dyDescent="0.35">
      <c r="A11" s="98" t="s">
        <v>33</v>
      </c>
      <c r="B11" s="53">
        <v>25</v>
      </c>
      <c r="C11" s="53">
        <v>0</v>
      </c>
      <c r="D11" s="53">
        <v>25</v>
      </c>
      <c r="E11" s="56">
        <v>54578</v>
      </c>
      <c r="F11" s="56">
        <v>136024</v>
      </c>
      <c r="G11" s="56">
        <v>70703.520000000004</v>
      </c>
      <c r="H11" s="56">
        <v>19304.295644838567</v>
      </c>
    </row>
    <row r="12" spans="1:8" x14ac:dyDescent="0.35">
      <c r="A12" s="48" t="s">
        <v>34</v>
      </c>
      <c r="B12" s="54">
        <v>25</v>
      </c>
      <c r="C12" s="54">
        <v>0</v>
      </c>
      <c r="D12" s="54">
        <v>25</v>
      </c>
      <c r="E12" s="57">
        <v>-0.08</v>
      </c>
      <c r="F12" s="57">
        <v>0.38</v>
      </c>
      <c r="G12" s="57">
        <v>0.14639999999999997</v>
      </c>
      <c r="H12" s="57">
        <v>0.11607756027760061</v>
      </c>
    </row>
    <row r="13" spans="1:8" x14ac:dyDescent="0.35">
      <c r="A13" s="48" t="s">
        <v>35</v>
      </c>
      <c r="B13" s="54">
        <v>25</v>
      </c>
      <c r="C13" s="54">
        <v>0</v>
      </c>
      <c r="D13" s="54">
        <v>25</v>
      </c>
      <c r="E13" s="57">
        <v>-0.09</v>
      </c>
      <c r="F13" s="57">
        <v>4.79</v>
      </c>
      <c r="G13" s="57">
        <v>0.84959999999999991</v>
      </c>
      <c r="H13" s="57">
        <v>1.1532327027389861</v>
      </c>
    </row>
    <row r="14" spans="1:8" x14ac:dyDescent="0.35">
      <c r="A14" s="48" t="s">
        <v>36</v>
      </c>
      <c r="B14" s="54">
        <v>25</v>
      </c>
      <c r="C14" s="54">
        <v>0</v>
      </c>
      <c r="D14" s="54">
        <v>25</v>
      </c>
      <c r="E14" s="57">
        <v>-0.18</v>
      </c>
      <c r="F14" s="57">
        <v>0.43</v>
      </c>
      <c r="G14" s="57">
        <v>1.3199999999999998E-2</v>
      </c>
      <c r="H14" s="57">
        <v>0.14161920773680384</v>
      </c>
    </row>
    <row r="15" spans="1:8" ht="16" thickBot="1" x14ac:dyDescent="0.4">
      <c r="A15" s="52" t="s">
        <v>38</v>
      </c>
      <c r="B15" s="55">
        <v>25</v>
      </c>
      <c r="C15" s="55">
        <v>0</v>
      </c>
      <c r="D15" s="55">
        <v>25</v>
      </c>
      <c r="E15" s="58">
        <v>-0.08</v>
      </c>
      <c r="F15" s="58">
        <v>0.33</v>
      </c>
      <c r="G15" s="58">
        <v>7.6000000000000012E-2</v>
      </c>
      <c r="H15" s="58">
        <v>9.5742710775633816E-2</v>
      </c>
    </row>
    <row r="18" spans="1:6" x14ac:dyDescent="0.35">
      <c r="A18" s="6" t="s">
        <v>99</v>
      </c>
    </row>
    <row r="19" spans="1:6" ht="16" thickBot="1" x14ac:dyDescent="0.4"/>
    <row r="20" spans="1:6" ht="31" x14ac:dyDescent="0.35">
      <c r="A20" s="49"/>
      <c r="B20" s="50" t="s">
        <v>34</v>
      </c>
      <c r="C20" s="50" t="s">
        <v>35</v>
      </c>
      <c r="D20" s="50" t="s">
        <v>36</v>
      </c>
      <c r="E20" s="50" t="s">
        <v>38</v>
      </c>
      <c r="F20" s="59" t="s">
        <v>33</v>
      </c>
    </row>
    <row r="21" spans="1:6" x14ac:dyDescent="0.35">
      <c r="A21" s="60" t="s">
        <v>34</v>
      </c>
      <c r="B21" s="66">
        <v>1</v>
      </c>
      <c r="C21" s="62">
        <v>0.73621245285294246</v>
      </c>
      <c r="D21" s="62">
        <v>0.3624248083695859</v>
      </c>
      <c r="E21" s="62">
        <v>0.59701732764050963</v>
      </c>
      <c r="F21" s="63">
        <v>0.77886134684878838</v>
      </c>
    </row>
    <row r="22" spans="1:6" x14ac:dyDescent="0.35">
      <c r="A22" s="48" t="s">
        <v>35</v>
      </c>
      <c r="B22" s="57">
        <v>0.73621245285294246</v>
      </c>
      <c r="C22" s="67">
        <v>1</v>
      </c>
      <c r="D22" s="57">
        <v>0.46545460295791469</v>
      </c>
      <c r="E22" s="57">
        <v>0.57600077224977164</v>
      </c>
      <c r="F22" s="64">
        <v>0.99215467909386024</v>
      </c>
    </row>
    <row r="23" spans="1:6" x14ac:dyDescent="0.35">
      <c r="A23" s="48" t="s">
        <v>36</v>
      </c>
      <c r="B23" s="57">
        <v>0.3624248083695859</v>
      </c>
      <c r="C23" s="57">
        <v>0.46545460295791469</v>
      </c>
      <c r="D23" s="67">
        <v>1</v>
      </c>
      <c r="E23" s="57">
        <v>0.61097149373681692</v>
      </c>
      <c r="F23" s="64">
        <v>0.52273952479259622</v>
      </c>
    </row>
    <row r="24" spans="1:6" x14ac:dyDescent="0.35">
      <c r="A24" s="48" t="s">
        <v>38</v>
      </c>
      <c r="B24" s="57">
        <v>0.59701732764050963</v>
      </c>
      <c r="C24" s="57">
        <v>0.57600077224977164</v>
      </c>
      <c r="D24" s="57">
        <v>0.61097149373681692</v>
      </c>
      <c r="E24" s="67">
        <v>1</v>
      </c>
      <c r="F24" s="64">
        <v>0.64376617666149827</v>
      </c>
    </row>
    <row r="25" spans="1:6" ht="16" thickBot="1" x14ac:dyDescent="0.4">
      <c r="A25" s="61" t="s">
        <v>33</v>
      </c>
      <c r="B25" s="65">
        <v>0.77886134684878838</v>
      </c>
      <c r="C25" s="65">
        <v>0.99215467909386024</v>
      </c>
      <c r="D25" s="65">
        <v>0.52273952479259622</v>
      </c>
      <c r="E25" s="65">
        <v>0.64376617666149827</v>
      </c>
      <c r="F25" s="68">
        <v>1</v>
      </c>
    </row>
    <row r="28" spans="1:6" x14ac:dyDescent="0.35">
      <c r="A28" s="6" t="s">
        <v>216</v>
      </c>
    </row>
    <row r="30" spans="1:6" x14ac:dyDescent="0.35">
      <c r="A30" s="2" t="s">
        <v>217</v>
      </c>
    </row>
    <row r="31" spans="1:6" ht="16" thickBot="1" x14ac:dyDescent="0.4"/>
    <row r="32" spans="1:6" x14ac:dyDescent="0.35">
      <c r="A32" s="69" t="s">
        <v>92</v>
      </c>
      <c r="B32" s="70">
        <v>25</v>
      </c>
    </row>
    <row r="33" spans="1:2" x14ac:dyDescent="0.35">
      <c r="A33" s="48" t="s">
        <v>102</v>
      </c>
      <c r="B33" s="54">
        <v>25</v>
      </c>
    </row>
    <row r="34" spans="1:2" x14ac:dyDescent="0.35">
      <c r="A34" s="48" t="s">
        <v>103</v>
      </c>
      <c r="B34" s="54">
        <v>20</v>
      </c>
    </row>
    <row r="35" spans="1:2" x14ac:dyDescent="0.35">
      <c r="A35" s="48" t="s">
        <v>104</v>
      </c>
      <c r="B35" s="57">
        <v>0.99571973752032816</v>
      </c>
    </row>
    <row r="36" spans="1:2" x14ac:dyDescent="0.35">
      <c r="A36" s="48" t="s">
        <v>105</v>
      </c>
      <c r="B36" s="57">
        <v>0.99486368502439382</v>
      </c>
    </row>
    <row r="37" spans="1:2" x14ac:dyDescent="0.35">
      <c r="A37" s="48" t="s">
        <v>106</v>
      </c>
      <c r="B37" s="57">
        <v>1914077.722139443</v>
      </c>
    </row>
    <row r="38" spans="1:2" x14ac:dyDescent="0.35">
      <c r="A38" s="48" t="s">
        <v>107</v>
      </c>
      <c r="B38" s="57">
        <v>1383.5019776420427</v>
      </c>
    </row>
    <row r="39" spans="1:2" x14ac:dyDescent="0.35">
      <c r="A39" s="48" t="s">
        <v>108</v>
      </c>
      <c r="B39" s="57">
        <v>1.5226269312061376</v>
      </c>
    </row>
    <row r="40" spans="1:2" x14ac:dyDescent="0.35">
      <c r="A40" s="48" t="s">
        <v>109</v>
      </c>
      <c r="B40" s="57">
        <v>2.354812445507398</v>
      </c>
    </row>
    <row r="41" spans="1:2" x14ac:dyDescent="0.35">
      <c r="A41" s="48" t="s">
        <v>110</v>
      </c>
      <c r="B41" s="57">
        <v>5</v>
      </c>
    </row>
    <row r="42" spans="1:2" x14ac:dyDescent="0.35">
      <c r="A42" s="48" t="s">
        <v>111</v>
      </c>
      <c r="B42" s="57">
        <v>366.04007265086926</v>
      </c>
    </row>
    <row r="43" spans="1:2" x14ac:dyDescent="0.35">
      <c r="A43" s="48" t="s">
        <v>112</v>
      </c>
      <c r="B43" s="57">
        <v>369.19796738771134</v>
      </c>
    </row>
    <row r="44" spans="1:2" x14ac:dyDescent="0.35">
      <c r="A44" s="48" t="s">
        <v>113</v>
      </c>
      <c r="B44" s="57">
        <v>372.13445177521027</v>
      </c>
    </row>
    <row r="45" spans="1:2" ht="16" thickBot="1" x14ac:dyDescent="0.4">
      <c r="A45" s="52" t="s">
        <v>114</v>
      </c>
      <c r="B45" s="58">
        <v>6.4203937195078083E-3</v>
      </c>
    </row>
    <row r="48" spans="1:2" x14ac:dyDescent="0.35">
      <c r="A48" s="2" t="s">
        <v>218</v>
      </c>
    </row>
    <row r="49" spans="1:8" ht="16" thickBot="1" x14ac:dyDescent="0.4"/>
    <row r="50" spans="1:8" ht="46.5" x14ac:dyDescent="0.35">
      <c r="A50" s="49" t="s">
        <v>116</v>
      </c>
      <c r="B50" s="50" t="s">
        <v>103</v>
      </c>
      <c r="C50" s="50" t="s">
        <v>117</v>
      </c>
      <c r="D50" s="50" t="s">
        <v>118</v>
      </c>
      <c r="E50" s="50" t="s">
        <v>119</v>
      </c>
      <c r="F50" s="50" t="s">
        <v>120</v>
      </c>
      <c r="G50" s="50" t="s">
        <v>121</v>
      </c>
    </row>
    <row r="51" spans="1:8" x14ac:dyDescent="0.35">
      <c r="A51" s="60" t="s">
        <v>122</v>
      </c>
      <c r="B51" s="62">
        <v>4</v>
      </c>
      <c r="C51" s="62">
        <v>8905458373.7972088</v>
      </c>
      <c r="D51" s="62">
        <v>2226364593.4493022</v>
      </c>
      <c r="E51" s="62">
        <v>1163.1526597367233</v>
      </c>
      <c r="F51" s="74">
        <v>2.2615360064836263E-23</v>
      </c>
      <c r="G51" s="77" t="s">
        <v>125</v>
      </c>
    </row>
    <row r="52" spans="1:8" x14ac:dyDescent="0.35">
      <c r="A52" s="48" t="s">
        <v>123</v>
      </c>
      <c r="B52" s="57">
        <v>20</v>
      </c>
      <c r="C52" s="57">
        <v>38281554.442788862</v>
      </c>
      <c r="D52" s="57">
        <v>1914077.722139443</v>
      </c>
      <c r="E52" s="57"/>
      <c r="F52" s="75"/>
      <c r="G52" s="78" t="s">
        <v>126</v>
      </c>
    </row>
    <row r="53" spans="1:8" ht="16" thickBot="1" x14ac:dyDescent="0.4">
      <c r="A53" s="52" t="s">
        <v>124</v>
      </c>
      <c r="B53" s="58">
        <v>24</v>
      </c>
      <c r="C53" s="58">
        <v>8943739928.2399979</v>
      </c>
      <c r="D53" s="58"/>
      <c r="E53" s="58"/>
      <c r="F53" s="76"/>
      <c r="G53" s="79" t="s">
        <v>126</v>
      </c>
    </row>
    <row r="54" spans="1:8" x14ac:dyDescent="0.35">
      <c r="A54" s="80" t="s">
        <v>127</v>
      </c>
    </row>
    <row r="55" spans="1:8" x14ac:dyDescent="0.35">
      <c r="A55" s="80" t="s">
        <v>128</v>
      </c>
    </row>
    <row r="58" spans="1:8" x14ac:dyDescent="0.35">
      <c r="A58" s="2" t="s">
        <v>219</v>
      </c>
    </row>
    <row r="59" spans="1:8" ht="16" thickBot="1" x14ac:dyDescent="0.4"/>
    <row r="60" spans="1:8" ht="46.5" x14ac:dyDescent="0.35">
      <c r="A60" s="49" t="s">
        <v>116</v>
      </c>
      <c r="B60" s="50" t="s">
        <v>130</v>
      </c>
      <c r="C60" s="50" t="s">
        <v>131</v>
      </c>
      <c r="D60" s="50" t="s">
        <v>132</v>
      </c>
      <c r="E60" s="50" t="s">
        <v>133</v>
      </c>
      <c r="F60" s="50" t="s">
        <v>134</v>
      </c>
      <c r="G60" s="50" t="s">
        <v>135</v>
      </c>
      <c r="H60" s="50" t="s">
        <v>121</v>
      </c>
    </row>
    <row r="61" spans="1:8" x14ac:dyDescent="0.35">
      <c r="A61" s="60" t="s">
        <v>16</v>
      </c>
      <c r="B61" s="62">
        <v>55269.588659543297</v>
      </c>
      <c r="C61" s="62">
        <v>475.54296179540631</v>
      </c>
      <c r="D61" s="62">
        <v>116.22417552112159</v>
      </c>
      <c r="E61" s="74">
        <v>8.7949983404519963E-30</v>
      </c>
      <c r="F61" s="62">
        <v>54277.623423749486</v>
      </c>
      <c r="G61" s="62">
        <v>56261.553895337165</v>
      </c>
      <c r="H61" s="77" t="s">
        <v>125</v>
      </c>
    </row>
    <row r="62" spans="1:8" x14ac:dyDescent="0.35">
      <c r="A62" s="48" t="s">
        <v>34</v>
      </c>
      <c r="B62" s="57">
        <v>13301.478906215127</v>
      </c>
      <c r="C62" s="57">
        <v>3821.122554467509</v>
      </c>
      <c r="D62" s="57">
        <v>3.4810395941537</v>
      </c>
      <c r="E62" s="75">
        <v>2.3562874348821428E-3</v>
      </c>
      <c r="F62" s="57">
        <v>5330.7569310042545</v>
      </c>
      <c r="G62" s="57">
        <v>21272.200881425997</v>
      </c>
      <c r="H62" s="78" t="s">
        <v>136</v>
      </c>
    </row>
    <row r="63" spans="1:8" x14ac:dyDescent="0.35">
      <c r="A63" s="48" t="s">
        <v>35</v>
      </c>
      <c r="B63" s="57">
        <v>14641.402602638706</v>
      </c>
      <c r="C63" s="57">
        <v>383.39405159071379</v>
      </c>
      <c r="D63" s="57">
        <v>38.188914360802087</v>
      </c>
      <c r="E63" s="75">
        <v>0</v>
      </c>
      <c r="F63" s="57">
        <v>13841.656625214779</v>
      </c>
      <c r="G63" s="57">
        <v>15441.148580062632</v>
      </c>
      <c r="H63" s="78" t="s">
        <v>125</v>
      </c>
    </row>
    <row r="64" spans="1:8" x14ac:dyDescent="0.35">
      <c r="A64" s="48" t="s">
        <v>36</v>
      </c>
      <c r="B64" s="57">
        <v>6589.8572115532897</v>
      </c>
      <c r="C64" s="57">
        <v>2583.2348077525658</v>
      </c>
      <c r="D64" s="57">
        <v>2.5510097617825598</v>
      </c>
      <c r="E64" s="75">
        <v>1.9035265323514183E-2</v>
      </c>
      <c r="F64" s="57">
        <v>1201.3238275063204</v>
      </c>
      <c r="G64" s="57">
        <v>11978.39059560026</v>
      </c>
      <c r="H64" s="78" t="s">
        <v>220</v>
      </c>
    </row>
    <row r="65" spans="1:8" ht="16" thickBot="1" x14ac:dyDescent="0.4">
      <c r="A65" s="52" t="s">
        <v>38</v>
      </c>
      <c r="B65" s="58">
        <v>12635.171870953031</v>
      </c>
      <c r="C65" s="58">
        <v>4353.0906178806135</v>
      </c>
      <c r="D65" s="58">
        <v>2.9025749703103374</v>
      </c>
      <c r="E65" s="76">
        <v>8.8032699326467956E-3</v>
      </c>
      <c r="F65" s="58">
        <v>3554.7839604792971</v>
      </c>
      <c r="G65" s="58">
        <v>21715.559781426764</v>
      </c>
      <c r="H65" s="79" t="s">
        <v>136</v>
      </c>
    </row>
    <row r="66" spans="1:8" x14ac:dyDescent="0.35">
      <c r="A66" s="80" t="s">
        <v>128</v>
      </c>
    </row>
    <row r="69" spans="1:8" x14ac:dyDescent="0.35">
      <c r="A69" s="2" t="s">
        <v>221</v>
      </c>
    </row>
    <row r="71" spans="1:8" x14ac:dyDescent="0.35">
      <c r="A71" t="s">
        <v>245</v>
      </c>
    </row>
    <row r="74" spans="1:8" x14ac:dyDescent="0.35">
      <c r="A74" s="2" t="s">
        <v>223</v>
      </c>
    </row>
    <row r="75" spans="1:8" ht="16" thickBot="1" x14ac:dyDescent="0.4"/>
    <row r="76" spans="1:8" ht="46.5" x14ac:dyDescent="0.35">
      <c r="A76" s="49" t="s">
        <v>116</v>
      </c>
      <c r="B76" s="50" t="s">
        <v>130</v>
      </c>
      <c r="C76" s="50" t="s">
        <v>131</v>
      </c>
      <c r="D76" s="50" t="s">
        <v>132</v>
      </c>
      <c r="E76" s="50" t="s">
        <v>133</v>
      </c>
      <c r="F76" s="50" t="s">
        <v>134</v>
      </c>
      <c r="G76" s="50" t="s">
        <v>135</v>
      </c>
      <c r="H76" s="50" t="s">
        <v>121</v>
      </c>
    </row>
    <row r="77" spans="1:8" x14ac:dyDescent="0.35">
      <c r="A77" s="60" t="s">
        <v>34</v>
      </c>
      <c r="B77" s="62">
        <v>7.9982364957731214E-2</v>
      </c>
      <c r="C77" s="62">
        <v>2.2976574323388666E-2</v>
      </c>
      <c r="D77" s="62">
        <v>3.4810395941537005</v>
      </c>
      <c r="E77" s="74">
        <v>2.3562874348821428E-3</v>
      </c>
      <c r="F77" s="62">
        <v>3.205407078135631E-2</v>
      </c>
      <c r="G77" s="62">
        <v>0.12791065913410612</v>
      </c>
      <c r="H77" s="77" t="s">
        <v>136</v>
      </c>
    </row>
    <row r="78" spans="1:8" x14ac:dyDescent="0.35">
      <c r="A78" s="48" t="s">
        <v>35</v>
      </c>
      <c r="B78" s="57">
        <v>0.87467290213436133</v>
      </c>
      <c r="C78" s="57">
        <v>2.2903843085734434E-2</v>
      </c>
      <c r="D78" s="57">
        <v>38.188914360802087</v>
      </c>
      <c r="E78" s="75">
        <v>0</v>
      </c>
      <c r="F78" s="57">
        <v>0.82689632266118984</v>
      </c>
      <c r="G78" s="57">
        <v>0.92244948160753282</v>
      </c>
      <c r="H78" s="78" t="s">
        <v>125</v>
      </c>
    </row>
    <row r="79" spans="1:8" x14ac:dyDescent="0.35">
      <c r="A79" s="48" t="s">
        <v>36</v>
      </c>
      <c r="B79" s="57">
        <v>4.8344180723753342E-2</v>
      </c>
      <c r="C79" s="57">
        <v>1.8950997933450498E-2</v>
      </c>
      <c r="D79" s="57">
        <v>2.5510097617825602</v>
      </c>
      <c r="E79" s="75">
        <v>1.9035265323514183E-2</v>
      </c>
      <c r="F79" s="57">
        <v>8.8130917499845696E-3</v>
      </c>
      <c r="G79" s="57">
        <v>8.7875269697522115E-2</v>
      </c>
      <c r="H79" s="78" t="s">
        <v>220</v>
      </c>
    </row>
    <row r="80" spans="1:8" ht="16" thickBot="1" x14ac:dyDescent="0.4">
      <c r="A80" s="52" t="s">
        <v>38</v>
      </c>
      <c r="B80" s="58">
        <v>6.266613547045044E-2</v>
      </c>
      <c r="C80" s="58">
        <v>2.1589842161337976E-2</v>
      </c>
      <c r="D80" s="58">
        <v>2.902574970310337</v>
      </c>
      <c r="E80" s="76">
        <v>8.8032699326467956E-3</v>
      </c>
      <c r="F80" s="58">
        <v>1.7630513894923178E-2</v>
      </c>
      <c r="G80" s="58">
        <v>0.1077017570459777</v>
      </c>
      <c r="H80" s="79" t="s">
        <v>136</v>
      </c>
    </row>
    <row r="81" spans="1:1" x14ac:dyDescent="0.35">
      <c r="A81" s="80" t="s">
        <v>128</v>
      </c>
    </row>
    <row r="100" spans="1:12" x14ac:dyDescent="0.35">
      <c r="D100" t="s">
        <v>141</v>
      </c>
    </row>
    <row r="103" spans="1:12" x14ac:dyDescent="0.35">
      <c r="A103" s="2" t="s">
        <v>224</v>
      </c>
    </row>
    <row r="104" spans="1:12" ht="16" thickBot="1" x14ac:dyDescent="0.4"/>
    <row r="105" spans="1:12" ht="62" x14ac:dyDescent="0.35">
      <c r="A105" s="49" t="s">
        <v>143</v>
      </c>
      <c r="B105" s="50" t="s">
        <v>144</v>
      </c>
      <c r="C105" s="50" t="s">
        <v>33</v>
      </c>
      <c r="D105" s="50" t="s">
        <v>225</v>
      </c>
      <c r="E105" s="50" t="s">
        <v>188</v>
      </c>
      <c r="F105" s="50" t="s">
        <v>189</v>
      </c>
      <c r="G105" s="50" t="s">
        <v>190</v>
      </c>
      <c r="H105" s="50" t="s">
        <v>191</v>
      </c>
      <c r="I105" s="50" t="s">
        <v>192</v>
      </c>
      <c r="J105" s="50" t="s">
        <v>193</v>
      </c>
      <c r="K105" s="50" t="s">
        <v>194</v>
      </c>
      <c r="L105" s="50" t="s">
        <v>195</v>
      </c>
    </row>
    <row r="106" spans="1:12" x14ac:dyDescent="0.35">
      <c r="A106" s="60" t="s">
        <v>145</v>
      </c>
      <c r="B106" s="81">
        <v>1</v>
      </c>
      <c r="C106" s="62">
        <v>60482</v>
      </c>
      <c r="D106" s="62">
        <v>60897.934018527594</v>
      </c>
      <c r="E106" s="62">
        <v>-415.93401852759416</v>
      </c>
      <c r="F106" s="62">
        <v>-0.30063854280605151</v>
      </c>
      <c r="G106" s="62">
        <v>405.07146156262991</v>
      </c>
      <c r="H106" s="62">
        <v>60052.969756276136</v>
      </c>
      <c r="I106" s="62">
        <v>61742.898280779053</v>
      </c>
      <c r="J106" s="62">
        <v>1441.5826757810071</v>
      </c>
      <c r="K106" s="62">
        <v>57890.845250988124</v>
      </c>
      <c r="L106" s="62">
        <v>63905.022786067064</v>
      </c>
    </row>
    <row r="107" spans="1:12" x14ac:dyDescent="0.35">
      <c r="A107" s="48" t="s">
        <v>146</v>
      </c>
      <c r="B107" s="54">
        <v>1</v>
      </c>
      <c r="C107" s="57">
        <v>57530</v>
      </c>
      <c r="D107" s="57">
        <v>56801.0644255308</v>
      </c>
      <c r="E107" s="57">
        <v>728.93557446920022</v>
      </c>
      <c r="F107" s="57">
        <v>0.52687714672555364</v>
      </c>
      <c r="G107" s="57">
        <v>759.78459496986795</v>
      </c>
      <c r="H107" s="57">
        <v>55216.181532813178</v>
      </c>
      <c r="I107" s="57">
        <v>58385.947318248422</v>
      </c>
      <c r="J107" s="57">
        <v>1578.4012014988361</v>
      </c>
      <c r="K107" s="57">
        <v>53508.577214468489</v>
      </c>
      <c r="L107" s="57">
        <v>60093.551636593111</v>
      </c>
    </row>
    <row r="108" spans="1:12" x14ac:dyDescent="0.35">
      <c r="A108" s="48" t="s">
        <v>147</v>
      </c>
      <c r="B108" s="54">
        <v>1</v>
      </c>
      <c r="C108" s="57">
        <v>85904</v>
      </c>
      <c r="D108" s="57">
        <v>85045.44827264073</v>
      </c>
      <c r="E108" s="57">
        <v>858.55172735927044</v>
      </c>
      <c r="F108" s="57">
        <v>0.62056414897399292</v>
      </c>
      <c r="G108" s="57">
        <v>1074.6286705527709</v>
      </c>
      <c r="H108" s="57">
        <v>82803.812146745709</v>
      </c>
      <c r="I108" s="57">
        <v>87287.08439853575</v>
      </c>
      <c r="J108" s="57">
        <v>1751.8289019517456</v>
      </c>
      <c r="K108" s="57">
        <v>81391.197217732552</v>
      </c>
      <c r="L108" s="57">
        <v>88699.699327548908</v>
      </c>
    </row>
    <row r="109" spans="1:12" x14ac:dyDescent="0.35">
      <c r="A109" s="48" t="s">
        <v>148</v>
      </c>
      <c r="B109" s="54">
        <v>1</v>
      </c>
      <c r="C109" s="57">
        <v>60904</v>
      </c>
      <c r="D109" s="57">
        <v>62873.364915608734</v>
      </c>
      <c r="E109" s="57">
        <v>-1969.364915608734</v>
      </c>
      <c r="F109" s="57">
        <v>-1.4234637517217004</v>
      </c>
      <c r="G109" s="57">
        <v>518.48790854158142</v>
      </c>
      <c r="H109" s="57">
        <v>61791.818090668065</v>
      </c>
      <c r="I109" s="57">
        <v>63954.911740549403</v>
      </c>
      <c r="J109" s="57">
        <v>1477.4665591624287</v>
      </c>
      <c r="K109" s="57">
        <v>59791.423678998421</v>
      </c>
      <c r="L109" s="57">
        <v>65955.306152219055</v>
      </c>
    </row>
    <row r="110" spans="1:12" x14ac:dyDescent="0.35">
      <c r="A110" s="48" t="s">
        <v>149</v>
      </c>
      <c r="B110" s="54">
        <v>1</v>
      </c>
      <c r="C110" s="57">
        <v>58012</v>
      </c>
      <c r="D110" s="57">
        <v>58354.728925847172</v>
      </c>
      <c r="E110" s="57">
        <v>-342.72892584717192</v>
      </c>
      <c r="F110" s="57">
        <v>-0.24772564939249198</v>
      </c>
      <c r="G110" s="57">
        <v>367.46304580766065</v>
      </c>
      <c r="H110" s="57">
        <v>57588.214444160993</v>
      </c>
      <c r="I110" s="57">
        <v>59121.243407533351</v>
      </c>
      <c r="J110" s="57">
        <v>1431.4701576259583</v>
      </c>
      <c r="K110" s="57">
        <v>55368.734501536484</v>
      </c>
      <c r="L110" s="57">
        <v>61340.723350157859</v>
      </c>
    </row>
    <row r="111" spans="1:12" x14ac:dyDescent="0.35">
      <c r="A111" s="48" t="s">
        <v>150</v>
      </c>
      <c r="B111" s="54">
        <v>1</v>
      </c>
      <c r="C111" s="57">
        <v>70000</v>
      </c>
      <c r="D111" s="57">
        <v>69335.754717433651</v>
      </c>
      <c r="E111" s="57">
        <v>664.24528256634949</v>
      </c>
      <c r="F111" s="57">
        <v>0.48011878067456693</v>
      </c>
      <c r="G111" s="57">
        <v>552.59664533551188</v>
      </c>
      <c r="H111" s="57">
        <v>68183.058314316746</v>
      </c>
      <c r="I111" s="57">
        <v>70488.451120550555</v>
      </c>
      <c r="J111" s="57">
        <v>1489.7787669904228</v>
      </c>
      <c r="K111" s="57">
        <v>66228.130665342003</v>
      </c>
      <c r="L111" s="57">
        <v>72443.378769525298</v>
      </c>
    </row>
    <row r="112" spans="1:12" x14ac:dyDescent="0.35">
      <c r="A112" s="48" t="s">
        <v>151</v>
      </c>
      <c r="B112" s="54">
        <v>1</v>
      </c>
      <c r="C112" s="57">
        <v>54578</v>
      </c>
      <c r="D112" s="57">
        <v>54800.344843291896</v>
      </c>
      <c r="E112" s="57">
        <v>-222.34484329189581</v>
      </c>
      <c r="F112" s="57">
        <v>-0.16071161941585871</v>
      </c>
      <c r="G112" s="57">
        <v>443.57621241886488</v>
      </c>
      <c r="H112" s="57">
        <v>53875.061078217637</v>
      </c>
      <c r="I112" s="57">
        <v>55725.628608366154</v>
      </c>
      <c r="J112" s="57">
        <v>1452.872182390216</v>
      </c>
      <c r="K112" s="57">
        <v>51769.706577630706</v>
      </c>
      <c r="L112" s="57">
        <v>57830.983108953085</v>
      </c>
    </row>
    <row r="113" spans="1:12" x14ac:dyDescent="0.35">
      <c r="A113" s="48" t="s">
        <v>152</v>
      </c>
      <c r="B113" s="54">
        <v>1</v>
      </c>
      <c r="C113" s="57">
        <v>58072</v>
      </c>
      <c r="D113" s="57">
        <v>56714.172901384649</v>
      </c>
      <c r="E113" s="57">
        <v>1357.8270986153511</v>
      </c>
      <c r="F113" s="57">
        <v>0.98144210890796824</v>
      </c>
      <c r="G113" s="57">
        <v>380.12458913519919</v>
      </c>
      <c r="H113" s="57">
        <v>55921.246903134335</v>
      </c>
      <c r="I113" s="57">
        <v>57507.098899634962</v>
      </c>
      <c r="J113" s="57">
        <v>1434.7726040751709</v>
      </c>
      <c r="K113" s="57">
        <v>53721.289694495157</v>
      </c>
      <c r="L113" s="57">
        <v>59707.056108274141</v>
      </c>
    </row>
    <row r="114" spans="1:12" x14ac:dyDescent="0.35">
      <c r="A114" s="48" t="s">
        <v>153</v>
      </c>
      <c r="B114" s="54">
        <v>1</v>
      </c>
      <c r="C114" s="57">
        <v>87892</v>
      </c>
      <c r="D114" s="57">
        <v>88488.039421611378</v>
      </c>
      <c r="E114" s="57">
        <v>-596.0394216113782</v>
      </c>
      <c r="F114" s="57">
        <v>-0.43081934919040149</v>
      </c>
      <c r="G114" s="57">
        <v>739.10413942118839</v>
      </c>
      <c r="H114" s="57">
        <v>86946.295203236063</v>
      </c>
      <c r="I114" s="57">
        <v>90029.783639986694</v>
      </c>
      <c r="J114" s="57">
        <v>1568.5511311554299</v>
      </c>
      <c r="K114" s="57">
        <v>85216.099097236016</v>
      </c>
      <c r="L114" s="57">
        <v>91759.97974598674</v>
      </c>
    </row>
    <row r="115" spans="1:12" x14ac:dyDescent="0.35">
      <c r="A115" s="48" t="s">
        <v>154</v>
      </c>
      <c r="B115" s="54">
        <v>1</v>
      </c>
      <c r="C115" s="57">
        <v>65843</v>
      </c>
      <c r="D115" s="57">
        <v>66433.870177547724</v>
      </c>
      <c r="E115" s="57">
        <v>-590.87017754772387</v>
      </c>
      <c r="F115" s="57">
        <v>-0.42708300175672126</v>
      </c>
      <c r="G115" s="57">
        <v>544.82164298625173</v>
      </c>
      <c r="H115" s="57">
        <v>65297.392145131889</v>
      </c>
      <c r="I115" s="57">
        <v>67570.348209963558</v>
      </c>
      <c r="J115" s="57">
        <v>1486.9123527651795</v>
      </c>
      <c r="K115" s="57">
        <v>63332.225360753953</v>
      </c>
      <c r="L115" s="57">
        <v>69535.514994341487</v>
      </c>
    </row>
    <row r="116" spans="1:12" x14ac:dyDescent="0.35">
      <c r="A116" s="48" t="s">
        <v>155</v>
      </c>
      <c r="B116" s="54">
        <v>1</v>
      </c>
      <c r="C116" s="57">
        <v>57590</v>
      </c>
      <c r="D116" s="57">
        <v>57073.417753105299</v>
      </c>
      <c r="E116" s="57">
        <v>516.5822468947008</v>
      </c>
      <c r="F116" s="57">
        <v>0.37338742932274838</v>
      </c>
      <c r="G116" s="57">
        <v>542.37513630931892</v>
      </c>
      <c r="H116" s="57">
        <v>55942.043044190439</v>
      </c>
      <c r="I116" s="57">
        <v>58204.792462020159</v>
      </c>
      <c r="J116" s="57">
        <v>1486.0176683424713</v>
      </c>
      <c r="K116" s="57">
        <v>53973.639215313917</v>
      </c>
      <c r="L116" s="57">
        <v>60173.196290896682</v>
      </c>
    </row>
    <row r="117" spans="1:12" x14ac:dyDescent="0.35">
      <c r="A117" s="48" t="s">
        <v>156</v>
      </c>
      <c r="B117" s="54">
        <v>1</v>
      </c>
      <c r="C117" s="57">
        <v>55120</v>
      </c>
      <c r="D117" s="57">
        <v>55655.756556273991</v>
      </c>
      <c r="E117" s="57">
        <v>-535.75655627399101</v>
      </c>
      <c r="F117" s="57">
        <v>-0.38724668625852071</v>
      </c>
      <c r="G117" s="57">
        <v>432.8802585080989</v>
      </c>
      <c r="H117" s="57">
        <v>54752.784160088624</v>
      </c>
      <c r="I117" s="57">
        <v>56558.728952459358</v>
      </c>
      <c r="J117" s="57">
        <v>1449.6423836055158</v>
      </c>
      <c r="K117" s="57">
        <v>52631.855532818918</v>
      </c>
      <c r="L117" s="57">
        <v>58679.657579729064</v>
      </c>
    </row>
    <row r="118" spans="1:12" x14ac:dyDescent="0.35">
      <c r="A118" s="48" t="s">
        <v>157</v>
      </c>
      <c r="B118" s="54">
        <v>1</v>
      </c>
      <c r="C118" s="57">
        <v>83795</v>
      </c>
      <c r="D118" s="57">
        <v>84296.939721349991</v>
      </c>
      <c r="E118" s="57">
        <v>-501.93972134999058</v>
      </c>
      <c r="F118" s="57">
        <v>-0.36280376136900533</v>
      </c>
      <c r="G118" s="57">
        <v>402.55388994353785</v>
      </c>
      <c r="H118" s="57">
        <v>83457.227021471219</v>
      </c>
      <c r="I118" s="57">
        <v>85136.652421228762</v>
      </c>
      <c r="J118" s="57">
        <v>1440.8772870887087</v>
      </c>
      <c r="K118" s="57">
        <v>81291.322368838606</v>
      </c>
      <c r="L118" s="57">
        <v>87302.557073861375</v>
      </c>
    </row>
    <row r="119" spans="1:12" x14ac:dyDescent="0.35">
      <c r="A119" s="48" t="s">
        <v>158</v>
      </c>
      <c r="B119" s="54">
        <v>1</v>
      </c>
      <c r="C119" s="57">
        <v>55602</v>
      </c>
      <c r="D119" s="57">
        <v>53827.936313480081</v>
      </c>
      <c r="E119" s="57">
        <v>1774.0636865199194</v>
      </c>
      <c r="F119" s="57">
        <v>1.2822993499030095</v>
      </c>
      <c r="G119" s="57">
        <v>562.79300127379076</v>
      </c>
      <c r="H119" s="57">
        <v>52653.970684583102</v>
      </c>
      <c r="I119" s="57">
        <v>55001.901942377059</v>
      </c>
      <c r="J119" s="57">
        <v>1493.5908691546706</v>
      </c>
      <c r="K119" s="57">
        <v>50712.360355617493</v>
      </c>
      <c r="L119" s="57">
        <v>56943.512271342668</v>
      </c>
    </row>
    <row r="120" spans="1:12" x14ac:dyDescent="0.35">
      <c r="A120" s="48" t="s">
        <v>159</v>
      </c>
      <c r="B120" s="54">
        <v>1</v>
      </c>
      <c r="C120" s="57">
        <v>65060</v>
      </c>
      <c r="D120" s="57">
        <v>64045.456432193299</v>
      </c>
      <c r="E120" s="57">
        <v>1014.5435678067006</v>
      </c>
      <c r="F120" s="57">
        <v>0.73331558913694328</v>
      </c>
      <c r="G120" s="57">
        <v>425.48737951338956</v>
      </c>
      <c r="H120" s="57">
        <v>63157.905311359158</v>
      </c>
      <c r="I120" s="57">
        <v>64933.007553027441</v>
      </c>
      <c r="J120" s="57">
        <v>1447.4519792603187</v>
      </c>
      <c r="K120" s="57">
        <v>61026.124512136506</v>
      </c>
      <c r="L120" s="57">
        <v>67064.788352250092</v>
      </c>
    </row>
    <row r="121" spans="1:12" x14ac:dyDescent="0.35">
      <c r="A121" s="48" t="s">
        <v>160</v>
      </c>
      <c r="B121" s="54">
        <v>1</v>
      </c>
      <c r="C121" s="57">
        <v>57530</v>
      </c>
      <c r="D121" s="57">
        <v>59119.749167543596</v>
      </c>
      <c r="E121" s="57">
        <v>-1589.7491675435958</v>
      </c>
      <c r="F121" s="57">
        <v>-1.1490761800377536</v>
      </c>
      <c r="G121" s="57">
        <v>459.80471085418105</v>
      </c>
      <c r="H121" s="57">
        <v>58160.613347933213</v>
      </c>
      <c r="I121" s="57">
        <v>60078.884987153979</v>
      </c>
      <c r="J121" s="57">
        <v>1457.9088086238933</v>
      </c>
      <c r="K121" s="57">
        <v>56078.604683662641</v>
      </c>
      <c r="L121" s="57">
        <v>62160.893651424551</v>
      </c>
    </row>
    <row r="122" spans="1:12" x14ac:dyDescent="0.35">
      <c r="A122" s="48" t="s">
        <v>161</v>
      </c>
      <c r="B122" s="54">
        <v>1</v>
      </c>
      <c r="C122" s="57">
        <v>136024</v>
      </c>
      <c r="D122" s="57">
        <v>134437.49985196724</v>
      </c>
      <c r="E122" s="57">
        <v>1586.5001480327628</v>
      </c>
      <c r="F122" s="57">
        <v>1.1467277775321276</v>
      </c>
      <c r="G122" s="57">
        <v>1067.9483859579457</v>
      </c>
      <c r="H122" s="57">
        <v>132209.79855555273</v>
      </c>
      <c r="I122" s="57">
        <v>136665.20114838175</v>
      </c>
      <c r="J122" s="57">
        <v>1747.7389614040262</v>
      </c>
      <c r="K122" s="57">
        <v>130791.7802635421</v>
      </c>
      <c r="L122" s="57">
        <v>138083.21944039236</v>
      </c>
    </row>
    <row r="123" spans="1:12" x14ac:dyDescent="0.35">
      <c r="A123" s="48" t="s">
        <v>162</v>
      </c>
      <c r="B123" s="54">
        <v>1</v>
      </c>
      <c r="C123" s="57">
        <v>72048</v>
      </c>
      <c r="D123" s="57">
        <v>70769.113931151791</v>
      </c>
      <c r="E123" s="57">
        <v>1278.8860688482091</v>
      </c>
      <c r="F123" s="57">
        <v>0.92438326038959873</v>
      </c>
      <c r="G123" s="57">
        <v>831.26073992046668</v>
      </c>
      <c r="H123" s="57">
        <v>69035.134412733169</v>
      </c>
      <c r="I123" s="57">
        <v>72503.093449570413</v>
      </c>
      <c r="J123" s="57">
        <v>1614.0235871487644</v>
      </c>
      <c r="K123" s="57">
        <v>67402.319725728012</v>
      </c>
      <c r="L123" s="57">
        <v>74135.90813657557</v>
      </c>
    </row>
    <row r="124" spans="1:12" x14ac:dyDescent="0.35">
      <c r="A124" s="48" t="s">
        <v>163</v>
      </c>
      <c r="B124" s="54">
        <v>1</v>
      </c>
      <c r="C124" s="57">
        <v>57651</v>
      </c>
      <c r="D124" s="57">
        <v>58874.549871317773</v>
      </c>
      <c r="E124" s="57">
        <v>-1223.5498713177731</v>
      </c>
      <c r="F124" s="57">
        <v>-0.88438606600557068</v>
      </c>
      <c r="G124" s="57">
        <v>359.80099336431999</v>
      </c>
      <c r="H124" s="57">
        <v>58124.018150957563</v>
      </c>
      <c r="I124" s="57">
        <v>59625.081591677983</v>
      </c>
      <c r="J124" s="57">
        <v>1429.5224646592283</v>
      </c>
      <c r="K124" s="57">
        <v>55892.618263341705</v>
      </c>
      <c r="L124" s="57">
        <v>61856.481479293841</v>
      </c>
    </row>
    <row r="125" spans="1:12" x14ac:dyDescent="0.35">
      <c r="A125" s="48" t="s">
        <v>164</v>
      </c>
      <c r="B125" s="54">
        <v>1</v>
      </c>
      <c r="C125" s="57">
        <v>59578</v>
      </c>
      <c r="D125" s="57">
        <v>59217.368872600688</v>
      </c>
      <c r="E125" s="57">
        <v>360.63112739931239</v>
      </c>
      <c r="F125" s="57">
        <v>0.26066542240434692</v>
      </c>
      <c r="G125" s="57">
        <v>388.9480668582305</v>
      </c>
      <c r="H125" s="57">
        <v>58406.037422344518</v>
      </c>
      <c r="I125" s="57">
        <v>60028.700322856857</v>
      </c>
      <c r="J125" s="57">
        <v>1437.1354566818668</v>
      </c>
      <c r="K125" s="57">
        <v>56219.556841542922</v>
      </c>
      <c r="L125" s="57">
        <v>62215.180903658453</v>
      </c>
    </row>
    <row r="126" spans="1:12" x14ac:dyDescent="0.35">
      <c r="A126" s="48" t="s">
        <v>165</v>
      </c>
      <c r="B126" s="54">
        <v>1</v>
      </c>
      <c r="C126" s="57">
        <v>77349</v>
      </c>
      <c r="D126" s="57">
        <v>75116.774679510272</v>
      </c>
      <c r="E126" s="57">
        <v>2232.2253204897279</v>
      </c>
      <c r="F126" s="57">
        <v>1.6134601587590052</v>
      </c>
      <c r="G126" s="57">
        <v>762.52305517572734</v>
      </c>
      <c r="H126" s="57">
        <v>73526.179458902101</v>
      </c>
      <c r="I126" s="57">
        <v>76707.369900118443</v>
      </c>
      <c r="J126" s="57">
        <v>1579.7212196504699</v>
      </c>
      <c r="K126" s="57">
        <v>71821.533958834247</v>
      </c>
      <c r="L126" s="57">
        <v>78412.015400186297</v>
      </c>
    </row>
    <row r="127" spans="1:12" x14ac:dyDescent="0.35">
      <c r="A127" s="48" t="s">
        <v>166</v>
      </c>
      <c r="B127" s="54">
        <v>1</v>
      </c>
      <c r="C127" s="57">
        <v>86446</v>
      </c>
      <c r="D127" s="57">
        <v>88124.727808318974</v>
      </c>
      <c r="E127" s="57">
        <v>-1678.727808318974</v>
      </c>
      <c r="F127" s="57">
        <v>-1.2133902484043402</v>
      </c>
      <c r="G127" s="57">
        <v>474.13816156608812</v>
      </c>
      <c r="H127" s="57">
        <v>87135.692934453866</v>
      </c>
      <c r="I127" s="57">
        <v>89113.762682184082</v>
      </c>
      <c r="J127" s="57">
        <v>1462.4926387482137</v>
      </c>
      <c r="K127" s="57">
        <v>85074.021622351327</v>
      </c>
      <c r="L127" s="57">
        <v>91175.433994286621</v>
      </c>
    </row>
    <row r="128" spans="1:12" x14ac:dyDescent="0.35">
      <c r="A128" s="48" t="s">
        <v>167</v>
      </c>
      <c r="B128" s="54">
        <v>1</v>
      </c>
      <c r="C128" s="57">
        <v>105241</v>
      </c>
      <c r="D128" s="57">
        <v>107811.44808388301</v>
      </c>
      <c r="E128" s="57">
        <v>-2570.4480838830059</v>
      </c>
      <c r="F128" s="57">
        <v>-1.8579287383917749</v>
      </c>
      <c r="G128" s="57">
        <v>735.11498690033045</v>
      </c>
      <c r="H128" s="57">
        <v>106278.0250918508</v>
      </c>
      <c r="I128" s="57">
        <v>109344.87107591522</v>
      </c>
      <c r="J128" s="57">
        <v>1566.675386321275</v>
      </c>
      <c r="K128" s="57">
        <v>104543.42049466763</v>
      </c>
      <c r="L128" s="57">
        <v>111079.47567309838</v>
      </c>
    </row>
    <row r="129" spans="1:12" x14ac:dyDescent="0.35">
      <c r="A129" s="48" t="s">
        <v>168</v>
      </c>
      <c r="B129" s="54">
        <v>1</v>
      </c>
      <c r="C129" s="57">
        <v>83253</v>
      </c>
      <c r="D129" s="57">
        <v>82296.38055336359</v>
      </c>
      <c r="E129" s="57">
        <v>956.61944663641043</v>
      </c>
      <c r="F129" s="57">
        <v>0.69144783462240866</v>
      </c>
      <c r="G129" s="57">
        <v>761.11894976354858</v>
      </c>
      <c r="H129" s="57">
        <v>80708.714245320996</v>
      </c>
      <c r="I129" s="57">
        <v>83884.046861406183</v>
      </c>
      <c r="J129" s="57">
        <v>1579.0439442360716</v>
      </c>
      <c r="K129" s="57">
        <v>79002.552604445562</v>
      </c>
      <c r="L129" s="57">
        <v>85590.208502281617</v>
      </c>
    </row>
    <row r="130" spans="1:12" ht="16" thickBot="1" x14ac:dyDescent="0.4">
      <c r="A130" s="52" t="s">
        <v>169</v>
      </c>
      <c r="B130" s="55">
        <v>1</v>
      </c>
      <c r="C130" s="58">
        <v>56084</v>
      </c>
      <c r="D130" s="58">
        <v>57176.157784516014</v>
      </c>
      <c r="E130" s="58">
        <v>-1092.1577845160136</v>
      </c>
      <c r="F130" s="58">
        <v>-0.78941541260202708</v>
      </c>
      <c r="G130" s="58">
        <v>624.20567852341401</v>
      </c>
      <c r="H130" s="58">
        <v>55874.087555692553</v>
      </c>
      <c r="I130" s="58">
        <v>58478.228013339474</v>
      </c>
      <c r="J130" s="58">
        <v>1517.7978953867075</v>
      </c>
      <c r="K130" s="58">
        <v>54010.086854772293</v>
      </c>
      <c r="L130" s="58">
        <v>60342.228714259734</v>
      </c>
    </row>
    <row r="149" spans="4:4" x14ac:dyDescent="0.35">
      <c r="D149" t="s">
        <v>141</v>
      </c>
    </row>
    <row r="168" spans="1:4" x14ac:dyDescent="0.35">
      <c r="D168" t="s">
        <v>141</v>
      </c>
    </row>
    <row r="171" spans="1:4" x14ac:dyDescent="0.35">
      <c r="A171" s="6" t="s">
        <v>196</v>
      </c>
    </row>
    <row r="173" spans="1:4" x14ac:dyDescent="0.35">
      <c r="A173" s="2" t="s">
        <v>226</v>
      </c>
    </row>
    <row r="174" spans="1:4" ht="16" thickBot="1" x14ac:dyDescent="0.4"/>
    <row r="175" spans="1:4" x14ac:dyDescent="0.35">
      <c r="A175" s="69" t="s">
        <v>198</v>
      </c>
      <c r="B175" s="82">
        <v>0.97545220899064222</v>
      </c>
    </row>
    <row r="176" spans="1:4" x14ac:dyDescent="0.35">
      <c r="A176" s="48" t="s">
        <v>199</v>
      </c>
      <c r="B176" s="72">
        <v>0.78291288430909189</v>
      </c>
    </row>
    <row r="177" spans="1:9" ht="16" thickBot="1" x14ac:dyDescent="0.4">
      <c r="A177" s="52" t="s">
        <v>200</v>
      </c>
      <c r="B177" s="55">
        <v>0.05</v>
      </c>
    </row>
    <row r="179" spans="1:9" x14ac:dyDescent="0.35">
      <c r="A179" s="2" t="s">
        <v>202</v>
      </c>
    </row>
    <row r="180" spans="1:9" x14ac:dyDescent="0.35">
      <c r="A180" s="2" t="s">
        <v>203</v>
      </c>
    </row>
    <row r="181" spans="1:9" x14ac:dyDescent="0.35">
      <c r="A181" s="2" t="s">
        <v>204</v>
      </c>
    </row>
    <row r="182" spans="1:9" ht="15.65" customHeight="1" x14ac:dyDescent="0.35">
      <c r="A182" s="102" t="s">
        <v>227</v>
      </c>
      <c r="B182" s="102"/>
      <c r="C182" s="102"/>
      <c r="D182" s="102"/>
      <c r="E182" s="102"/>
      <c r="F182" s="102"/>
      <c r="G182" s="102"/>
      <c r="H182" s="102"/>
      <c r="I182" s="102"/>
    </row>
    <row r="185" spans="1:9" x14ac:dyDescent="0.35">
      <c r="A185" s="2" t="s">
        <v>228</v>
      </c>
    </row>
    <row r="187" spans="1:9" x14ac:dyDescent="0.35">
      <c r="A187" s="103" t="s">
        <v>246</v>
      </c>
      <c r="B187" s="104"/>
      <c r="C187" s="104"/>
      <c r="D187" s="104"/>
      <c r="E187" s="104"/>
      <c r="F187" s="104"/>
    </row>
    <row r="188" spans="1:9" x14ac:dyDescent="0.35">
      <c r="A188" s="104"/>
      <c r="B188" s="104"/>
      <c r="C188" s="104"/>
      <c r="D188" s="104"/>
      <c r="E188" s="104"/>
      <c r="F188" s="104"/>
    </row>
    <row r="190" spans="1:9" x14ac:dyDescent="0.35">
      <c r="A190" s="103" t="s">
        <v>208</v>
      </c>
      <c r="B190" s="104"/>
      <c r="C190" s="104"/>
      <c r="D190" s="104"/>
      <c r="E190" s="104"/>
      <c r="F190" s="104"/>
    </row>
    <row r="191" spans="1:9" x14ac:dyDescent="0.35">
      <c r="A191" s="104"/>
      <c r="B191" s="104"/>
      <c r="C191" s="104"/>
      <c r="D191" s="104"/>
      <c r="E191" s="104"/>
      <c r="F191" s="104"/>
    </row>
    <row r="192" spans="1:9" x14ac:dyDescent="0.35">
      <c r="A192" s="104"/>
      <c r="B192" s="104"/>
      <c r="C192" s="104"/>
      <c r="D192" s="104"/>
      <c r="E192" s="104"/>
      <c r="F192" s="104"/>
    </row>
  </sheetData>
  <mergeCells count="3">
    <mergeCell ref="A182:I182"/>
    <mergeCell ref="A187:F188"/>
    <mergeCell ref="A190:F19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3" name="DD351441">
              <controlPr defaultSize="0" autoFill="0" autoPict="0" macro="[0]!GoToResultsNew211120250747193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E4BD-FC17-4B43-A87C-5249EA1A0350}">
  <sheetPr codeName="Sheet14_HID1"/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50603.5537719406+(A1-1)*1604.65863841189</f>
        <v>50603.553771940598</v>
      </c>
      <c r="D1">
        <f t="shared" ref="D1:D32" si="1">0+1*C1-2885.93455424406*(1.04+(C1-70703.52)^2/8905458373.79721)^0.5</f>
        <v>47596.96060683277</v>
      </c>
      <c r="E1">
        <v>1</v>
      </c>
      <c r="G1">
        <f t="shared" ref="G1:G32" si="2">43062.3490507841+(E1-1)*1713.95146045763</f>
        <v>43062.349050784098</v>
      </c>
      <c r="H1">
        <f t="shared" ref="H1:H32" si="3">0+1*G1+2885.93455424406*(1.04+(G1-70703.52)^2/8905458373.79721)^0.5</f>
        <v>46124.424805556759</v>
      </c>
    </row>
    <row r="2" spans="1:8" x14ac:dyDescent="0.35">
      <c r="A2">
        <v>2</v>
      </c>
      <c r="C2">
        <f t="shared" si="0"/>
        <v>52208.212410352491</v>
      </c>
      <c r="D2">
        <f t="shared" si="1"/>
        <v>49211.266997828578</v>
      </c>
      <c r="E2">
        <v>2</v>
      </c>
      <c r="G2">
        <f t="shared" si="2"/>
        <v>44776.30051124173</v>
      </c>
      <c r="H2">
        <f t="shared" si="3"/>
        <v>47824.323054041401</v>
      </c>
    </row>
    <row r="3" spans="1:8" x14ac:dyDescent="0.35">
      <c r="A3">
        <v>3</v>
      </c>
      <c r="C3">
        <f t="shared" si="0"/>
        <v>53812.871048764377</v>
      </c>
      <c r="D3">
        <f t="shared" si="1"/>
        <v>50824.798520570563</v>
      </c>
      <c r="E3">
        <v>3</v>
      </c>
      <c r="G3">
        <f t="shared" si="2"/>
        <v>46490.251971699356</v>
      </c>
      <c r="H3">
        <f t="shared" si="3"/>
        <v>49525.061621642031</v>
      </c>
    </row>
    <row r="4" spans="1:8" x14ac:dyDescent="0.35">
      <c r="A4">
        <v>4</v>
      </c>
      <c r="C4">
        <f t="shared" si="0"/>
        <v>55417.529687176269</v>
      </c>
      <c r="D4">
        <f t="shared" si="1"/>
        <v>52437.548253548113</v>
      </c>
      <c r="E4">
        <v>4</v>
      </c>
      <c r="G4">
        <f t="shared" si="2"/>
        <v>48204.203432156988</v>
      </c>
      <c r="H4">
        <f t="shared" si="3"/>
        <v>51226.651528961491</v>
      </c>
    </row>
    <row r="5" spans="1:8" x14ac:dyDescent="0.35">
      <c r="A5">
        <v>5</v>
      </c>
      <c r="C5">
        <f t="shared" si="0"/>
        <v>57022.188325588155</v>
      </c>
      <c r="D5">
        <f t="shared" si="1"/>
        <v>54049.509813082317</v>
      </c>
      <c r="E5">
        <v>5</v>
      </c>
      <c r="G5">
        <f t="shared" si="2"/>
        <v>49918.154892614621</v>
      </c>
      <c r="H5">
        <f t="shared" si="3"/>
        <v>52929.103261632416</v>
      </c>
    </row>
    <row r="6" spans="1:8" x14ac:dyDescent="0.35">
      <c r="A6">
        <v>6</v>
      </c>
      <c r="C6">
        <f t="shared" si="0"/>
        <v>58626.846964000048</v>
      </c>
      <c r="D6">
        <f t="shared" si="1"/>
        <v>55660.677377549742</v>
      </c>
      <c r="E6">
        <v>6</v>
      </c>
      <c r="G6">
        <f t="shared" si="2"/>
        <v>51632.106353072246</v>
      </c>
      <c r="H6">
        <f t="shared" si="3"/>
        <v>54632.426729369829</v>
      </c>
    </row>
    <row r="7" spans="1:8" x14ac:dyDescent="0.35">
      <c r="A7">
        <v>7</v>
      </c>
      <c r="C7">
        <f t="shared" si="0"/>
        <v>60231.50560241194</v>
      </c>
      <c r="D7">
        <f t="shared" si="1"/>
        <v>57271.045709865663</v>
      </c>
      <c r="E7">
        <v>7</v>
      </c>
      <c r="G7">
        <f t="shared" si="2"/>
        <v>53346.057813529878</v>
      </c>
      <c r="H7">
        <f t="shared" si="3"/>
        <v>56336.63122618568</v>
      </c>
    </row>
    <row r="8" spans="1:8" x14ac:dyDescent="0.35">
      <c r="A8">
        <v>8</v>
      </c>
      <c r="C8">
        <f t="shared" si="0"/>
        <v>61836.164240823826</v>
      </c>
      <c r="D8">
        <f t="shared" si="1"/>
        <v>58880.610178031042</v>
      </c>
      <c r="E8">
        <v>8</v>
      </c>
      <c r="G8">
        <f t="shared" si="2"/>
        <v>55060.009273987511</v>
      </c>
      <c r="H8">
        <f t="shared" si="3"/>
        <v>58041.725392108565</v>
      </c>
    </row>
    <row r="9" spans="1:8" x14ac:dyDescent="0.35">
      <c r="A9">
        <v>9</v>
      </c>
      <c r="C9">
        <f t="shared" si="0"/>
        <v>63440.822879235719</v>
      </c>
      <c r="D9">
        <f t="shared" si="1"/>
        <v>60489.366773560047</v>
      </c>
      <c r="E9">
        <v>9</v>
      </c>
      <c r="G9">
        <f t="shared" si="2"/>
        <v>56773.960734445136</v>
      </c>
      <c r="H9">
        <f t="shared" si="3"/>
        <v>59747.717176752369</v>
      </c>
    </row>
    <row r="10" spans="1:8" x14ac:dyDescent="0.35">
      <c r="A10">
        <v>10</v>
      </c>
      <c r="C10">
        <f t="shared" si="0"/>
        <v>65045.481517647611</v>
      </c>
      <c r="D10">
        <f t="shared" si="1"/>
        <v>62097.312127620477</v>
      </c>
      <c r="E10">
        <v>10</v>
      </c>
      <c r="G10">
        <f t="shared" si="2"/>
        <v>58487.912194902769</v>
      </c>
      <c r="H10">
        <f t="shared" si="3"/>
        <v>61454.613805072964</v>
      </c>
    </row>
    <row r="11" spans="1:8" x14ac:dyDescent="0.35">
      <c r="A11">
        <v>11</v>
      </c>
      <c r="C11">
        <f t="shared" si="0"/>
        <v>66650.140156059497</v>
      </c>
      <c r="D11">
        <f t="shared" si="1"/>
        <v>63704.443524737937</v>
      </c>
      <c r="E11">
        <v>11</v>
      </c>
      <c r="G11">
        <f t="shared" si="2"/>
        <v>60201.863655360401</v>
      </c>
      <c r="H11">
        <f t="shared" si="3"/>
        <v>63162.421745641841</v>
      </c>
    </row>
    <row r="12" spans="1:8" x14ac:dyDescent="0.35">
      <c r="A12">
        <v>12</v>
      </c>
      <c r="C12">
        <f t="shared" si="0"/>
        <v>68254.798794471397</v>
      </c>
      <c r="D12">
        <f t="shared" si="1"/>
        <v>65310.75891393498</v>
      </c>
      <c r="E12">
        <v>12</v>
      </c>
      <c r="G12">
        <f t="shared" si="2"/>
        <v>61915.815115818026</v>
      </c>
      <c r="H12">
        <f t="shared" si="3"/>
        <v>64871.146681750542</v>
      </c>
    </row>
    <row r="13" spans="1:8" x14ac:dyDescent="0.35">
      <c r="A13">
        <v>13</v>
      </c>
      <c r="C13">
        <f t="shared" si="0"/>
        <v>69859.457432883282</v>
      </c>
      <c r="D13">
        <f t="shared" si="1"/>
        <v>66916.256917199382</v>
      </c>
      <c r="E13">
        <v>13</v>
      </c>
      <c r="G13">
        <f t="shared" si="2"/>
        <v>63629.766576275659</v>
      </c>
      <c r="H13">
        <f t="shared" si="3"/>
        <v>66580.793485638758</v>
      </c>
    </row>
    <row r="14" spans="1:8" x14ac:dyDescent="0.35">
      <c r="A14">
        <v>14</v>
      </c>
      <c r="C14">
        <f t="shared" si="0"/>
        <v>71464.116071295168</v>
      </c>
      <c r="D14">
        <f t="shared" si="1"/>
        <v>68520.936835200526</v>
      </c>
      <c r="E14">
        <v>14</v>
      </c>
      <c r="G14">
        <f t="shared" si="2"/>
        <v>65343.718036733291</v>
      </c>
      <c r="H14">
        <f t="shared" si="3"/>
        <v>68291.366196113057</v>
      </c>
    </row>
    <row r="15" spans="1:8" x14ac:dyDescent="0.35">
      <c r="A15">
        <v>15</v>
      </c>
      <c r="C15">
        <f t="shared" si="0"/>
        <v>73068.774709707068</v>
      </c>
      <c r="D15">
        <f t="shared" si="1"/>
        <v>70124.798650198645</v>
      </c>
      <c r="E15">
        <v>15</v>
      </c>
      <c r="G15">
        <f t="shared" si="2"/>
        <v>67057.669497190916</v>
      </c>
      <c r="H15">
        <f t="shared" si="3"/>
        <v>70002.867999792477</v>
      </c>
    </row>
    <row r="16" spans="1:8" x14ac:dyDescent="0.35">
      <c r="A16">
        <v>16</v>
      </c>
      <c r="C16">
        <f t="shared" si="0"/>
        <v>74673.433348118953</v>
      </c>
      <c r="D16">
        <f t="shared" si="1"/>
        <v>71727.843026118571</v>
      </c>
      <c r="E16">
        <v>16</v>
      </c>
      <c r="G16">
        <f t="shared" si="2"/>
        <v>68771.620957648556</v>
      </c>
      <c r="H16">
        <f t="shared" si="3"/>
        <v>71715.301216182052</v>
      </c>
    </row>
    <row r="17" spans="1:8" x14ac:dyDescent="0.35">
      <c r="A17">
        <v>17</v>
      </c>
      <c r="C17">
        <f t="shared" si="0"/>
        <v>76278.091986530839</v>
      </c>
      <c r="D17">
        <f t="shared" si="1"/>
        <v>73330.071305787686</v>
      </c>
      <c r="E17">
        <v>17</v>
      </c>
      <c r="G17">
        <f t="shared" si="2"/>
        <v>70485.572418106181</v>
      </c>
      <c r="H17">
        <f t="shared" si="3"/>
        <v>73428.667286735974</v>
      </c>
    </row>
    <row r="18" spans="1:8" x14ac:dyDescent="0.35">
      <c r="A18">
        <v>18</v>
      </c>
      <c r="C18">
        <f t="shared" si="0"/>
        <v>77882.750624942724</v>
      </c>
      <c r="D18">
        <f t="shared" si="1"/>
        <v>74931.48550536437</v>
      </c>
      <c r="E18">
        <v>18</v>
      </c>
      <c r="G18">
        <f t="shared" si="2"/>
        <v>72199.523878563807</v>
      </c>
      <c r="H18">
        <f t="shared" si="3"/>
        <v>75142.966768030485</v>
      </c>
    </row>
    <row r="19" spans="1:8" x14ac:dyDescent="0.35">
      <c r="A19">
        <v>19</v>
      </c>
      <c r="C19">
        <f t="shared" si="0"/>
        <v>79487.40926335461</v>
      </c>
      <c r="D19">
        <f t="shared" si="1"/>
        <v>76532.088306011094</v>
      </c>
      <c r="E19">
        <v>19</v>
      </c>
      <c r="G19">
        <f t="shared" si="2"/>
        <v>73913.475339021446</v>
      </c>
      <c r="H19">
        <f t="shared" si="3"/>
        <v>76858.199329121475</v>
      </c>
    </row>
    <row r="20" spans="1:8" x14ac:dyDescent="0.35">
      <c r="A20">
        <v>20</v>
      </c>
      <c r="C20">
        <f t="shared" si="0"/>
        <v>81092.06790176651</v>
      </c>
      <c r="D20">
        <f t="shared" si="1"/>
        <v>78131.883042891772</v>
      </c>
      <c r="E20">
        <v>20</v>
      </c>
      <c r="G20">
        <f t="shared" si="2"/>
        <v>75627.426799479072</v>
      </c>
      <c r="H20">
        <f t="shared" si="3"/>
        <v>78574.363753116035</v>
      </c>
    </row>
    <row r="21" spans="1:8" x14ac:dyDescent="0.35">
      <c r="A21">
        <v>21</v>
      </c>
      <c r="C21">
        <f t="shared" si="0"/>
        <v>82696.726540178395</v>
      </c>
      <c r="D21">
        <f t="shared" si="1"/>
        <v>79730.873691598055</v>
      </c>
      <c r="E21">
        <v>21</v>
      </c>
      <c r="G21">
        <f t="shared" si="2"/>
        <v>77341.378259936697</v>
      </c>
      <c r="H21">
        <f t="shared" si="3"/>
        <v>80291.45794294076</v>
      </c>
    </row>
    <row r="22" spans="1:8" x14ac:dyDescent="0.35">
      <c r="A22">
        <v>22</v>
      </c>
      <c r="C22">
        <f t="shared" si="0"/>
        <v>84301.385178590281</v>
      </c>
      <c r="D22">
        <f t="shared" si="1"/>
        <v>81329.064852132084</v>
      </c>
      <c r="E22">
        <v>22</v>
      </c>
      <c r="G22">
        <f t="shared" si="2"/>
        <v>79055.329720394337</v>
      </c>
      <c r="H22">
        <f t="shared" si="3"/>
        <v>82009.478931242935</v>
      </c>
    </row>
    <row r="23" spans="1:8" x14ac:dyDescent="0.35">
      <c r="A23">
        <v>23</v>
      </c>
      <c r="C23">
        <f t="shared" si="0"/>
        <v>85906.043817002181</v>
      </c>
      <c r="D23">
        <f t="shared" si="1"/>
        <v>82926.461730594034</v>
      </c>
      <c r="E23">
        <v>23</v>
      </c>
      <c r="G23">
        <f t="shared" si="2"/>
        <v>80769.281180851947</v>
      </c>
      <c r="H23">
        <f t="shared" si="3"/>
        <v>83728.422894316041</v>
      </c>
    </row>
    <row r="24" spans="1:8" x14ac:dyDescent="0.35">
      <c r="A24">
        <v>24</v>
      </c>
      <c r="C24">
        <f t="shared" si="0"/>
        <v>87510.702455414066</v>
      </c>
      <c r="D24">
        <f t="shared" si="1"/>
        <v>84523.070118740812</v>
      </c>
      <c r="E24">
        <v>24</v>
      </c>
      <c r="G24">
        <f t="shared" si="2"/>
        <v>82483.232641309587</v>
      </c>
      <c r="H24">
        <f t="shared" si="3"/>
        <v>85448.285169898387</v>
      </c>
    </row>
    <row r="25" spans="1:8" x14ac:dyDescent="0.35">
      <c r="A25">
        <v>25</v>
      </c>
      <c r="C25">
        <f t="shared" si="0"/>
        <v>89115.361093825952</v>
      </c>
      <c r="D25">
        <f t="shared" si="1"/>
        <v>86118.896371599025</v>
      </c>
      <c r="E25">
        <v>25</v>
      </c>
      <c r="G25">
        <f t="shared" si="2"/>
        <v>84197.184101767227</v>
      </c>
      <c r="H25">
        <f t="shared" si="3"/>
        <v>87169.060278652832</v>
      </c>
    </row>
    <row r="26" spans="1:8" x14ac:dyDescent="0.35">
      <c r="A26">
        <v>26</v>
      </c>
      <c r="C26">
        <f t="shared" si="0"/>
        <v>90720.019732237852</v>
      </c>
      <c r="D26">
        <f t="shared" si="1"/>
        <v>87713.947383326609</v>
      </c>
      <c r="E26">
        <v>26</v>
      </c>
      <c r="G26">
        <f t="shared" si="2"/>
        <v>85911.135562224837</v>
      </c>
      <c r="H26">
        <f t="shared" si="3"/>
        <v>88890.741949100688</v>
      </c>
    </row>
    <row r="27" spans="1:8" x14ac:dyDescent="0.35">
      <c r="A27">
        <v>27</v>
      </c>
      <c r="C27">
        <f t="shared" si="0"/>
        <v>92324.678370649737</v>
      </c>
      <c r="D27">
        <f t="shared" si="1"/>
        <v>89308.230561528806</v>
      </c>
      <c r="E27">
        <v>27</v>
      </c>
      <c r="G27">
        <f t="shared" si="2"/>
        <v>87625.087022682477</v>
      </c>
      <c r="H27">
        <f t="shared" si="3"/>
        <v>90613.32314574979</v>
      </c>
    </row>
    <row r="28" spans="1:8" x14ac:dyDescent="0.35">
      <c r="A28">
        <v>28</v>
      </c>
      <c r="C28">
        <f t="shared" si="0"/>
        <v>93929.337009061623</v>
      </c>
      <c r="D28">
        <f t="shared" si="1"/>
        <v>90901.753800240491</v>
      </c>
      <c r="E28">
        <v>28</v>
      </c>
      <c r="G28">
        <f t="shared" si="2"/>
        <v>89339.038483140117</v>
      </c>
      <c r="H28">
        <f t="shared" si="3"/>
        <v>92336.796100129694</v>
      </c>
    </row>
    <row r="29" spans="1:8" x14ac:dyDescent="0.35">
      <c r="A29">
        <v>29</v>
      </c>
      <c r="C29">
        <f t="shared" si="0"/>
        <v>95533.995647473523</v>
      </c>
      <c r="D29">
        <f t="shared" si="1"/>
        <v>92494.525451790687</v>
      </c>
      <c r="E29">
        <v>29</v>
      </c>
      <c r="G29">
        <f t="shared" si="2"/>
        <v>91052.989943597728</v>
      </c>
      <c r="H29">
        <f t="shared" si="3"/>
        <v>94061.152344425776</v>
      </c>
    </row>
    <row r="30" spans="1:8" x14ac:dyDescent="0.35">
      <c r="A30">
        <v>30</v>
      </c>
      <c r="C30">
        <f t="shared" si="0"/>
        <v>97138.654285885408</v>
      </c>
      <c r="D30">
        <f t="shared" si="1"/>
        <v>94086.554297766343</v>
      </c>
      <c r="E30">
        <v>30</v>
      </c>
      <c r="G30">
        <f t="shared" si="2"/>
        <v>92766.941404055367</v>
      </c>
      <c r="H30">
        <f t="shared" si="3"/>
        <v>95786.382747385927</v>
      </c>
    </row>
    <row r="31" spans="1:8" x14ac:dyDescent="0.35">
      <c r="A31">
        <v>31</v>
      </c>
      <c r="C31">
        <f t="shared" si="0"/>
        <v>98743.312924297294</v>
      </c>
      <c r="D31">
        <f t="shared" si="1"/>
        <v>95677.849519291121</v>
      </c>
      <c r="E31">
        <v>31</v>
      </c>
      <c r="G31">
        <f t="shared" si="2"/>
        <v>94480.892864513007</v>
      </c>
      <c r="H31">
        <f t="shared" si="3"/>
        <v>97512.477552163007</v>
      </c>
    </row>
    <row r="32" spans="1:8" x14ac:dyDescent="0.35">
      <c r="A32">
        <v>32</v>
      </c>
      <c r="C32">
        <f t="shared" si="0"/>
        <v>100347.97156270919</v>
      </c>
      <c r="D32">
        <f t="shared" si="1"/>
        <v>97268.420666829872</v>
      </c>
      <c r="E32">
        <v>32</v>
      </c>
      <c r="G32">
        <f t="shared" si="2"/>
        <v>96194.844324970618</v>
      </c>
      <c r="H32">
        <f t="shared" si="3"/>
        <v>99239.426415750204</v>
      </c>
    </row>
    <row r="33" spans="1:8" x14ac:dyDescent="0.35">
      <c r="A33">
        <v>33</v>
      </c>
      <c r="C33">
        <f t="shared" ref="C33:C64" si="4">50603.5537719406+(A33-1)*1604.65863841189</f>
        <v>101952.63020112108</v>
      </c>
      <c r="D33">
        <f t="shared" ref="D33:D64" si="5">0+1*C33-2885.93455424406*(1.04+(C33-70703.52)^2/8905458373.79721)^0.5</f>
        <v>98858.277629723685</v>
      </c>
      <c r="E33">
        <v>33</v>
      </c>
      <c r="G33">
        <f t="shared" ref="G33:G64" si="6">43062.3490507841+(E33-1)*1713.95146045763</f>
        <v>97908.795785428258</v>
      </c>
      <c r="H33">
        <f t="shared" ref="H33:H64" si="7">0+1*G33+2885.93455424406*(1.04+(G33-70703.52)^2/8905458373.79721)^0.5</f>
        <v>100967.21844966541</v>
      </c>
    </row>
    <row r="34" spans="1:8" x14ac:dyDescent="0.35">
      <c r="A34">
        <v>34</v>
      </c>
      <c r="C34">
        <f t="shared" si="4"/>
        <v>103557.28883953296</v>
      </c>
      <c r="D34">
        <f t="shared" si="5"/>
        <v>100447.43060565161</v>
      </c>
      <c r="E34">
        <v>34</v>
      </c>
      <c r="G34">
        <f t="shared" si="6"/>
        <v>99622.747245885897</v>
      </c>
      <c r="H34">
        <f t="shared" si="7"/>
        <v>102695.84226154436</v>
      </c>
    </row>
    <row r="35" spans="1:8" x14ac:dyDescent="0.35">
      <c r="A35">
        <v>35</v>
      </c>
      <c r="C35">
        <f t="shared" si="4"/>
        <v>105161.94747794486</v>
      </c>
      <c r="D35">
        <f t="shared" si="5"/>
        <v>102035.89007020439</v>
      </c>
      <c r="E35">
        <v>35</v>
      </c>
      <c r="G35">
        <f t="shared" si="6"/>
        <v>101336.69870634351</v>
      </c>
      <c r="H35">
        <f t="shared" si="7"/>
        <v>104425.28599731199</v>
      </c>
    </row>
    <row r="36" spans="1:8" x14ac:dyDescent="0.35">
      <c r="A36">
        <v>36</v>
      </c>
      <c r="C36">
        <f t="shared" si="4"/>
        <v>106766.60611635675</v>
      </c>
      <c r="D36">
        <f t="shared" si="5"/>
        <v>103623.66674674395</v>
      </c>
      <c r="E36">
        <v>36</v>
      </c>
      <c r="G36">
        <f t="shared" si="6"/>
        <v>103050.65016680115</v>
      </c>
      <c r="H36">
        <f t="shared" si="7"/>
        <v>106155.5373836129</v>
      </c>
    </row>
    <row r="37" spans="1:8" x14ac:dyDescent="0.35">
      <c r="A37">
        <v>37</v>
      </c>
      <c r="C37">
        <f t="shared" si="4"/>
        <v>108371.26475476864</v>
      </c>
      <c r="D37">
        <f t="shared" si="5"/>
        <v>105210.77157670948</v>
      </c>
      <c r="E37">
        <v>37</v>
      </c>
      <c r="G37">
        <f t="shared" si="6"/>
        <v>104764.60162725879</v>
      </c>
      <c r="H37">
        <f t="shared" si="7"/>
        <v>107886.58377019808</v>
      </c>
    </row>
    <row r="38" spans="1:8" x14ac:dyDescent="0.35">
      <c r="A38">
        <v>38</v>
      </c>
      <c r="C38">
        <f t="shared" si="4"/>
        <v>109975.92339318054</v>
      </c>
      <c r="D38">
        <f t="shared" si="5"/>
        <v>106797.21569051608</v>
      </c>
      <c r="E38">
        <v>38</v>
      </c>
      <c r="G38">
        <f t="shared" si="6"/>
        <v>106478.5530877164</v>
      </c>
      <c r="H38">
        <f t="shared" si="7"/>
        <v>109618.41217198505</v>
      </c>
    </row>
    <row r="39" spans="1:8" x14ac:dyDescent="0.35">
      <c r="A39">
        <v>39</v>
      </c>
      <c r="C39">
        <f t="shared" si="4"/>
        <v>111580.58203159242</v>
      </c>
      <c r="D39">
        <f t="shared" si="5"/>
        <v>108383.01037917841</v>
      </c>
      <c r="E39">
        <v>39</v>
      </c>
      <c r="G39">
        <f t="shared" si="6"/>
        <v>108192.50454817404</v>
      </c>
      <c r="H39">
        <f t="shared" si="7"/>
        <v>111351.00931052896</v>
      </c>
    </row>
    <row r="40" spans="1:8" x14ac:dyDescent="0.35">
      <c r="A40">
        <v>40</v>
      </c>
      <c r="C40">
        <f t="shared" si="4"/>
        <v>113185.24067000431</v>
      </c>
      <c r="D40">
        <f t="shared" si="5"/>
        <v>109968.16706677598</v>
      </c>
      <c r="E40">
        <v>40</v>
      </c>
      <c r="G40">
        <f t="shared" si="6"/>
        <v>109906.45600863168</v>
      </c>
      <c r="H40">
        <f t="shared" si="7"/>
        <v>113084.36165466568</v>
      </c>
    </row>
    <row r="41" spans="1:8" x14ac:dyDescent="0.35">
      <c r="A41">
        <v>41</v>
      </c>
      <c r="C41">
        <f t="shared" si="4"/>
        <v>114789.89930841621</v>
      </c>
      <c r="D41">
        <f t="shared" si="5"/>
        <v>111552.69728386185</v>
      </c>
      <c r="E41">
        <v>41</v>
      </c>
      <c r="G41">
        <f t="shared" si="6"/>
        <v>111620.40746908929</v>
      </c>
      <c r="H41">
        <f t="shared" si="7"/>
        <v>114818.4554601133</v>
      </c>
    </row>
    <row r="42" spans="1:8" x14ac:dyDescent="0.35">
      <c r="A42">
        <v>42</v>
      </c>
      <c r="C42">
        <f t="shared" si="4"/>
        <v>116394.55794682809</v>
      </c>
      <c r="D42">
        <f t="shared" si="5"/>
        <v>113136.61264190159</v>
      </c>
      <c r="E42">
        <v>42</v>
      </c>
      <c r="G42">
        <f t="shared" si="6"/>
        <v>113334.35892954693</v>
      </c>
      <c r="H42">
        <f t="shared" si="7"/>
        <v>116553.27680784273</v>
      </c>
    </row>
    <row r="43" spans="1:8" x14ac:dyDescent="0.35">
      <c r="A43">
        <v>43</v>
      </c>
      <c r="C43">
        <f t="shared" si="4"/>
        <v>117999.21658523998</v>
      </c>
      <c r="D43">
        <f t="shared" si="5"/>
        <v>114719.9248088148</v>
      </c>
      <c r="E43">
        <v>43</v>
      </c>
      <c r="G43">
        <f t="shared" si="6"/>
        <v>115048.31039000457</v>
      </c>
      <c r="H43">
        <f t="shared" si="7"/>
        <v>118288.81164105413</v>
      </c>
    </row>
    <row r="44" spans="1:8" x14ac:dyDescent="0.35">
      <c r="A44">
        <v>44</v>
      </c>
      <c r="C44">
        <f t="shared" si="4"/>
        <v>119603.87522365186</v>
      </c>
      <c r="D44">
        <f t="shared" si="5"/>
        <v>116302.64548567685</v>
      </c>
      <c r="E44">
        <v>44</v>
      </c>
      <c r="G44">
        <f t="shared" si="6"/>
        <v>116762.26185046218</v>
      </c>
      <c r="H44">
        <f t="shared" si="7"/>
        <v>120025.04580062146</v>
      </c>
    </row>
    <row r="45" spans="1:8" x14ac:dyDescent="0.35">
      <c r="A45">
        <v>45</v>
      </c>
      <c r="C45">
        <f t="shared" si="4"/>
        <v>121208.53386206376</v>
      </c>
      <c r="D45">
        <f t="shared" si="5"/>
        <v>117884.78638462588</v>
      </c>
      <c r="E45">
        <v>45</v>
      </c>
      <c r="G45">
        <f t="shared" si="6"/>
        <v>118476.21331091982</v>
      </c>
      <c r="H45">
        <f t="shared" si="7"/>
        <v>121761.96505889198</v>
      </c>
    </row>
    <row r="46" spans="1:8" x14ac:dyDescent="0.35">
      <c r="A46">
        <v>46</v>
      </c>
      <c r="C46">
        <f t="shared" si="4"/>
        <v>122813.19250047565</v>
      </c>
      <c r="D46">
        <f t="shared" si="5"/>
        <v>119466.35920800614</v>
      </c>
      <c r="E46">
        <v>46</v>
      </c>
      <c r="G46">
        <f t="shared" si="6"/>
        <v>120190.16477137746</v>
      </c>
      <c r="H46">
        <f t="shared" si="7"/>
        <v>123499.55515175099</v>
      </c>
    </row>
    <row r="47" spans="1:8" x14ac:dyDescent="0.35">
      <c r="A47">
        <v>47</v>
      </c>
      <c r="C47">
        <f t="shared" si="4"/>
        <v>124417.85113888753</v>
      </c>
      <c r="D47">
        <f t="shared" si="5"/>
        <v>121047.37562876831</v>
      </c>
      <c r="E47">
        <v>47</v>
      </c>
      <c r="G47">
        <f t="shared" si="6"/>
        <v>121904.11623183507</v>
      </c>
      <c r="H47">
        <f t="shared" si="7"/>
        <v>125237.801808886</v>
      </c>
    </row>
    <row r="48" spans="1:8" x14ac:dyDescent="0.35">
      <c r="A48">
        <v>48</v>
      </c>
      <c r="C48">
        <f t="shared" si="4"/>
        <v>126022.50977729943</v>
      </c>
      <c r="D48">
        <f t="shared" si="5"/>
        <v>122627.84727213519</v>
      </c>
      <c r="E48">
        <v>48</v>
      </c>
      <c r="G48">
        <f t="shared" si="6"/>
        <v>123618.06769229271</v>
      </c>
      <c r="H48">
        <f t="shared" si="7"/>
        <v>126976.69078220437</v>
      </c>
    </row>
    <row r="49" spans="1:8" x14ac:dyDescent="0.35">
      <c r="A49">
        <v>49</v>
      </c>
      <c r="C49">
        <f t="shared" si="4"/>
        <v>127627.16841571132</v>
      </c>
      <c r="D49">
        <f t="shared" si="5"/>
        <v>124207.78569853179</v>
      </c>
      <c r="E49">
        <v>49</v>
      </c>
      <c r="G49">
        <f t="shared" si="6"/>
        <v>125332.01915275035</v>
      </c>
      <c r="H49">
        <f t="shared" si="7"/>
        <v>128716.20787237871</v>
      </c>
    </row>
    <row r="50" spans="1:8" x14ac:dyDescent="0.35">
      <c r="A50">
        <v>50</v>
      </c>
      <c r="C50">
        <f t="shared" si="4"/>
        <v>129231.82705412321</v>
      </c>
      <c r="D50">
        <f t="shared" si="5"/>
        <v>125787.2023877702</v>
      </c>
      <c r="E50">
        <v>50</v>
      </c>
      <c r="G50">
        <f t="shared" si="6"/>
        <v>127045.97061320796</v>
      </c>
      <c r="H50">
        <f t="shared" si="7"/>
        <v>130456.33895351284</v>
      </c>
    </row>
    <row r="51" spans="1:8" x14ac:dyDescent="0.35">
      <c r="A51">
        <v>51</v>
      </c>
      <c r="C51">
        <f t="shared" si="4"/>
        <v>130836.48569253511</v>
      </c>
      <c r="D51">
        <f t="shared" si="5"/>
        <v>127366.1087244706</v>
      </c>
      <c r="E51">
        <v>51</v>
      </c>
      <c r="G51">
        <f t="shared" si="6"/>
        <v>128759.9220736656</v>
      </c>
      <c r="H51">
        <f t="shared" si="7"/>
        <v>132197.06999593627</v>
      </c>
    </row>
    <row r="52" spans="1:8" x14ac:dyDescent="0.35">
      <c r="A52">
        <v>52</v>
      </c>
      <c r="C52">
        <f t="shared" si="4"/>
        <v>132441.14433094699</v>
      </c>
      <c r="D52">
        <f t="shared" si="5"/>
        <v>128944.51598469385</v>
      </c>
      <c r="E52">
        <v>52</v>
      </c>
      <c r="G52">
        <f t="shared" si="6"/>
        <v>130473.87353412324</v>
      </c>
      <c r="H52">
        <f t="shared" si="7"/>
        <v>133938.38708715013</v>
      </c>
    </row>
    <row r="53" spans="1:8" x14ac:dyDescent="0.35">
      <c r="A53">
        <v>53</v>
      </c>
      <c r="C53">
        <f t="shared" si="4"/>
        <v>134045.80296935886</v>
      </c>
      <c r="D53">
        <f t="shared" si="5"/>
        <v>130522.43532375431</v>
      </c>
      <c r="E53">
        <v>53</v>
      </c>
      <c r="G53">
        <f t="shared" si="6"/>
        <v>132187.82499458085</v>
      </c>
      <c r="H53">
        <f t="shared" si="7"/>
        <v>135680.2764509602</v>
      </c>
    </row>
    <row r="54" spans="1:8" x14ac:dyDescent="0.35">
      <c r="A54">
        <v>54</v>
      </c>
      <c r="C54">
        <f t="shared" si="4"/>
        <v>135650.46160777076</v>
      </c>
      <c r="D54">
        <f t="shared" si="5"/>
        <v>132099.87776517693</v>
      </c>
      <c r="E54">
        <v>54</v>
      </c>
      <c r="G54">
        <f t="shared" si="6"/>
        <v>133901.77645503849</v>
      </c>
      <c r="H54">
        <f t="shared" si="7"/>
        <v>137422.72446484314</v>
      </c>
    </row>
    <row r="55" spans="1:8" x14ac:dyDescent="0.35">
      <c r="A55">
        <v>55</v>
      </c>
      <c r="C55">
        <f t="shared" si="4"/>
        <v>137255.12024618266</v>
      </c>
      <c r="D55">
        <f t="shared" si="5"/>
        <v>133676.85419075761</v>
      </c>
      <c r="E55">
        <v>55</v>
      </c>
      <c r="G55">
        <f t="shared" si="6"/>
        <v>135615.72791549613</v>
      </c>
      <c r="H55">
        <f t="shared" si="7"/>
        <v>139165.7176756011</v>
      </c>
    </row>
    <row r="56" spans="1:8" x14ac:dyDescent="0.35">
      <c r="A56">
        <v>56</v>
      </c>
      <c r="C56">
        <f t="shared" si="4"/>
        <v>138859.77888459456</v>
      </c>
      <c r="D56">
        <f t="shared" si="5"/>
        <v>135253.37533168349</v>
      </c>
      <c r="E56">
        <v>56</v>
      </c>
      <c r="G56">
        <f t="shared" si="6"/>
        <v>137329.67937595374</v>
      </c>
      <c r="H56">
        <f t="shared" si="7"/>
        <v>140909.24281336824</v>
      </c>
    </row>
    <row r="57" spans="1:8" x14ac:dyDescent="0.35">
      <c r="A57">
        <v>57</v>
      </c>
      <c r="C57">
        <f t="shared" si="4"/>
        <v>140464.43752300646</v>
      </c>
      <c r="D57">
        <f t="shared" si="5"/>
        <v>136829.45176066636</v>
      </c>
      <c r="E57">
        <v>57</v>
      </c>
      <c r="G57">
        <f t="shared" si="6"/>
        <v>139043.63083641138</v>
      </c>
      <c r="H57">
        <f t="shared" si="7"/>
        <v>142653.28680403781</v>
      </c>
    </row>
    <row r="58" spans="1:8" x14ac:dyDescent="0.35">
      <c r="A58">
        <v>58</v>
      </c>
      <c r="C58">
        <f t="shared" si="4"/>
        <v>142069.09616141833</v>
      </c>
      <c r="D58">
        <f t="shared" si="5"/>
        <v>138405.09388504014</v>
      </c>
      <c r="E58">
        <v>58</v>
      </c>
      <c r="G58">
        <f t="shared" si="6"/>
        <v>140757.58229686902</v>
      </c>
      <c r="H58">
        <f t="shared" si="7"/>
        <v>144397.83678018325</v>
      </c>
    </row>
    <row r="59" spans="1:8" x14ac:dyDescent="0.35">
      <c r="A59">
        <v>59</v>
      </c>
      <c r="C59">
        <f t="shared" si="4"/>
        <v>143673.7547998302</v>
      </c>
      <c r="D59">
        <f t="shared" si="5"/>
        <v>139980.31194077345</v>
      </c>
      <c r="E59">
        <v>59</v>
      </c>
      <c r="G59">
        <f t="shared" si="6"/>
        <v>142471.53375732663</v>
      </c>
      <c r="H59">
        <f t="shared" si="7"/>
        <v>146142.8800905509</v>
      </c>
    </row>
    <row r="60" spans="1:8" x14ac:dyDescent="0.35">
      <c r="A60">
        <v>60</v>
      </c>
      <c r="C60">
        <f t="shared" si="4"/>
        <v>145278.4134382421</v>
      </c>
      <c r="D60">
        <f t="shared" si="5"/>
        <v>141555.11598734546</v>
      </c>
      <c r="E60">
        <v>60</v>
      </c>
      <c r="G60">
        <f t="shared" si="6"/>
        <v>144185.48521778427</v>
      </c>
      <c r="H60">
        <f t="shared" si="7"/>
        <v>147888.40430820346</v>
      </c>
    </row>
    <row r="61" spans="1:8" x14ac:dyDescent="0.35">
      <c r="A61">
        <v>61</v>
      </c>
      <c r="C61">
        <f t="shared" si="4"/>
        <v>146883.072076654</v>
      </c>
      <c r="D61">
        <f t="shared" si="5"/>
        <v>143129.51590343463</v>
      </c>
      <c r="E61">
        <v>61</v>
      </c>
      <c r="G61">
        <f t="shared" si="6"/>
        <v>145899.43667824191</v>
      </c>
      <c r="H61">
        <f t="shared" si="7"/>
        <v>149634.39723739438</v>
      </c>
    </row>
    <row r="62" spans="1:8" x14ac:dyDescent="0.35">
      <c r="A62">
        <v>62</v>
      </c>
      <c r="C62">
        <f t="shared" si="4"/>
        <v>148487.7307150659</v>
      </c>
      <c r="D62">
        <f t="shared" si="5"/>
        <v>144703.52138336975</v>
      </c>
      <c r="E62">
        <v>62</v>
      </c>
      <c r="G62">
        <f t="shared" si="6"/>
        <v>147613.38813869952</v>
      </c>
      <c r="H62">
        <f t="shared" si="7"/>
        <v>151380.84691925437</v>
      </c>
    </row>
    <row r="63" spans="1:8" x14ac:dyDescent="0.35">
      <c r="A63">
        <v>63</v>
      </c>
      <c r="C63">
        <f t="shared" si="4"/>
        <v>150092.38935347777</v>
      </c>
      <c r="D63">
        <f t="shared" si="5"/>
        <v>146277.1419342921</v>
      </c>
      <c r="E63">
        <v>63</v>
      </c>
      <c r="G63">
        <f t="shared" si="6"/>
        <v>149327.33959915716</v>
      </c>
      <c r="H63">
        <f t="shared" si="7"/>
        <v>153127.74163637072</v>
      </c>
    </row>
    <row r="64" spans="1:8" x14ac:dyDescent="0.35">
      <c r="A64">
        <v>64</v>
      </c>
      <c r="C64">
        <f t="shared" si="4"/>
        <v>151697.04799188967</v>
      </c>
      <c r="D64">
        <f t="shared" si="5"/>
        <v>147850.38687398066</v>
      </c>
      <c r="E64">
        <v>64</v>
      </c>
      <c r="G64">
        <f t="shared" si="6"/>
        <v>151041.2910596148</v>
      </c>
      <c r="H64">
        <f t="shared" si="7"/>
        <v>154875.06991633773</v>
      </c>
    </row>
    <row r="65" spans="1:8" x14ac:dyDescent="0.35">
      <c r="A65">
        <v>65</v>
      </c>
      <c r="C65">
        <f t="shared" ref="C65:C70" si="8">50603.5537719406+(A65-1)*1604.65863841189</f>
        <v>153301.70663030155</v>
      </c>
      <c r="D65">
        <f t="shared" ref="D65:D70" si="9">0+1*C65-2885.93455424406*(1.04+(C65-70703.52)^2/8905458373.79721)^0.5</f>
        <v>149423.26532929071</v>
      </c>
      <c r="E65">
        <v>65</v>
      </c>
      <c r="G65">
        <f t="shared" ref="G65:G70" si="10">43062.3490507841+(E65-1)*1713.95146045763</f>
        <v>152755.24252007241</v>
      </c>
      <c r="H65">
        <f t="shared" ref="H65:H70" si="11">0+1*G65+2885.93455424406*(1.04+(G65-70703.52)^2/8905458373.79721)^0.5</f>
        <v>156622.82053435684</v>
      </c>
    </row>
    <row r="66" spans="1:8" x14ac:dyDescent="0.35">
      <c r="A66">
        <v>66</v>
      </c>
      <c r="C66">
        <f t="shared" si="8"/>
        <v>154906.36526871345</v>
      </c>
      <c r="D66">
        <f t="shared" si="9"/>
        <v>150995.78623516054</v>
      </c>
      <c r="E66">
        <v>66</v>
      </c>
      <c r="G66">
        <f t="shared" si="10"/>
        <v>154469.19398053005</v>
      </c>
      <c r="H66">
        <f t="shared" si="11"/>
        <v>158370.98251496124</v>
      </c>
    </row>
    <row r="67" spans="1:8" x14ac:dyDescent="0.35">
      <c r="A67">
        <v>67</v>
      </c>
      <c r="C67">
        <f t="shared" si="8"/>
        <v>156511.02390712535</v>
      </c>
      <c r="D67">
        <f t="shared" si="9"/>
        <v>152567.95833413975</v>
      </c>
      <c r="E67">
        <v>67</v>
      </c>
      <c r="G67">
        <f t="shared" si="10"/>
        <v>156183.14544098769</v>
      </c>
      <c r="H67">
        <f t="shared" si="11"/>
        <v>160119.54513293755</v>
      </c>
    </row>
    <row r="68" spans="1:8" x14ac:dyDescent="0.35">
      <c r="A68">
        <v>68</v>
      </c>
      <c r="C68">
        <f t="shared" si="8"/>
        <v>158115.68254553725</v>
      </c>
      <c r="D68">
        <f t="shared" si="9"/>
        <v>154139.79017639696</v>
      </c>
      <c r="E68">
        <v>68</v>
      </c>
      <c r="G68">
        <f t="shared" si="10"/>
        <v>157897.0969014453</v>
      </c>
      <c r="H68">
        <f t="shared" si="11"/>
        <v>161868.49791351511</v>
      </c>
    </row>
    <row r="69" spans="1:8" x14ac:dyDescent="0.35">
      <c r="A69">
        <v>69</v>
      </c>
      <c r="C69">
        <f t="shared" si="8"/>
        <v>159720.34118394912</v>
      </c>
      <c r="D69">
        <f t="shared" si="9"/>
        <v>155711.29012016414</v>
      </c>
      <c r="E69">
        <v>69</v>
      </c>
      <c r="G69">
        <f t="shared" si="10"/>
        <v>159611.04836190294</v>
      </c>
      <c r="H69">
        <f t="shared" si="11"/>
        <v>163617.83063188926</v>
      </c>
    </row>
    <row r="70" spans="1:8" x14ac:dyDescent="0.35">
      <c r="A70">
        <v>70</v>
      </c>
      <c r="C70">
        <f t="shared" si="8"/>
        <v>161324.99982236102</v>
      </c>
      <c r="D70">
        <f t="shared" si="9"/>
        <v>157282.46633257935</v>
      </c>
      <c r="E70">
        <v>70</v>
      </c>
      <c r="G70">
        <f t="shared" si="10"/>
        <v>161324.99982236058</v>
      </c>
      <c r="H70">
        <f t="shared" si="11"/>
        <v>165367.53331214224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7A4E-9411-4D73-847C-99E9CDC8E870}">
  <sheetPr codeName="Sheet13"/>
  <dimension ref="A1:XX1000"/>
  <sheetViews>
    <sheetView workbookViewId="0">
      <selection activeCell="C10" sqref="C10"/>
    </sheetView>
  </sheetViews>
  <sheetFormatPr defaultRowHeight="15.5" x14ac:dyDescent="0.35"/>
  <cols>
    <col min="1" max="4" width="15.6640625" customWidth="1"/>
  </cols>
  <sheetData>
    <row r="1" spans="1:3" x14ac:dyDescent="0.35">
      <c r="A1" s="6" t="s">
        <v>64</v>
      </c>
    </row>
    <row r="2" spans="1:3" s="21" customFormat="1" ht="31" thickBot="1" x14ac:dyDescent="0.4">
      <c r="A2" s="4" t="s">
        <v>26</v>
      </c>
      <c r="B2" s="4" t="s">
        <v>27</v>
      </c>
      <c r="C2" s="1" t="s">
        <v>29</v>
      </c>
    </row>
    <row r="3" spans="1:3" x14ac:dyDescent="0.35">
      <c r="A3" s="7" t="s">
        <v>16</v>
      </c>
      <c r="B3" s="62">
        <v>55278.317534797032</v>
      </c>
      <c r="C3" s="35"/>
    </row>
    <row r="4" spans="1:3" x14ac:dyDescent="0.35">
      <c r="A4" s="7" t="s">
        <v>34</v>
      </c>
      <c r="B4" s="57">
        <v>12020.56017808453</v>
      </c>
      <c r="C4" s="36">
        <v>0.04</v>
      </c>
    </row>
    <row r="5" spans="1:3" x14ac:dyDescent="0.35">
      <c r="A5" s="7" t="s">
        <v>35</v>
      </c>
      <c r="B5" s="57">
        <v>14337.282873957533</v>
      </c>
      <c r="C5" s="36">
        <v>0.09</v>
      </c>
    </row>
    <row r="6" spans="1:3" x14ac:dyDescent="0.35">
      <c r="A6" s="7" t="s">
        <v>36</v>
      </c>
      <c r="B6" s="57">
        <v>6711.1804883448876</v>
      </c>
      <c r="C6" s="36">
        <v>0.02</v>
      </c>
    </row>
    <row r="7" spans="1:3" x14ac:dyDescent="0.35">
      <c r="A7" s="7" t="s">
        <v>37</v>
      </c>
      <c r="B7" s="57">
        <v>5162.1708690186824</v>
      </c>
      <c r="C7" s="36">
        <v>0.01</v>
      </c>
    </row>
    <row r="8" spans="1:3" ht="16" thickBot="1" x14ac:dyDescent="0.4">
      <c r="A8" s="8" t="s">
        <v>38</v>
      </c>
      <c r="B8" s="58">
        <v>12307.680282295463</v>
      </c>
      <c r="C8" s="37">
        <v>0.08</v>
      </c>
    </row>
    <row r="9" spans="1:3" ht="16" thickBot="1" x14ac:dyDescent="0.4">
      <c r="B9" s="25" t="s">
        <v>75</v>
      </c>
      <c r="C9" s="100">
        <f>(B4*C4)+(B7*C7)+(B5*C5)+(B6*C6)+(B8*C8)+B3</f>
        <v>58219.955141617313</v>
      </c>
    </row>
    <row r="1000" spans="648:648" x14ac:dyDescent="0.35">
      <c r="XX1000" s="47">
        <v>166765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ECA8-09FF-4E3A-9D73-4DCBFC01E928}">
  <sheetPr codeName="Sheet1"/>
  <dimension ref="A1:XX1000"/>
  <sheetViews>
    <sheetView topLeftCell="F1" zoomScaleNormal="100" workbookViewId="0">
      <selection activeCell="M12" sqref="M12"/>
    </sheetView>
  </sheetViews>
  <sheetFormatPr defaultColWidth="8.83203125" defaultRowHeight="15.5" x14ac:dyDescent="0.35"/>
  <cols>
    <col min="1" max="1" width="15.6640625" style="39" customWidth="1"/>
    <col min="2" max="3" width="10.6640625" style="2" customWidth="1"/>
    <col min="4" max="5" width="15.6640625" style="2" customWidth="1"/>
    <col min="6" max="6" width="10.6640625" style="2" customWidth="1"/>
    <col min="7" max="10" width="15.6640625" style="2" customWidth="1"/>
    <col min="11" max="11" width="5.6640625" style="2" customWidth="1"/>
    <col min="12" max="12" width="65.6640625" style="2" customWidth="1"/>
    <col min="13" max="13" width="15.6640625" style="2" customWidth="1"/>
    <col min="14" max="16384" width="8.83203125" style="2"/>
  </cols>
  <sheetData>
    <row r="1" spans="1:13" ht="31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3" ht="16" thickBot="1" x14ac:dyDescent="0.4">
      <c r="A2" s="39" t="s">
        <v>10</v>
      </c>
      <c r="B2" s="3">
        <v>1</v>
      </c>
      <c r="C2" s="3">
        <v>5</v>
      </c>
      <c r="D2" s="3">
        <v>4</v>
      </c>
      <c r="E2" s="3">
        <v>4</v>
      </c>
      <c r="F2" s="3">
        <v>3</v>
      </c>
      <c r="G2" s="3">
        <v>5</v>
      </c>
      <c r="H2" s="3">
        <v>3</v>
      </c>
      <c r="I2" s="3">
        <v>5</v>
      </c>
      <c r="J2" s="3">
        <v>9</v>
      </c>
      <c r="L2" s="41" t="s">
        <v>80</v>
      </c>
    </row>
    <row r="3" spans="1:13" ht="16" thickBot="1" x14ac:dyDescent="0.4">
      <c r="A3" s="39" t="s">
        <v>11</v>
      </c>
      <c r="B3" s="3">
        <v>16</v>
      </c>
      <c r="C3" s="3">
        <v>2</v>
      </c>
      <c r="D3" s="3">
        <v>3</v>
      </c>
      <c r="E3" s="3">
        <v>2</v>
      </c>
      <c r="F3" s="3">
        <v>2</v>
      </c>
      <c r="G3" s="3">
        <v>4</v>
      </c>
      <c r="H3" s="3">
        <v>5</v>
      </c>
      <c r="I3" s="3">
        <v>2</v>
      </c>
      <c r="J3" s="3">
        <v>3</v>
      </c>
      <c r="L3" s="42" t="s">
        <v>84</v>
      </c>
      <c r="M3" s="93" t="s">
        <v>76</v>
      </c>
    </row>
    <row r="4" spans="1:13" ht="18" thickBot="1" x14ac:dyDescent="0.4">
      <c r="A4" s="39" t="s">
        <v>12</v>
      </c>
      <c r="B4" s="3">
        <v>16</v>
      </c>
      <c r="C4" s="3">
        <v>2</v>
      </c>
      <c r="D4" s="3">
        <v>3</v>
      </c>
      <c r="E4" s="3">
        <v>2</v>
      </c>
      <c r="F4" s="3">
        <v>4</v>
      </c>
      <c r="G4" s="3">
        <v>4</v>
      </c>
      <c r="H4" s="3">
        <v>4</v>
      </c>
      <c r="I4" s="3">
        <v>2</v>
      </c>
      <c r="J4" s="3">
        <v>5</v>
      </c>
      <c r="L4" s="43" t="s">
        <v>79</v>
      </c>
      <c r="M4" s="44" t="s">
        <v>210</v>
      </c>
    </row>
    <row r="5" spans="1:13" ht="18" thickBot="1" x14ac:dyDescent="0.4">
      <c r="A5" s="39" t="s">
        <v>12</v>
      </c>
      <c r="B5" s="3">
        <v>15</v>
      </c>
      <c r="C5" s="3">
        <v>2</v>
      </c>
      <c r="D5" s="3">
        <v>3</v>
      </c>
      <c r="E5" s="3">
        <v>1</v>
      </c>
      <c r="F5" s="3">
        <v>4</v>
      </c>
      <c r="G5" s="3">
        <v>4</v>
      </c>
      <c r="H5" s="3">
        <v>4</v>
      </c>
      <c r="I5" s="3">
        <v>2</v>
      </c>
      <c r="J5" s="3">
        <v>4</v>
      </c>
      <c r="L5" s="45" t="s">
        <v>82</v>
      </c>
      <c r="M5" s="46">
        <v>6</v>
      </c>
    </row>
    <row r="6" spans="1:13" x14ac:dyDescent="0.35">
      <c r="A6" s="39" t="s">
        <v>13</v>
      </c>
      <c r="B6" s="3">
        <v>1</v>
      </c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10</v>
      </c>
      <c r="L6"/>
      <c r="M6"/>
    </row>
    <row r="7" spans="1:13" ht="16" thickBot="1" x14ac:dyDescent="0.4">
      <c r="A7" s="39" t="s">
        <v>14</v>
      </c>
      <c r="B7" s="3">
        <v>17</v>
      </c>
      <c r="C7" s="3">
        <v>5</v>
      </c>
      <c r="D7" s="3">
        <v>4</v>
      </c>
      <c r="E7" s="3">
        <v>3</v>
      </c>
      <c r="F7" s="3">
        <v>5</v>
      </c>
      <c r="G7" s="3">
        <v>5</v>
      </c>
      <c r="H7" s="3">
        <v>5</v>
      </c>
      <c r="I7" s="3">
        <v>3</v>
      </c>
      <c r="J7" s="3">
        <v>8</v>
      </c>
      <c r="L7"/>
      <c r="M7"/>
    </row>
    <row r="8" spans="1:13" ht="16" thickBot="1" x14ac:dyDescent="0.4">
      <c r="A8" s="39" t="s">
        <v>14</v>
      </c>
      <c r="B8" s="3">
        <v>15</v>
      </c>
      <c r="C8" s="3">
        <v>5</v>
      </c>
      <c r="D8" s="3">
        <v>5</v>
      </c>
      <c r="E8" s="3">
        <v>5</v>
      </c>
      <c r="F8" s="3">
        <v>5</v>
      </c>
      <c r="G8" s="3">
        <v>5</v>
      </c>
      <c r="H8" s="3">
        <v>5</v>
      </c>
      <c r="I8" s="3">
        <v>5</v>
      </c>
      <c r="J8" s="3">
        <v>9</v>
      </c>
      <c r="L8" s="41" t="s">
        <v>81</v>
      </c>
    </row>
    <row r="9" spans="1:13" ht="16" thickBot="1" x14ac:dyDescent="0.4">
      <c r="A9" s="39" t="s">
        <v>12</v>
      </c>
      <c r="B9" s="3">
        <v>13</v>
      </c>
      <c r="C9" s="3">
        <v>3</v>
      </c>
      <c r="D9" s="3">
        <v>3</v>
      </c>
      <c r="E9" s="3">
        <v>3</v>
      </c>
      <c r="F9" s="3">
        <v>4</v>
      </c>
      <c r="G9" s="3">
        <v>4</v>
      </c>
      <c r="H9" s="3">
        <v>4</v>
      </c>
      <c r="I9" s="3">
        <v>3</v>
      </c>
      <c r="J9" s="3">
        <v>8</v>
      </c>
      <c r="L9" s="42" t="s">
        <v>84</v>
      </c>
      <c r="M9" s="93" t="s">
        <v>76</v>
      </c>
    </row>
    <row r="10" spans="1:13" ht="18" thickBot="1" x14ac:dyDescent="0.4">
      <c r="A10" s="39" t="s">
        <v>13</v>
      </c>
      <c r="B10" s="3">
        <v>11</v>
      </c>
      <c r="C10" s="3">
        <v>3</v>
      </c>
      <c r="D10" s="3">
        <v>4</v>
      </c>
      <c r="E10" s="3">
        <v>4</v>
      </c>
      <c r="F10" s="3">
        <v>4</v>
      </c>
      <c r="G10" s="3">
        <v>5</v>
      </c>
      <c r="H10" s="3">
        <v>5</v>
      </c>
      <c r="I10" s="3">
        <v>2</v>
      </c>
      <c r="J10" s="3">
        <v>7</v>
      </c>
      <c r="L10" s="43" t="s">
        <v>79</v>
      </c>
      <c r="M10" s="44" t="s">
        <v>210</v>
      </c>
    </row>
    <row r="11" spans="1:13" ht="18" thickBot="1" x14ac:dyDescent="0.4">
      <c r="A11" s="39" t="s">
        <v>12</v>
      </c>
      <c r="B11" s="3">
        <v>3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  <c r="J11" s="3">
        <v>10</v>
      </c>
      <c r="L11" s="45" t="s">
        <v>83</v>
      </c>
      <c r="M11" s="101">
        <v>1</v>
      </c>
    </row>
    <row r="12" spans="1:13" x14ac:dyDescent="0.35">
      <c r="A12" s="39" t="s">
        <v>12</v>
      </c>
      <c r="B12" s="3">
        <v>6</v>
      </c>
      <c r="C12" s="3">
        <v>2</v>
      </c>
      <c r="D12" s="3">
        <v>2</v>
      </c>
      <c r="E12" s="3">
        <v>1</v>
      </c>
      <c r="F12" s="3">
        <v>3</v>
      </c>
      <c r="G12" s="3">
        <v>3</v>
      </c>
      <c r="H12" s="3">
        <v>4</v>
      </c>
      <c r="I12" s="3">
        <v>2</v>
      </c>
      <c r="J12" s="3">
        <v>4</v>
      </c>
    </row>
    <row r="13" spans="1:13" x14ac:dyDescent="0.35">
      <c r="A13" s="39" t="s">
        <v>12</v>
      </c>
      <c r="B13" s="3">
        <v>1</v>
      </c>
      <c r="C13" s="3">
        <v>5</v>
      </c>
      <c r="D13" s="3">
        <v>4</v>
      </c>
      <c r="E13" s="3">
        <v>4</v>
      </c>
      <c r="F13" s="3">
        <v>3</v>
      </c>
      <c r="G13" s="3">
        <v>4</v>
      </c>
      <c r="H13" s="3">
        <v>5</v>
      </c>
      <c r="I13" s="3">
        <v>5</v>
      </c>
      <c r="J13" s="3">
        <v>9</v>
      </c>
    </row>
    <row r="14" spans="1:13" x14ac:dyDescent="0.35">
      <c r="A14" s="39" t="s">
        <v>12</v>
      </c>
      <c r="B14" s="3">
        <v>3</v>
      </c>
      <c r="C14" s="3">
        <v>3</v>
      </c>
      <c r="D14" s="3">
        <v>4</v>
      </c>
      <c r="E14" s="3">
        <v>3</v>
      </c>
      <c r="F14" s="3">
        <v>4</v>
      </c>
      <c r="G14" s="3">
        <v>5</v>
      </c>
      <c r="H14" s="3">
        <v>5</v>
      </c>
      <c r="I14" s="3">
        <v>4</v>
      </c>
      <c r="J14" s="3">
        <v>7</v>
      </c>
    </row>
    <row r="15" spans="1:13" x14ac:dyDescent="0.35">
      <c r="A15" s="39" t="s">
        <v>12</v>
      </c>
      <c r="B15" s="3">
        <v>2</v>
      </c>
      <c r="C15" s="3">
        <v>4</v>
      </c>
      <c r="D15" s="3">
        <v>4</v>
      </c>
      <c r="E15" s="3">
        <v>4</v>
      </c>
      <c r="F15" s="3">
        <v>4</v>
      </c>
      <c r="G15" s="3">
        <v>5</v>
      </c>
      <c r="H15" s="3">
        <v>5</v>
      </c>
      <c r="I15" s="3">
        <v>5</v>
      </c>
      <c r="J15" s="3">
        <v>8</v>
      </c>
    </row>
    <row r="16" spans="1:13" x14ac:dyDescent="0.35">
      <c r="A16" s="39" t="s">
        <v>12</v>
      </c>
      <c r="B16" s="3">
        <v>3</v>
      </c>
      <c r="C16" s="3">
        <v>3</v>
      </c>
      <c r="D16" s="3">
        <v>4</v>
      </c>
      <c r="E16" s="3">
        <v>3</v>
      </c>
      <c r="F16" s="3">
        <v>3</v>
      </c>
      <c r="G16" s="3">
        <v>2</v>
      </c>
      <c r="H16" s="3">
        <v>4</v>
      </c>
      <c r="I16" s="3">
        <v>4</v>
      </c>
      <c r="J16" s="3">
        <v>6</v>
      </c>
    </row>
    <row r="17" spans="1:14" x14ac:dyDescent="0.35">
      <c r="A17" s="39" t="s">
        <v>15</v>
      </c>
      <c r="B17" s="3">
        <v>21</v>
      </c>
      <c r="C17" s="3">
        <v>3</v>
      </c>
      <c r="D17" s="3">
        <v>2</v>
      </c>
      <c r="E17" s="3">
        <v>2</v>
      </c>
      <c r="F17" s="3">
        <v>3</v>
      </c>
      <c r="G17" s="3">
        <v>2</v>
      </c>
      <c r="H17" s="3">
        <v>4</v>
      </c>
      <c r="I17" s="3">
        <v>3</v>
      </c>
      <c r="J17" s="3">
        <v>5</v>
      </c>
    </row>
    <row r="18" spans="1:14" x14ac:dyDescent="0.35">
      <c r="A18" s="39" t="s">
        <v>12</v>
      </c>
      <c r="B18" s="3">
        <v>2</v>
      </c>
      <c r="C18" s="3">
        <v>4</v>
      </c>
      <c r="D18" s="3">
        <v>3</v>
      </c>
      <c r="E18" s="3">
        <v>4</v>
      </c>
      <c r="F18" s="3">
        <v>3</v>
      </c>
      <c r="G18" s="3">
        <v>3</v>
      </c>
      <c r="H18" s="3">
        <v>4</v>
      </c>
      <c r="I18" s="3">
        <v>4</v>
      </c>
      <c r="J18" s="3">
        <v>6</v>
      </c>
    </row>
    <row r="19" spans="1:14" x14ac:dyDescent="0.35">
      <c r="A19" s="39" t="s">
        <v>12</v>
      </c>
      <c r="B19" s="3">
        <v>2</v>
      </c>
      <c r="C19" s="3">
        <v>4</v>
      </c>
      <c r="D19" s="3">
        <v>5</v>
      </c>
      <c r="E19" s="3">
        <v>4</v>
      </c>
      <c r="F19" s="3">
        <v>4</v>
      </c>
      <c r="G19" s="3">
        <v>4</v>
      </c>
      <c r="H19" s="3">
        <v>4</v>
      </c>
      <c r="I19" s="3">
        <v>4</v>
      </c>
      <c r="J19" s="3">
        <v>8</v>
      </c>
    </row>
    <row r="20" spans="1:14" x14ac:dyDescent="0.35">
      <c r="A20" s="39" t="s">
        <v>12</v>
      </c>
      <c r="B20" s="3">
        <v>15</v>
      </c>
      <c r="C20" s="3">
        <v>5</v>
      </c>
      <c r="D20" s="3">
        <v>4</v>
      </c>
      <c r="E20" s="3">
        <v>3</v>
      </c>
      <c r="F20" s="3">
        <v>4</v>
      </c>
      <c r="G20" s="3">
        <v>3</v>
      </c>
      <c r="H20" s="3">
        <v>5</v>
      </c>
      <c r="I20" s="3">
        <v>3</v>
      </c>
      <c r="J20" s="3">
        <v>7</v>
      </c>
      <c r="L20" s="6" t="s">
        <v>77</v>
      </c>
      <c r="M20" s="6"/>
      <c r="N20" s="6"/>
    </row>
    <row r="21" spans="1:14" x14ac:dyDescent="0.35">
      <c r="A21" s="39" t="s">
        <v>10</v>
      </c>
      <c r="B21" s="3">
        <v>3</v>
      </c>
      <c r="C21" s="3">
        <v>3</v>
      </c>
      <c r="D21" s="3">
        <v>4</v>
      </c>
      <c r="E21" s="3">
        <v>3</v>
      </c>
      <c r="F21" s="3">
        <v>3</v>
      </c>
      <c r="G21" s="3">
        <v>4</v>
      </c>
      <c r="H21" s="3">
        <v>5</v>
      </c>
      <c r="I21" s="3">
        <v>5</v>
      </c>
      <c r="J21" s="3">
        <v>8</v>
      </c>
      <c r="L21"/>
      <c r="M21" s="20" t="s">
        <v>76</v>
      </c>
      <c r="N21"/>
    </row>
    <row r="22" spans="1:14" x14ac:dyDescent="0.35">
      <c r="A22" s="39" t="s">
        <v>12</v>
      </c>
      <c r="B22" s="3">
        <v>5</v>
      </c>
      <c r="C22" s="3">
        <v>4</v>
      </c>
      <c r="D22" s="3">
        <v>5</v>
      </c>
      <c r="E22" s="3">
        <v>3</v>
      </c>
      <c r="F22" s="3">
        <v>2</v>
      </c>
      <c r="G22" s="3">
        <v>3</v>
      </c>
      <c r="H22" s="3">
        <v>5</v>
      </c>
      <c r="I22" s="3">
        <v>4</v>
      </c>
      <c r="J22" s="3">
        <v>7</v>
      </c>
      <c r="L22"/>
      <c r="M22" s="34" t="s">
        <v>74</v>
      </c>
      <c r="N22"/>
    </row>
    <row r="23" spans="1:14" x14ac:dyDescent="0.35">
      <c r="A23" s="39" t="s">
        <v>15</v>
      </c>
      <c r="B23" s="3">
        <v>8</v>
      </c>
      <c r="C23" s="3">
        <v>3</v>
      </c>
      <c r="D23" s="3">
        <v>2</v>
      </c>
      <c r="E23" s="3">
        <v>2</v>
      </c>
      <c r="F23" s="3">
        <v>2</v>
      </c>
      <c r="G23" s="3">
        <v>2</v>
      </c>
      <c r="H23" s="3">
        <v>4</v>
      </c>
      <c r="I23" s="3">
        <v>2</v>
      </c>
      <c r="J23" s="3">
        <v>4</v>
      </c>
      <c r="L23"/>
      <c r="M23" s="38" t="s">
        <v>71</v>
      </c>
      <c r="N23"/>
    </row>
    <row r="24" spans="1:14" x14ac:dyDescent="0.35">
      <c r="A24" s="39" t="s">
        <v>10</v>
      </c>
      <c r="B24" s="3">
        <v>3</v>
      </c>
      <c r="C24" s="3">
        <v>2</v>
      </c>
      <c r="D24" s="3">
        <v>2</v>
      </c>
      <c r="E24" s="3">
        <v>2</v>
      </c>
      <c r="F24" s="3">
        <v>2</v>
      </c>
      <c r="G24" s="3">
        <v>3</v>
      </c>
      <c r="H24" s="3">
        <v>5</v>
      </c>
      <c r="I24" s="3">
        <v>3</v>
      </c>
      <c r="J24" s="3">
        <v>3</v>
      </c>
      <c r="L24"/>
      <c r="M24"/>
      <c r="N24"/>
    </row>
    <row r="25" spans="1:14" x14ac:dyDescent="0.35">
      <c r="A25" s="39" t="s">
        <v>11</v>
      </c>
      <c r="B25" s="3">
        <v>2</v>
      </c>
      <c r="C25" s="3">
        <v>4</v>
      </c>
      <c r="D25" s="3">
        <v>4</v>
      </c>
      <c r="E25" s="3">
        <v>3</v>
      </c>
      <c r="F25" s="3">
        <v>4</v>
      </c>
      <c r="G25" s="3">
        <v>4</v>
      </c>
      <c r="H25" s="3">
        <v>5</v>
      </c>
      <c r="I25" s="3">
        <v>3</v>
      </c>
      <c r="J25" s="3">
        <v>9</v>
      </c>
      <c r="L25" s="6" t="s">
        <v>78</v>
      </c>
      <c r="M25"/>
      <c r="N25"/>
    </row>
    <row r="26" spans="1:14" x14ac:dyDescent="0.35">
      <c r="A26" s="39" t="s">
        <v>12</v>
      </c>
      <c r="B26" s="3">
        <v>8</v>
      </c>
      <c r="C26" s="3">
        <v>5</v>
      </c>
      <c r="D26" s="3">
        <v>5</v>
      </c>
      <c r="E26" s="3">
        <v>3</v>
      </c>
      <c r="F26" s="3">
        <v>5</v>
      </c>
      <c r="G26" s="3">
        <v>3</v>
      </c>
      <c r="H26" s="3">
        <v>5</v>
      </c>
      <c r="I26" s="3">
        <v>3</v>
      </c>
      <c r="J26" s="3">
        <v>8</v>
      </c>
      <c r="L26"/>
      <c r="M26" s="38" t="s">
        <v>72</v>
      </c>
      <c r="N26"/>
    </row>
    <row r="27" spans="1:14" x14ac:dyDescent="0.35">
      <c r="A27" s="39" t="s">
        <v>15</v>
      </c>
      <c r="B27" s="3">
        <v>32</v>
      </c>
      <c r="C27" s="3">
        <v>2</v>
      </c>
      <c r="D27" s="3">
        <v>3</v>
      </c>
      <c r="E27" s="3">
        <v>2</v>
      </c>
      <c r="F27" s="3">
        <v>4</v>
      </c>
      <c r="G27" s="3">
        <v>2</v>
      </c>
      <c r="H27" s="3">
        <v>5</v>
      </c>
      <c r="I27" s="3">
        <v>3</v>
      </c>
      <c r="J27" s="3">
        <v>5</v>
      </c>
      <c r="L27"/>
      <c r="M27" s="20" t="s">
        <v>73</v>
      </c>
      <c r="N27" s="19"/>
    </row>
    <row r="28" spans="1:14" x14ac:dyDescent="0.35">
      <c r="A28" s="39" t="s">
        <v>12</v>
      </c>
      <c r="B28" s="3">
        <v>17</v>
      </c>
      <c r="C28" s="3">
        <v>4</v>
      </c>
      <c r="D28" s="3">
        <v>3</v>
      </c>
      <c r="E28" s="3">
        <v>4</v>
      </c>
      <c r="F28" s="3">
        <v>3</v>
      </c>
      <c r="G28" s="3">
        <v>3</v>
      </c>
      <c r="H28" s="3">
        <v>5</v>
      </c>
      <c r="I28" s="3">
        <v>2</v>
      </c>
      <c r="J28" s="3">
        <v>6</v>
      </c>
    </row>
    <row r="29" spans="1:14" x14ac:dyDescent="0.35">
      <c r="A29" s="39" t="s">
        <v>15</v>
      </c>
      <c r="B29" s="3">
        <v>2</v>
      </c>
      <c r="C29" s="3">
        <v>5</v>
      </c>
      <c r="D29" s="3">
        <v>5</v>
      </c>
      <c r="E29" s="3">
        <v>5</v>
      </c>
      <c r="F29" s="3">
        <v>5</v>
      </c>
      <c r="G29" s="3">
        <v>5</v>
      </c>
      <c r="H29" s="3">
        <v>5</v>
      </c>
      <c r="I29" s="3">
        <v>5</v>
      </c>
      <c r="J29" s="3">
        <v>10</v>
      </c>
    </row>
    <row r="30" spans="1:14" x14ac:dyDescent="0.35">
      <c r="A30" s="39" t="s">
        <v>12</v>
      </c>
      <c r="B30" s="3">
        <v>15</v>
      </c>
      <c r="C30" s="3">
        <v>5</v>
      </c>
      <c r="D30" s="3">
        <v>3</v>
      </c>
      <c r="E30" s="3">
        <v>4</v>
      </c>
      <c r="F30" s="3">
        <v>5</v>
      </c>
      <c r="G30" s="3">
        <v>5</v>
      </c>
      <c r="H30" s="3">
        <v>5</v>
      </c>
      <c r="I30" s="3">
        <v>5</v>
      </c>
      <c r="J30" s="3">
        <v>9</v>
      </c>
    </row>
    <row r="31" spans="1:14" x14ac:dyDescent="0.35">
      <c r="A31" s="39" t="s">
        <v>12</v>
      </c>
      <c r="B31" s="3">
        <v>5</v>
      </c>
      <c r="C31" s="3">
        <v>2</v>
      </c>
      <c r="D31" s="3">
        <v>4</v>
      </c>
      <c r="E31" s="3">
        <v>2</v>
      </c>
      <c r="F31" s="3">
        <v>2</v>
      </c>
      <c r="G31" s="3">
        <v>2</v>
      </c>
      <c r="H31" s="3">
        <v>5</v>
      </c>
      <c r="I31" s="3">
        <v>3</v>
      </c>
      <c r="J31" s="3">
        <v>3</v>
      </c>
    </row>
    <row r="32" spans="1:14" x14ac:dyDescent="0.35">
      <c r="A32" s="39" t="s">
        <v>11</v>
      </c>
      <c r="B32" s="3">
        <v>14</v>
      </c>
      <c r="C32" s="3">
        <v>4</v>
      </c>
      <c r="D32" s="3">
        <v>3</v>
      </c>
      <c r="E32" s="3">
        <v>2</v>
      </c>
      <c r="F32" s="3">
        <v>2</v>
      </c>
      <c r="G32" s="3">
        <v>5</v>
      </c>
      <c r="H32" s="3">
        <v>5</v>
      </c>
      <c r="I32" s="3">
        <v>5</v>
      </c>
      <c r="J32" s="3">
        <v>6</v>
      </c>
    </row>
    <row r="33" spans="1:10" x14ac:dyDescent="0.35">
      <c r="A33" s="39" t="s">
        <v>15</v>
      </c>
      <c r="B33" s="3">
        <v>18</v>
      </c>
      <c r="C33" s="3">
        <v>4</v>
      </c>
      <c r="D33" s="3">
        <v>4</v>
      </c>
      <c r="E33" s="3">
        <v>4</v>
      </c>
      <c r="F33" s="3">
        <v>5</v>
      </c>
      <c r="G33" s="3">
        <v>5</v>
      </c>
      <c r="H33" s="3">
        <v>5</v>
      </c>
      <c r="I33" s="3">
        <v>5</v>
      </c>
      <c r="J33" s="3">
        <v>8</v>
      </c>
    </row>
    <row r="1000" spans="648:648" x14ac:dyDescent="0.35">
      <c r="XX1000" s="47">
        <v>166765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C42A-EF2D-4FB2-9CA3-3AC7D8713B85}">
  <sheetPr codeName="Sheet2">
    <tabColor rgb="FF007800"/>
  </sheetPr>
  <dimension ref="A1:XX996"/>
  <sheetViews>
    <sheetView zoomScaleNormal="100" workbookViewId="0">
      <selection activeCell="A3" activeCellId="1" sqref="A2:XFD2 A3:XFD3"/>
    </sheetView>
  </sheetViews>
  <sheetFormatPr defaultRowHeight="15.5" x14ac:dyDescent="0.35"/>
  <cols>
    <col min="1" max="1" width="8.83203125" customWidth="1"/>
  </cols>
  <sheetData>
    <row r="1" spans="1:8" x14ac:dyDescent="0.35">
      <c r="A1" t="s">
        <v>244</v>
      </c>
    </row>
    <row r="2" spans="1:8" x14ac:dyDescent="0.35">
      <c r="A2" t="s">
        <v>88</v>
      </c>
    </row>
    <row r="3" spans="1:8" x14ac:dyDescent="0.35">
      <c r="A3" t="s">
        <v>89</v>
      </c>
    </row>
    <row r="4" spans="1:8" ht="38" customHeight="1" x14ac:dyDescent="0.35"/>
    <row r="5" spans="1:8" ht="15.65" customHeight="1" x14ac:dyDescent="0.35">
      <c r="A5" s="30"/>
    </row>
    <row r="8" spans="1:8" x14ac:dyDescent="0.35">
      <c r="A8" s="2" t="s">
        <v>90</v>
      </c>
    </row>
    <row r="9" spans="1:8" ht="16" thickBot="1" x14ac:dyDescent="0.4"/>
    <row r="10" spans="1:8" ht="31.25" customHeight="1" x14ac:dyDescent="0.35">
      <c r="A10" s="49" t="s">
        <v>91</v>
      </c>
      <c r="B10" s="50" t="s">
        <v>92</v>
      </c>
      <c r="C10" s="50" t="s">
        <v>93</v>
      </c>
      <c r="D10" s="50" t="s">
        <v>94</v>
      </c>
      <c r="E10" s="50" t="s">
        <v>95</v>
      </c>
      <c r="F10" s="50" t="s">
        <v>96</v>
      </c>
      <c r="G10" s="50" t="s">
        <v>97</v>
      </c>
      <c r="H10" s="50" t="s">
        <v>98</v>
      </c>
    </row>
    <row r="11" spans="1:8" x14ac:dyDescent="0.35">
      <c r="A11" s="51" t="s">
        <v>9</v>
      </c>
      <c r="B11" s="53">
        <v>32</v>
      </c>
      <c r="C11" s="53">
        <v>0</v>
      </c>
      <c r="D11" s="53">
        <v>32</v>
      </c>
      <c r="E11" s="56">
        <v>3</v>
      </c>
      <c r="F11" s="56">
        <v>10</v>
      </c>
      <c r="G11" s="56">
        <v>6.8437499999999991</v>
      </c>
      <c r="H11" s="56">
        <v>2.1569000305845152</v>
      </c>
    </row>
    <row r="12" spans="1:8" x14ac:dyDescent="0.35">
      <c r="A12" s="48" t="s">
        <v>1</v>
      </c>
      <c r="B12" s="54">
        <v>32</v>
      </c>
      <c r="C12" s="54">
        <v>0</v>
      </c>
      <c r="D12" s="54">
        <v>32</v>
      </c>
      <c r="E12" s="57">
        <v>1</v>
      </c>
      <c r="F12" s="57">
        <v>32</v>
      </c>
      <c r="G12" s="57">
        <v>9.21875</v>
      </c>
      <c r="H12" s="57">
        <v>7.6779297234807817</v>
      </c>
    </row>
    <row r="13" spans="1:8" x14ac:dyDescent="0.35">
      <c r="A13" s="48" t="s">
        <v>2</v>
      </c>
      <c r="B13" s="54">
        <v>32</v>
      </c>
      <c r="C13" s="54">
        <v>0</v>
      </c>
      <c r="D13" s="54">
        <v>32</v>
      </c>
      <c r="E13" s="57">
        <v>2</v>
      </c>
      <c r="F13" s="57">
        <v>5</v>
      </c>
      <c r="G13" s="57">
        <v>3.6562499999999996</v>
      </c>
      <c r="H13" s="57">
        <v>1.1530989102302514</v>
      </c>
    </row>
    <row r="14" spans="1:8" x14ac:dyDescent="0.35">
      <c r="A14" s="48" t="s">
        <v>3</v>
      </c>
      <c r="B14" s="54">
        <v>32</v>
      </c>
      <c r="C14" s="54">
        <v>0</v>
      </c>
      <c r="D14" s="54">
        <v>32</v>
      </c>
      <c r="E14" s="57">
        <v>2</v>
      </c>
      <c r="F14" s="57">
        <v>5</v>
      </c>
      <c r="G14" s="57">
        <v>3.6875</v>
      </c>
      <c r="H14" s="57">
        <v>0.96511740886962849</v>
      </c>
    </row>
    <row r="15" spans="1:8" x14ac:dyDescent="0.35">
      <c r="A15" s="48" t="s">
        <v>4</v>
      </c>
      <c r="B15" s="54">
        <v>32</v>
      </c>
      <c r="C15" s="54">
        <v>0</v>
      </c>
      <c r="D15" s="54">
        <v>32</v>
      </c>
      <c r="E15" s="57">
        <v>1</v>
      </c>
      <c r="F15" s="57">
        <v>5</v>
      </c>
      <c r="G15" s="57">
        <v>3.15625</v>
      </c>
      <c r="H15" s="57">
        <v>1.1390254748064526</v>
      </c>
    </row>
    <row r="16" spans="1:8" x14ac:dyDescent="0.35">
      <c r="A16" s="48" t="s">
        <v>5</v>
      </c>
      <c r="B16" s="54">
        <v>32</v>
      </c>
      <c r="C16" s="54">
        <v>0</v>
      </c>
      <c r="D16" s="54">
        <v>32</v>
      </c>
      <c r="E16" s="57">
        <v>2</v>
      </c>
      <c r="F16" s="57">
        <v>5</v>
      </c>
      <c r="G16" s="57">
        <v>3.6249999999999996</v>
      </c>
      <c r="H16" s="57">
        <v>1.0701220913160239</v>
      </c>
    </row>
    <row r="17" spans="1:10" x14ac:dyDescent="0.35">
      <c r="A17" s="48" t="s">
        <v>6</v>
      </c>
      <c r="B17" s="54">
        <v>32</v>
      </c>
      <c r="C17" s="54">
        <v>0</v>
      </c>
      <c r="D17" s="54">
        <v>32</v>
      </c>
      <c r="E17" s="57">
        <v>2</v>
      </c>
      <c r="F17" s="57">
        <v>5</v>
      </c>
      <c r="G17" s="57">
        <v>3.8437499999999996</v>
      </c>
      <c r="H17" s="57">
        <v>1.1103435969220545</v>
      </c>
    </row>
    <row r="18" spans="1:10" x14ac:dyDescent="0.35">
      <c r="A18" s="48" t="s">
        <v>7</v>
      </c>
      <c r="B18" s="54">
        <v>32</v>
      </c>
      <c r="C18" s="54">
        <v>0</v>
      </c>
      <c r="D18" s="54">
        <v>32</v>
      </c>
      <c r="E18" s="57">
        <v>3</v>
      </c>
      <c r="F18" s="57">
        <v>5</v>
      </c>
      <c r="G18" s="57">
        <v>4.6562499999999991</v>
      </c>
      <c r="H18" s="57">
        <v>0.54532470350981221</v>
      </c>
    </row>
    <row r="19" spans="1:10" ht="16" thickBot="1" x14ac:dyDescent="0.4">
      <c r="A19" s="52" t="s">
        <v>8</v>
      </c>
      <c r="B19" s="55">
        <v>32</v>
      </c>
      <c r="C19" s="55">
        <v>0</v>
      </c>
      <c r="D19" s="55">
        <v>32</v>
      </c>
      <c r="E19" s="58">
        <v>2</v>
      </c>
      <c r="F19" s="58">
        <v>5</v>
      </c>
      <c r="G19" s="58">
        <v>3.625</v>
      </c>
      <c r="H19" s="58">
        <v>1.1845783243211963</v>
      </c>
    </row>
    <row r="22" spans="1:10" x14ac:dyDescent="0.35">
      <c r="A22" s="6" t="s">
        <v>99</v>
      </c>
    </row>
    <row r="23" spans="1:10" ht="16" thickBot="1" x14ac:dyDescent="0.4"/>
    <row r="24" spans="1:10" ht="46.5" x14ac:dyDescent="0.35">
      <c r="A24" s="49"/>
      <c r="B24" s="50" t="s">
        <v>1</v>
      </c>
      <c r="C24" s="50" t="s">
        <v>2</v>
      </c>
      <c r="D24" s="50" t="s">
        <v>3</v>
      </c>
      <c r="E24" s="50" t="s">
        <v>4</v>
      </c>
      <c r="F24" s="50" t="s">
        <v>5</v>
      </c>
      <c r="G24" s="50" t="s">
        <v>6</v>
      </c>
      <c r="H24" s="50" t="s">
        <v>7</v>
      </c>
      <c r="I24" s="50" t="s">
        <v>8</v>
      </c>
      <c r="J24" s="59" t="s">
        <v>9</v>
      </c>
    </row>
    <row r="25" spans="1:10" x14ac:dyDescent="0.35">
      <c r="A25" s="60" t="s">
        <v>1</v>
      </c>
      <c r="B25" s="66">
        <v>1</v>
      </c>
      <c r="C25" s="62">
        <v>-0.24992641409774002</v>
      </c>
      <c r="D25" s="62">
        <v>-0.38227013114255626</v>
      </c>
      <c r="E25" s="62">
        <v>-0.33969636032018913</v>
      </c>
      <c r="F25" s="62">
        <v>0.132014956482887</v>
      </c>
      <c r="G25" s="62">
        <v>-0.1737035117037744</v>
      </c>
      <c r="H25" s="62">
        <v>0.10328715507257025</v>
      </c>
      <c r="I25" s="62">
        <v>-0.38437886708851426</v>
      </c>
      <c r="J25" s="63">
        <v>-0.31537536840870678</v>
      </c>
    </row>
    <row r="26" spans="1:10" x14ac:dyDescent="0.35">
      <c r="A26" s="48" t="s">
        <v>2</v>
      </c>
      <c r="B26" s="57">
        <v>-0.24992641409774002</v>
      </c>
      <c r="C26" s="67">
        <v>1</v>
      </c>
      <c r="D26" s="57">
        <v>0.62501538435030279</v>
      </c>
      <c r="E26" s="57">
        <v>0.77903033830215307</v>
      </c>
      <c r="F26" s="57">
        <v>0.51957177688775125</v>
      </c>
      <c r="G26" s="57">
        <v>0.48579108182239977</v>
      </c>
      <c r="H26" s="57">
        <v>0.21642148004701051</v>
      </c>
      <c r="I26" s="57">
        <v>0.63468237152303786</v>
      </c>
      <c r="J26" s="64">
        <v>0.84670122776951817</v>
      </c>
    </row>
    <row r="27" spans="1:10" x14ac:dyDescent="0.35">
      <c r="A27" s="48" t="s">
        <v>3</v>
      </c>
      <c r="B27" s="57">
        <v>-0.38227013114255626</v>
      </c>
      <c r="C27" s="57">
        <v>0.62501538435030279</v>
      </c>
      <c r="D27" s="67">
        <v>1</v>
      </c>
      <c r="E27" s="57">
        <v>0.69142660550345003</v>
      </c>
      <c r="F27" s="57">
        <v>0.50754925231127723</v>
      </c>
      <c r="G27" s="57">
        <v>0.43460304159225899</v>
      </c>
      <c r="H27" s="57">
        <v>0.34093611554293057</v>
      </c>
      <c r="I27" s="57">
        <v>0.54315665980278904</v>
      </c>
      <c r="J27" s="64">
        <v>0.71960963759116425</v>
      </c>
    </row>
    <row r="28" spans="1:10" x14ac:dyDescent="0.35">
      <c r="A28" s="48" t="s">
        <v>4</v>
      </c>
      <c r="B28" s="57">
        <v>-0.33969636032018913</v>
      </c>
      <c r="C28" s="57">
        <v>0.77903033830215307</v>
      </c>
      <c r="D28" s="57">
        <v>0.69142660550345003</v>
      </c>
      <c r="E28" s="67">
        <v>1</v>
      </c>
      <c r="F28" s="57">
        <v>0.55245641813675073</v>
      </c>
      <c r="G28" s="57">
        <v>0.55555911335638841</v>
      </c>
      <c r="H28" s="57">
        <v>0.24506239064738738</v>
      </c>
      <c r="I28" s="57">
        <v>0.66643218554100558</v>
      </c>
      <c r="J28" s="64">
        <v>0.83746733882884339</v>
      </c>
    </row>
    <row r="29" spans="1:10" x14ac:dyDescent="0.35">
      <c r="A29" s="48" t="s">
        <v>5</v>
      </c>
      <c r="B29" s="57">
        <v>0.132014956482887</v>
      </c>
      <c r="C29" s="57">
        <v>0.51957177688775125</v>
      </c>
      <c r="D29" s="57">
        <v>0.50754925231127723</v>
      </c>
      <c r="E29" s="57">
        <v>0.55245641813675073</v>
      </c>
      <c r="F29" s="67">
        <v>1</v>
      </c>
      <c r="G29" s="57">
        <v>0.54636575782753272</v>
      </c>
      <c r="H29" s="57">
        <v>0.21420100861942368</v>
      </c>
      <c r="I29" s="57">
        <v>0.29264360312899912</v>
      </c>
      <c r="J29" s="64">
        <v>0.68655846047266067</v>
      </c>
    </row>
    <row r="30" spans="1:10" x14ac:dyDescent="0.35">
      <c r="A30" s="48" t="s">
        <v>6</v>
      </c>
      <c r="B30" s="57">
        <v>-0.1737035117037744</v>
      </c>
      <c r="C30" s="57">
        <v>0.48579108182239977</v>
      </c>
      <c r="D30" s="57">
        <v>0.43460304159225899</v>
      </c>
      <c r="E30" s="57">
        <v>0.55555911335638841</v>
      </c>
      <c r="F30" s="57">
        <v>0.54636575782753272</v>
      </c>
      <c r="G30" s="67">
        <v>1</v>
      </c>
      <c r="H30" s="57">
        <v>0.22808479296735104</v>
      </c>
      <c r="I30" s="57">
        <v>0.51810030718862199</v>
      </c>
      <c r="J30" s="64">
        <v>0.64948158948365042</v>
      </c>
    </row>
    <row r="31" spans="1:10" x14ac:dyDescent="0.35">
      <c r="A31" s="48" t="s">
        <v>7</v>
      </c>
      <c r="B31" s="57">
        <v>0.10328715507257025</v>
      </c>
      <c r="C31" s="57">
        <v>0.21642148004701051</v>
      </c>
      <c r="D31" s="57">
        <v>0.34093611554293057</v>
      </c>
      <c r="E31" s="57">
        <v>0.24506239064738738</v>
      </c>
      <c r="F31" s="57">
        <v>0.21420100861942368</v>
      </c>
      <c r="G31" s="57">
        <v>0.22808479296735104</v>
      </c>
      <c r="H31" s="67">
        <v>1</v>
      </c>
      <c r="I31" s="57">
        <v>0.19350449573452319</v>
      </c>
      <c r="J31" s="64">
        <v>0.19969126141658955</v>
      </c>
    </row>
    <row r="32" spans="1:10" x14ac:dyDescent="0.35">
      <c r="A32" s="48" t="s">
        <v>8</v>
      </c>
      <c r="B32" s="57">
        <v>-0.38437886708851426</v>
      </c>
      <c r="C32" s="57">
        <v>0.63468237152303786</v>
      </c>
      <c r="D32" s="57">
        <v>0.54315665980278904</v>
      </c>
      <c r="E32" s="57">
        <v>0.66643218554100558</v>
      </c>
      <c r="F32" s="57">
        <v>0.29264360312899912</v>
      </c>
      <c r="G32" s="57">
        <v>0.51810030718862199</v>
      </c>
      <c r="H32" s="57">
        <v>0.19350449573452319</v>
      </c>
      <c r="I32" s="67">
        <v>1</v>
      </c>
      <c r="J32" s="64">
        <v>0.70859953338510606</v>
      </c>
    </row>
    <row r="33" spans="1:10" ht="16" thickBot="1" x14ac:dyDescent="0.4">
      <c r="A33" s="61" t="s">
        <v>9</v>
      </c>
      <c r="B33" s="65">
        <v>-0.31537536840870678</v>
      </c>
      <c r="C33" s="65">
        <v>0.84670122776951817</v>
      </c>
      <c r="D33" s="65">
        <v>0.71960963759116425</v>
      </c>
      <c r="E33" s="65">
        <v>0.83746733882884339</v>
      </c>
      <c r="F33" s="65">
        <v>0.68655846047266067</v>
      </c>
      <c r="G33" s="65">
        <v>0.64948158948365042</v>
      </c>
      <c r="H33" s="65">
        <v>0.19969126141658955</v>
      </c>
      <c r="I33" s="65">
        <v>0.70859953338510606</v>
      </c>
      <c r="J33" s="68">
        <v>1</v>
      </c>
    </row>
    <row r="36" spans="1:10" x14ac:dyDescent="0.35">
      <c r="A36" s="6" t="s">
        <v>231</v>
      </c>
    </row>
    <row r="38" spans="1:10" x14ac:dyDescent="0.35">
      <c r="A38" s="2" t="s">
        <v>232</v>
      </c>
    </row>
    <row r="39" spans="1:10" ht="16" thickBot="1" x14ac:dyDescent="0.4"/>
    <row r="40" spans="1:10" x14ac:dyDescent="0.35">
      <c r="A40" s="69" t="s">
        <v>92</v>
      </c>
      <c r="B40" s="70">
        <v>32</v>
      </c>
    </row>
    <row r="41" spans="1:10" x14ac:dyDescent="0.35">
      <c r="A41" s="48" t="s">
        <v>102</v>
      </c>
      <c r="B41" s="54">
        <v>32</v>
      </c>
    </row>
    <row r="42" spans="1:10" x14ac:dyDescent="0.35">
      <c r="A42" s="48" t="s">
        <v>103</v>
      </c>
      <c r="B42" s="54">
        <v>23</v>
      </c>
    </row>
    <row r="43" spans="1:10" x14ac:dyDescent="0.35">
      <c r="A43" s="48" t="s">
        <v>104</v>
      </c>
      <c r="B43" s="57">
        <v>0.89607555332034505</v>
      </c>
    </row>
    <row r="44" spans="1:10" x14ac:dyDescent="0.35">
      <c r="A44" s="48" t="s">
        <v>105</v>
      </c>
      <c r="B44" s="57">
        <v>0.85992791969263904</v>
      </c>
    </row>
    <row r="45" spans="1:10" x14ac:dyDescent="0.35">
      <c r="A45" s="48" t="s">
        <v>106</v>
      </c>
      <c r="B45" s="57">
        <v>0.65164581715571623</v>
      </c>
    </row>
    <row r="46" spans="1:10" x14ac:dyDescent="0.35">
      <c r="A46" s="48" t="s">
        <v>107</v>
      </c>
      <c r="B46" s="57">
        <v>0.80724582201192974</v>
      </c>
    </row>
    <row r="47" spans="1:10" x14ac:dyDescent="0.35">
      <c r="A47" s="48" t="s">
        <v>108</v>
      </c>
      <c r="B47" s="57">
        <v>8.5678217239991525</v>
      </c>
    </row>
    <row r="48" spans="1:10" x14ac:dyDescent="0.35">
      <c r="A48" s="48" t="s">
        <v>109</v>
      </c>
      <c r="B48" s="57">
        <v>2.2189273726414678</v>
      </c>
    </row>
    <row r="49" spans="1:7" x14ac:dyDescent="0.35">
      <c r="A49" s="48" t="s">
        <v>110</v>
      </c>
      <c r="B49" s="57">
        <v>9</v>
      </c>
    </row>
    <row r="50" spans="1:7" x14ac:dyDescent="0.35">
      <c r="A50" s="48" t="s">
        <v>111</v>
      </c>
      <c r="B50" s="57">
        <v>-6.2718648559242069</v>
      </c>
    </row>
    <row r="51" spans="1:7" x14ac:dyDescent="0.35">
      <c r="A51" s="48" t="s">
        <v>112</v>
      </c>
      <c r="B51" s="57">
        <v>1.9099533258939747</v>
      </c>
    </row>
    <row r="52" spans="1:7" x14ac:dyDescent="0.35">
      <c r="A52" s="48" t="s">
        <v>113</v>
      </c>
      <c r="B52" s="57">
        <v>6.9197582692733306</v>
      </c>
    </row>
    <row r="53" spans="1:7" ht="16" thickBot="1" x14ac:dyDescent="0.4">
      <c r="A53" s="52" t="s">
        <v>114</v>
      </c>
      <c r="B53" s="58">
        <v>0.1852566223419935</v>
      </c>
    </row>
    <row r="56" spans="1:7" x14ac:dyDescent="0.35">
      <c r="A56" s="2" t="s">
        <v>233</v>
      </c>
    </row>
    <row r="57" spans="1:7" ht="16" thickBot="1" x14ac:dyDescent="0.4"/>
    <row r="58" spans="1:7" ht="46.5" x14ac:dyDescent="0.35">
      <c r="A58" s="49" t="s">
        <v>116</v>
      </c>
      <c r="B58" s="50" t="s">
        <v>103</v>
      </c>
      <c r="C58" s="50" t="s">
        <v>117</v>
      </c>
      <c r="D58" s="50" t="s">
        <v>118</v>
      </c>
      <c r="E58" s="50" t="s">
        <v>119</v>
      </c>
      <c r="F58" s="50" t="s">
        <v>120</v>
      </c>
      <c r="G58" s="50" t="s">
        <v>121</v>
      </c>
    </row>
    <row r="59" spans="1:7" x14ac:dyDescent="0.35">
      <c r="A59" s="60" t="s">
        <v>122</v>
      </c>
      <c r="B59" s="62">
        <v>8</v>
      </c>
      <c r="C59" s="62">
        <v>129.23089620541847</v>
      </c>
      <c r="D59" s="62">
        <v>16.153862025677309</v>
      </c>
      <c r="E59" s="62">
        <v>24.789328190864776</v>
      </c>
      <c r="F59" s="74">
        <v>1.485508260081716E-9</v>
      </c>
      <c r="G59" s="77" t="s">
        <v>125</v>
      </c>
    </row>
    <row r="60" spans="1:7" x14ac:dyDescent="0.35">
      <c r="A60" s="48" t="s">
        <v>123</v>
      </c>
      <c r="B60" s="57">
        <v>23</v>
      </c>
      <c r="C60" s="57">
        <v>14.987853794581474</v>
      </c>
      <c r="D60" s="57">
        <v>0.65164581715571623</v>
      </c>
      <c r="E60" s="57"/>
      <c r="F60" s="75"/>
      <c r="G60" s="78" t="s">
        <v>126</v>
      </c>
    </row>
    <row r="61" spans="1:7" ht="16" thickBot="1" x14ac:dyDescent="0.4">
      <c r="A61" s="52" t="s">
        <v>124</v>
      </c>
      <c r="B61" s="58">
        <v>31</v>
      </c>
      <c r="C61" s="58">
        <v>144.21874999999994</v>
      </c>
      <c r="D61" s="58"/>
      <c r="E61" s="58"/>
      <c r="F61" s="76"/>
      <c r="G61" s="79" t="s">
        <v>126</v>
      </c>
    </row>
    <row r="62" spans="1:7" x14ac:dyDescent="0.35">
      <c r="A62" s="80" t="s">
        <v>127</v>
      </c>
    </row>
    <row r="63" spans="1:7" x14ac:dyDescent="0.35">
      <c r="A63" s="80" t="s">
        <v>128</v>
      </c>
    </row>
    <row r="66" spans="1:8" x14ac:dyDescent="0.35">
      <c r="A66" s="2" t="s">
        <v>234</v>
      </c>
    </row>
    <row r="67" spans="1:8" ht="16" thickBot="1" x14ac:dyDescent="0.4"/>
    <row r="68" spans="1:8" ht="46.5" x14ac:dyDescent="0.35">
      <c r="A68" s="49" t="s">
        <v>116</v>
      </c>
      <c r="B68" s="50" t="s">
        <v>130</v>
      </c>
      <c r="C68" s="50" t="s">
        <v>131</v>
      </c>
      <c r="D68" s="50" t="s">
        <v>132</v>
      </c>
      <c r="E68" s="50" t="s">
        <v>133</v>
      </c>
      <c r="F68" s="50" t="s">
        <v>134</v>
      </c>
      <c r="G68" s="50" t="s">
        <v>135</v>
      </c>
      <c r="H68" s="50" t="s">
        <v>121</v>
      </c>
    </row>
    <row r="69" spans="1:8" x14ac:dyDescent="0.35">
      <c r="A69" s="60" t="s">
        <v>16</v>
      </c>
      <c r="B69" s="62">
        <v>-1.8646163555537054E-2</v>
      </c>
      <c r="C69" s="62">
        <v>1.2944459536982853</v>
      </c>
      <c r="D69" s="62">
        <v>-1.4404744749878663E-2</v>
      </c>
      <c r="E69" s="71">
        <v>0.98863129889959367</v>
      </c>
      <c r="F69" s="62">
        <v>-2.6964116367950033</v>
      </c>
      <c r="G69" s="62">
        <v>2.6591193096839292</v>
      </c>
      <c r="H69" s="77" t="s">
        <v>137</v>
      </c>
    </row>
    <row r="70" spans="1:8" x14ac:dyDescent="0.35">
      <c r="A70" s="48" t="s">
        <v>1</v>
      </c>
      <c r="B70" s="57">
        <v>-2.4730078521402951E-2</v>
      </c>
      <c r="C70" s="57">
        <v>2.4920742366135215E-2</v>
      </c>
      <c r="D70" s="57">
        <v>-0.99234919080936546</v>
      </c>
      <c r="E70" s="72">
        <v>0.3313531635246707</v>
      </c>
      <c r="F70" s="57">
        <v>-7.6282561871423932E-2</v>
      </c>
      <c r="G70" s="57">
        <v>2.6822404828618029E-2</v>
      </c>
      <c r="H70" s="78" t="s">
        <v>137</v>
      </c>
    </row>
    <row r="71" spans="1:8" x14ac:dyDescent="0.35">
      <c r="A71" s="48" t="s">
        <v>2</v>
      </c>
      <c r="B71" s="57">
        <v>0.65278044459928819</v>
      </c>
      <c r="C71" s="57">
        <v>0.21344255724214986</v>
      </c>
      <c r="D71" s="57">
        <v>3.0583425022345052</v>
      </c>
      <c r="E71" s="75">
        <v>5.5702258141956396E-3</v>
      </c>
      <c r="F71" s="57">
        <v>0.2112408741985094</v>
      </c>
      <c r="G71" s="57">
        <v>1.0943200150000669</v>
      </c>
      <c r="H71" s="78" t="s">
        <v>136</v>
      </c>
    </row>
    <row r="72" spans="1:8" x14ac:dyDescent="0.35">
      <c r="A72" s="48" t="s">
        <v>3</v>
      </c>
      <c r="B72" s="57">
        <v>0.21898815694975513</v>
      </c>
      <c r="C72" s="57">
        <v>0.24275642811228754</v>
      </c>
      <c r="D72" s="57">
        <v>0.90209004413453331</v>
      </c>
      <c r="E72" s="72">
        <v>0.37635942864549077</v>
      </c>
      <c r="F72" s="57">
        <v>-0.28319177551387331</v>
      </c>
      <c r="G72" s="57">
        <v>0.72116808941338362</v>
      </c>
      <c r="H72" s="78" t="s">
        <v>137</v>
      </c>
    </row>
    <row r="73" spans="1:8" x14ac:dyDescent="0.35">
      <c r="A73" s="48" t="s">
        <v>4</v>
      </c>
      <c r="B73" s="57">
        <v>0.2807047820794486</v>
      </c>
      <c r="C73" s="57">
        <v>0.24576219795362098</v>
      </c>
      <c r="D73" s="57">
        <v>1.1421804672027787</v>
      </c>
      <c r="E73" s="72">
        <v>0.26513064230584615</v>
      </c>
      <c r="F73" s="57">
        <v>-0.22769305904126336</v>
      </c>
      <c r="G73" s="57">
        <v>0.78910262320016056</v>
      </c>
      <c r="H73" s="78" t="s">
        <v>137</v>
      </c>
    </row>
    <row r="74" spans="1:8" x14ac:dyDescent="0.35">
      <c r="A74" s="48" t="s">
        <v>5</v>
      </c>
      <c r="B74" s="57">
        <v>0.58317620664666026</v>
      </c>
      <c r="C74" s="57">
        <v>0.20962393724379422</v>
      </c>
      <c r="D74" s="57">
        <v>2.7820115122082738</v>
      </c>
      <c r="E74" s="75">
        <v>1.0598696160524224E-2</v>
      </c>
      <c r="F74" s="57">
        <v>0.14953605356632205</v>
      </c>
      <c r="G74" s="57">
        <v>1.0168163597269984</v>
      </c>
      <c r="H74" s="78" t="s">
        <v>220</v>
      </c>
    </row>
    <row r="75" spans="1:8" x14ac:dyDescent="0.35">
      <c r="A75" s="48" t="s">
        <v>6</v>
      </c>
      <c r="B75" s="57">
        <v>0.20328804822312818</v>
      </c>
      <c r="C75" s="57">
        <v>0.17814129688928906</v>
      </c>
      <c r="D75" s="57">
        <v>1.1411618292498862</v>
      </c>
      <c r="E75" s="72">
        <v>0.26554556542889141</v>
      </c>
      <c r="F75" s="57">
        <v>-0.16522530129553797</v>
      </c>
      <c r="G75" s="57">
        <v>0.57180139774179439</v>
      </c>
      <c r="H75" s="78" t="s">
        <v>137</v>
      </c>
    </row>
    <row r="76" spans="1:8" x14ac:dyDescent="0.35">
      <c r="A76" s="48" t="s">
        <v>7</v>
      </c>
      <c r="B76" s="57">
        <v>-0.22083111465661318</v>
      </c>
      <c r="C76" s="57">
        <v>0.29808528939168855</v>
      </c>
      <c r="D76" s="57">
        <v>-0.74083197834844439</v>
      </c>
      <c r="E76" s="72">
        <v>0.4662920563484827</v>
      </c>
      <c r="F76" s="57">
        <v>-0.83746751707508482</v>
      </c>
      <c r="G76" s="57">
        <v>0.39580528776185842</v>
      </c>
      <c r="H76" s="78" t="s">
        <v>137</v>
      </c>
    </row>
    <row r="77" spans="1:8" ht="16" thickBot="1" x14ac:dyDescent="0.4">
      <c r="A77" s="52" t="s">
        <v>8</v>
      </c>
      <c r="B77" s="58">
        <v>0.31530964698928404</v>
      </c>
      <c r="C77" s="58">
        <v>0.18358927498050487</v>
      </c>
      <c r="D77" s="58">
        <v>1.7174731313839897</v>
      </c>
      <c r="E77" s="73">
        <v>9.9329957732099405E-2</v>
      </c>
      <c r="F77" s="58">
        <v>-6.4473703868521137E-2</v>
      </c>
      <c r="G77" s="58">
        <v>0.69509299784708922</v>
      </c>
      <c r="H77" s="79" t="s">
        <v>235</v>
      </c>
    </row>
    <row r="78" spans="1:8" x14ac:dyDescent="0.35">
      <c r="A78" s="80" t="s">
        <v>128</v>
      </c>
    </row>
    <row r="81" spans="1:8" x14ac:dyDescent="0.35">
      <c r="A81" s="2" t="s">
        <v>236</v>
      </c>
    </row>
    <row r="83" spans="1:8" x14ac:dyDescent="0.35">
      <c r="A83" t="s">
        <v>237</v>
      </c>
    </row>
    <row r="86" spans="1:8" x14ac:dyDescent="0.35">
      <c r="A86" s="2" t="s">
        <v>238</v>
      </c>
    </row>
    <row r="87" spans="1:8" ht="16" thickBot="1" x14ac:dyDescent="0.4"/>
    <row r="88" spans="1:8" ht="46.5" x14ac:dyDescent="0.35">
      <c r="A88" s="49" t="s">
        <v>116</v>
      </c>
      <c r="B88" s="50" t="s">
        <v>130</v>
      </c>
      <c r="C88" s="50" t="s">
        <v>131</v>
      </c>
      <c r="D88" s="50" t="s">
        <v>132</v>
      </c>
      <c r="E88" s="50" t="s">
        <v>133</v>
      </c>
      <c r="F88" s="50" t="s">
        <v>134</v>
      </c>
      <c r="G88" s="50" t="s">
        <v>135</v>
      </c>
      <c r="H88" s="50" t="s">
        <v>121</v>
      </c>
    </row>
    <row r="89" spans="1:8" x14ac:dyDescent="0.35">
      <c r="A89" s="60" t="s">
        <v>1</v>
      </c>
      <c r="B89" s="62">
        <v>-8.8031805948854042E-2</v>
      </c>
      <c r="C89" s="62">
        <v>8.8710513158230933E-2</v>
      </c>
      <c r="D89" s="62">
        <v>-0.99234919080936557</v>
      </c>
      <c r="E89" s="71">
        <v>0.3313531635246707</v>
      </c>
      <c r="F89" s="62">
        <v>-0.27154348410721019</v>
      </c>
      <c r="G89" s="62">
        <v>9.5479872209502131E-2</v>
      </c>
      <c r="H89" s="77" t="s">
        <v>137</v>
      </c>
    </row>
    <row r="90" spans="1:8" x14ac:dyDescent="0.35">
      <c r="A90" s="48" t="s">
        <v>2</v>
      </c>
      <c r="B90" s="57">
        <v>0.34898252520450501</v>
      </c>
      <c r="C90" s="57">
        <v>0.11410838548969884</v>
      </c>
      <c r="D90" s="57">
        <v>3.0583425022345048</v>
      </c>
      <c r="E90" s="75">
        <v>5.5702258141956396E-3</v>
      </c>
      <c r="F90" s="57">
        <v>0.1129313451622404</v>
      </c>
      <c r="G90" s="57">
        <v>0.58503370524676956</v>
      </c>
      <c r="H90" s="78" t="s">
        <v>136</v>
      </c>
    </row>
    <row r="91" spans="1:8" x14ac:dyDescent="0.35">
      <c r="A91" s="48" t="s">
        <v>3</v>
      </c>
      <c r="B91" s="57">
        <v>9.7987518944588264E-2</v>
      </c>
      <c r="C91" s="57">
        <v>0.10862276951365499</v>
      </c>
      <c r="D91" s="57">
        <v>0.90209004413453331</v>
      </c>
      <c r="E91" s="72">
        <v>0.37635942864549077</v>
      </c>
      <c r="F91" s="57">
        <v>-0.12671579986165221</v>
      </c>
      <c r="G91" s="57">
        <v>0.32269083775082874</v>
      </c>
      <c r="H91" s="78" t="s">
        <v>137</v>
      </c>
    </row>
    <row r="92" spans="1:8" x14ac:dyDescent="0.35">
      <c r="A92" s="48" t="s">
        <v>4</v>
      </c>
      <c r="B92" s="57">
        <v>0.14823584457080269</v>
      </c>
      <c r="C92" s="57">
        <v>0.12978320749420189</v>
      </c>
      <c r="D92" s="57">
        <v>1.1421804672027787</v>
      </c>
      <c r="E92" s="72">
        <v>0.26513064230584615</v>
      </c>
      <c r="F92" s="57">
        <v>-0.12024117530116857</v>
      </c>
      <c r="G92" s="57">
        <v>0.41671286444277394</v>
      </c>
      <c r="H92" s="78" t="s">
        <v>137</v>
      </c>
    </row>
    <row r="93" spans="1:8" x14ac:dyDescent="0.35">
      <c r="A93" s="48" t="s">
        <v>5</v>
      </c>
      <c r="B93" s="57">
        <v>0.28933642404063958</v>
      </c>
      <c r="C93" s="57">
        <v>0.10400259767831563</v>
      </c>
      <c r="D93" s="57">
        <v>2.7820115122082738</v>
      </c>
      <c r="E93" s="75">
        <v>1.0598696160524224E-2</v>
      </c>
      <c r="F93" s="57">
        <v>7.4190658862465675E-2</v>
      </c>
      <c r="G93" s="57">
        <v>0.50448218921881349</v>
      </c>
      <c r="H93" s="78" t="s">
        <v>220</v>
      </c>
    </row>
    <row r="94" spans="1:8" x14ac:dyDescent="0.35">
      <c r="A94" s="48" t="s">
        <v>6</v>
      </c>
      <c r="B94" s="57">
        <v>0.10464999743829699</v>
      </c>
      <c r="C94" s="57">
        <v>9.1704782578546307E-2</v>
      </c>
      <c r="D94" s="57">
        <v>1.1411618292498862</v>
      </c>
      <c r="E94" s="72">
        <v>0.26554556542889141</v>
      </c>
      <c r="F94" s="57">
        <v>-8.5055798943681912E-2</v>
      </c>
      <c r="G94" s="57">
        <v>0.29435579382027588</v>
      </c>
      <c r="H94" s="78" t="s">
        <v>137</v>
      </c>
    </row>
    <row r="95" spans="1:8" x14ac:dyDescent="0.35">
      <c r="A95" s="48" t="s">
        <v>7</v>
      </c>
      <c r="B95" s="57">
        <v>-5.5832287272592838E-2</v>
      </c>
      <c r="C95" s="57">
        <v>7.5364305138475779E-2</v>
      </c>
      <c r="D95" s="57">
        <v>-0.74083197834844428</v>
      </c>
      <c r="E95" s="72">
        <v>0.4662920563484827</v>
      </c>
      <c r="F95" s="57">
        <v>-0.21173523064224112</v>
      </c>
      <c r="G95" s="57">
        <v>0.10007065609705543</v>
      </c>
      <c r="H95" s="78" t="s">
        <v>137</v>
      </c>
    </row>
    <row r="96" spans="1:8" ht="16" thickBot="1" x14ac:dyDescent="0.4">
      <c r="A96" s="52" t="s">
        <v>8</v>
      </c>
      <c r="B96" s="58">
        <v>0.17316934859129929</v>
      </c>
      <c r="C96" s="58">
        <v>0.10082798119336772</v>
      </c>
      <c r="D96" s="58">
        <v>1.7174731313839897</v>
      </c>
      <c r="E96" s="73">
        <v>9.9329957732099405E-2</v>
      </c>
      <c r="F96" s="58">
        <v>-3.5409222035504589E-2</v>
      </c>
      <c r="G96" s="58">
        <v>0.38174791921810314</v>
      </c>
      <c r="H96" s="79" t="s">
        <v>235</v>
      </c>
    </row>
    <row r="97" spans="1:1" x14ac:dyDescent="0.35">
      <c r="A97" s="80" t="s">
        <v>128</v>
      </c>
    </row>
    <row r="116" spans="1:12" x14ac:dyDescent="0.35">
      <c r="F116" t="s">
        <v>141</v>
      </c>
    </row>
    <row r="119" spans="1:12" x14ac:dyDescent="0.35">
      <c r="A119" s="2" t="s">
        <v>239</v>
      </c>
    </row>
    <row r="120" spans="1:12" ht="16" thickBot="1" x14ac:dyDescent="0.4"/>
    <row r="121" spans="1:12" ht="77.5" x14ac:dyDescent="0.35">
      <c r="A121" s="49" t="s">
        <v>143</v>
      </c>
      <c r="B121" s="50" t="s">
        <v>144</v>
      </c>
      <c r="C121" s="50" t="s">
        <v>9</v>
      </c>
      <c r="D121" s="50" t="s">
        <v>240</v>
      </c>
      <c r="E121" s="50" t="s">
        <v>188</v>
      </c>
      <c r="F121" s="50" t="s">
        <v>189</v>
      </c>
      <c r="G121" s="50" t="s">
        <v>190</v>
      </c>
      <c r="H121" s="50" t="s">
        <v>191</v>
      </c>
      <c r="I121" s="50" t="s">
        <v>192</v>
      </c>
      <c r="J121" s="50" t="s">
        <v>193</v>
      </c>
      <c r="K121" s="50" t="s">
        <v>194</v>
      </c>
      <c r="L121" s="50" t="s">
        <v>195</v>
      </c>
    </row>
    <row r="122" spans="1:12" x14ac:dyDescent="0.35">
      <c r="A122" s="60" t="s">
        <v>145</v>
      </c>
      <c r="B122" s="81">
        <v>1</v>
      </c>
      <c r="C122" s="62">
        <v>9</v>
      </c>
      <c r="D122" s="62">
        <v>8.8993214890685177</v>
      </c>
      <c r="E122" s="62">
        <v>0.10067851093148228</v>
      </c>
      <c r="F122" s="62">
        <v>0.12471852834190875</v>
      </c>
      <c r="G122" s="62">
        <v>0.61490441902999549</v>
      </c>
      <c r="H122" s="62">
        <v>7.6272947830352704</v>
      </c>
      <c r="I122" s="62">
        <v>10.171348195101764</v>
      </c>
      <c r="J122" s="62">
        <v>1.0147675899920792</v>
      </c>
      <c r="K122" s="62">
        <v>6.8001147913460311</v>
      </c>
      <c r="L122" s="62">
        <v>10.998528186791004</v>
      </c>
    </row>
    <row r="123" spans="1:12" x14ac:dyDescent="0.35">
      <c r="A123" s="48" t="s">
        <v>146</v>
      </c>
      <c r="B123" s="54">
        <v>1</v>
      </c>
      <c r="C123" s="57">
        <v>3</v>
      </c>
      <c r="D123" s="57">
        <v>3.6155758311900899</v>
      </c>
      <c r="E123" s="57">
        <v>-0.61557583119008985</v>
      </c>
      <c r="F123" s="57">
        <v>-0.76256304387660578</v>
      </c>
      <c r="G123" s="57">
        <v>0.46205130708983971</v>
      </c>
      <c r="H123" s="57">
        <v>2.659749878429821</v>
      </c>
      <c r="I123" s="57">
        <v>4.5714017839503587</v>
      </c>
      <c r="J123" s="57">
        <v>0.93012753294327633</v>
      </c>
      <c r="K123" s="57">
        <v>1.6914604316178004</v>
      </c>
      <c r="L123" s="57">
        <v>5.5396912307623793</v>
      </c>
    </row>
    <row r="124" spans="1:12" x14ac:dyDescent="0.35">
      <c r="A124" s="48" t="s">
        <v>147</v>
      </c>
      <c r="B124" s="54">
        <v>1</v>
      </c>
      <c r="C124" s="57">
        <v>5</v>
      </c>
      <c r="D124" s="57">
        <v>5.0027593591400246</v>
      </c>
      <c r="E124" s="57">
        <v>-2.7593591400245643E-3</v>
      </c>
      <c r="F124" s="57">
        <v>-3.4182389859229098E-3</v>
      </c>
      <c r="G124" s="57">
        <v>0.3835064206196111</v>
      </c>
      <c r="H124" s="57">
        <v>4.2094158835265114</v>
      </c>
      <c r="I124" s="57">
        <v>5.7961028347535377</v>
      </c>
      <c r="J124" s="57">
        <v>0.89371303661308554</v>
      </c>
      <c r="K124" s="57">
        <v>3.1539730845264105</v>
      </c>
      <c r="L124" s="57">
        <v>6.8515456337536387</v>
      </c>
    </row>
    <row r="125" spans="1:12" x14ac:dyDescent="0.35">
      <c r="A125" s="48" t="s">
        <v>148</v>
      </c>
      <c r="B125" s="54">
        <v>1</v>
      </c>
      <c r="C125" s="57">
        <v>4</v>
      </c>
      <c r="D125" s="57">
        <v>4.7467846555819788</v>
      </c>
      <c r="E125" s="57">
        <v>-0.74678465558197882</v>
      </c>
      <c r="F125" s="57">
        <v>-0.92510191470640102</v>
      </c>
      <c r="G125" s="57">
        <v>0.45730202775742418</v>
      </c>
      <c r="H125" s="57">
        <v>3.80078333565615</v>
      </c>
      <c r="I125" s="57">
        <v>5.6927859755078076</v>
      </c>
      <c r="J125" s="57">
        <v>0.9277774311475615</v>
      </c>
      <c r="K125" s="57">
        <v>2.8275308119743734</v>
      </c>
      <c r="L125" s="57">
        <v>6.6660384991895842</v>
      </c>
    </row>
    <row r="126" spans="1:12" x14ac:dyDescent="0.35">
      <c r="A126" s="48" t="s">
        <v>149</v>
      </c>
      <c r="B126" s="54">
        <v>1</v>
      </c>
      <c r="C126" s="57">
        <v>10</v>
      </c>
      <c r="D126" s="57">
        <v>10.123704612077816</v>
      </c>
      <c r="E126" s="57">
        <v>-0.12370461207781602</v>
      </c>
      <c r="F126" s="57">
        <v>-0.15324280250779407</v>
      </c>
      <c r="G126" s="57">
        <v>0.31522603098475749</v>
      </c>
      <c r="H126" s="57">
        <v>9.4716098841166634</v>
      </c>
      <c r="I126" s="57">
        <v>10.775799340038969</v>
      </c>
      <c r="J126" s="57">
        <v>0.86661021674459826</v>
      </c>
      <c r="K126" s="57">
        <v>8.3309847920457276</v>
      </c>
      <c r="L126" s="57">
        <v>11.916424432109904</v>
      </c>
    </row>
    <row r="127" spans="1:12" x14ac:dyDescent="0.35">
      <c r="A127" s="48" t="s">
        <v>150</v>
      </c>
      <c r="B127" s="54">
        <v>1</v>
      </c>
      <c r="C127" s="57">
        <v>8</v>
      </c>
      <c r="D127" s="57">
        <v>8.3170063406481471</v>
      </c>
      <c r="E127" s="57">
        <v>-0.31700634064814714</v>
      </c>
      <c r="F127" s="57">
        <v>-0.39270112276092067</v>
      </c>
      <c r="G127" s="57">
        <v>0.43819504122390646</v>
      </c>
      <c r="H127" s="57">
        <v>7.4105308338247715</v>
      </c>
      <c r="I127" s="57">
        <v>9.2234818474715237</v>
      </c>
      <c r="J127" s="57">
        <v>0.91851004965048555</v>
      </c>
      <c r="K127" s="57">
        <v>6.4169235363020176</v>
      </c>
      <c r="L127" s="57">
        <v>10.217089144994276</v>
      </c>
    </row>
    <row r="128" spans="1:12" x14ac:dyDescent="0.35">
      <c r="A128" s="48" t="s">
        <v>151</v>
      </c>
      <c r="B128" s="54">
        <v>1</v>
      </c>
      <c r="C128" s="57">
        <v>9</v>
      </c>
      <c r="D128" s="57">
        <v>9.7774835127781738</v>
      </c>
      <c r="E128" s="57">
        <v>-0.77748351277817385</v>
      </c>
      <c r="F128" s="57">
        <v>-0.96313104580761022</v>
      </c>
      <c r="G128" s="57">
        <v>0.36779264566425557</v>
      </c>
      <c r="H128" s="57">
        <v>9.0166464573125911</v>
      </c>
      <c r="I128" s="57">
        <v>10.538320568243757</v>
      </c>
      <c r="J128" s="57">
        <v>0.88708356278336531</v>
      </c>
      <c r="K128" s="57">
        <v>7.9424113496546926</v>
      </c>
      <c r="L128" s="57">
        <v>11.612555675901655</v>
      </c>
    </row>
    <row r="129" spans="1:12" x14ac:dyDescent="0.35">
      <c r="A129" s="48" t="s">
        <v>152</v>
      </c>
      <c r="B129" s="54">
        <v>1</v>
      </c>
      <c r="C129" s="57">
        <v>8</v>
      </c>
      <c r="D129" s="57">
        <v>6.3257444683722541</v>
      </c>
      <c r="E129" s="57">
        <v>1.6742555316277459</v>
      </c>
      <c r="F129" s="57">
        <v>2.0740343102116459</v>
      </c>
      <c r="G129" s="57">
        <v>0.29134206125165979</v>
      </c>
      <c r="H129" s="57">
        <v>5.7230574961636389</v>
      </c>
      <c r="I129" s="57">
        <v>6.9284314405808693</v>
      </c>
      <c r="J129" s="57">
        <v>0.85821093782943714</v>
      </c>
      <c r="K129" s="57">
        <v>4.5503998805890422</v>
      </c>
      <c r="L129" s="57">
        <v>8.101089056155466</v>
      </c>
    </row>
    <row r="130" spans="1:12" x14ac:dyDescent="0.35">
      <c r="A130" s="48" t="s">
        <v>153</v>
      </c>
      <c r="B130" s="54">
        <v>1</v>
      </c>
      <c r="C130" s="57">
        <v>7</v>
      </c>
      <c r="D130" s="57">
        <v>6.542044851021493</v>
      </c>
      <c r="E130" s="57">
        <v>0.45795514897850698</v>
      </c>
      <c r="F130" s="57">
        <v>0.5673056911426656</v>
      </c>
      <c r="G130" s="57">
        <v>0.51147927439562657</v>
      </c>
      <c r="H130" s="57">
        <v>5.4839693575324686</v>
      </c>
      <c r="I130" s="57">
        <v>7.6001203445105174</v>
      </c>
      <c r="J130" s="57">
        <v>0.95564473801303007</v>
      </c>
      <c r="K130" s="57">
        <v>4.5651430909880819</v>
      </c>
      <c r="L130" s="57">
        <v>8.5189466110549041</v>
      </c>
    </row>
    <row r="131" spans="1:12" x14ac:dyDescent="0.35">
      <c r="A131" s="48" t="s">
        <v>154</v>
      </c>
      <c r="B131" s="54">
        <v>1</v>
      </c>
      <c r="C131" s="57">
        <v>10</v>
      </c>
      <c r="D131" s="57">
        <v>10.074244455035011</v>
      </c>
      <c r="E131" s="57">
        <v>-7.4244455035010759E-2</v>
      </c>
      <c r="F131" s="57">
        <v>-9.1972547903646562E-2</v>
      </c>
      <c r="G131" s="57">
        <v>0.29931847412170293</v>
      </c>
      <c r="H131" s="57">
        <v>9.4550570156398894</v>
      </c>
      <c r="I131" s="57">
        <v>10.693431894430132</v>
      </c>
      <c r="J131" s="57">
        <v>0.86095143074755431</v>
      </c>
      <c r="K131" s="57">
        <v>8.2932307257207629</v>
      </c>
      <c r="L131" s="57">
        <v>11.855258184349259</v>
      </c>
    </row>
    <row r="132" spans="1:12" x14ac:dyDescent="0.35">
      <c r="A132" s="48" t="s">
        <v>155</v>
      </c>
      <c r="B132" s="54">
        <v>1</v>
      </c>
      <c r="C132" s="57">
        <v>4</v>
      </c>
      <c r="D132" s="57">
        <v>3.9639029504550609</v>
      </c>
      <c r="E132" s="57">
        <v>3.6097049544939086E-2</v>
      </c>
      <c r="F132" s="57">
        <v>4.4716303956795989E-2</v>
      </c>
      <c r="G132" s="57">
        <v>0.43231664412571469</v>
      </c>
      <c r="H132" s="57">
        <v>3.0695878345252225</v>
      </c>
      <c r="I132" s="57">
        <v>4.8582180663848993</v>
      </c>
      <c r="J132" s="57">
        <v>0.91572020723790737</v>
      </c>
      <c r="K132" s="57">
        <v>2.0695913748472479</v>
      </c>
      <c r="L132" s="57">
        <v>5.8582145260628735</v>
      </c>
    </row>
    <row r="133" spans="1:12" x14ac:dyDescent="0.35">
      <c r="A133" s="48" t="s">
        <v>156</v>
      </c>
      <c r="B133" s="54">
        <v>1</v>
      </c>
      <c r="C133" s="57">
        <v>9</v>
      </c>
      <c r="D133" s="57">
        <v>8.2543712115321632</v>
      </c>
      <c r="E133" s="57">
        <v>0.74562878846783676</v>
      </c>
      <c r="F133" s="57">
        <v>0.92367004961323618</v>
      </c>
      <c r="G133" s="57">
        <v>0.33508146511140041</v>
      </c>
      <c r="H133" s="57">
        <v>7.5612023886591286</v>
      </c>
      <c r="I133" s="57">
        <v>8.947540034405197</v>
      </c>
      <c r="J133" s="57">
        <v>0.87402826351149476</v>
      </c>
      <c r="K133" s="57">
        <v>6.4463059926021753</v>
      </c>
      <c r="L133" s="57">
        <v>10.062436430462151</v>
      </c>
    </row>
    <row r="134" spans="1:12" x14ac:dyDescent="0.35">
      <c r="A134" s="48" t="s">
        <v>157</v>
      </c>
      <c r="B134" s="54">
        <v>1</v>
      </c>
      <c r="C134" s="57">
        <v>7</v>
      </c>
      <c r="D134" s="57">
        <v>7.0897999910918372</v>
      </c>
      <c r="E134" s="57">
        <v>-8.9799991091837228E-2</v>
      </c>
      <c r="F134" s="57">
        <v>-0.11124243525723709</v>
      </c>
      <c r="G134" s="57">
        <v>0.34057362254806428</v>
      </c>
      <c r="H134" s="57">
        <v>6.3852697749404843</v>
      </c>
      <c r="I134" s="57">
        <v>7.7943302072431901</v>
      </c>
      <c r="J134" s="57">
        <v>0.87614850883353534</v>
      </c>
      <c r="K134" s="57">
        <v>5.2773487105407089</v>
      </c>
      <c r="L134" s="57">
        <v>8.9022512716429656</v>
      </c>
    </row>
    <row r="135" spans="1:12" x14ac:dyDescent="0.35">
      <c r="A135" s="48" t="s">
        <v>158</v>
      </c>
      <c r="B135" s="54">
        <v>1</v>
      </c>
      <c r="C135" s="57">
        <v>8</v>
      </c>
      <c r="D135" s="57">
        <v>8.3633249432812615</v>
      </c>
      <c r="E135" s="57">
        <v>-0.36332494328126153</v>
      </c>
      <c r="F135" s="57">
        <v>-0.45007968251323099</v>
      </c>
      <c r="G135" s="57">
        <v>0.29894471323947364</v>
      </c>
      <c r="H135" s="57">
        <v>7.7449106871795959</v>
      </c>
      <c r="I135" s="57">
        <v>8.9817391993829272</v>
      </c>
      <c r="J135" s="57">
        <v>0.86082156033033197</v>
      </c>
      <c r="K135" s="57">
        <v>6.5825798713939543</v>
      </c>
      <c r="L135" s="57">
        <v>10.14407001516857</v>
      </c>
    </row>
    <row r="136" spans="1:12" x14ac:dyDescent="0.35">
      <c r="A136" s="48" t="s">
        <v>159</v>
      </c>
      <c r="B136" s="54">
        <v>1</v>
      </c>
      <c r="C136" s="57">
        <v>6</v>
      </c>
      <c r="D136" s="57">
        <v>6.1175907544324062</v>
      </c>
      <c r="E136" s="57">
        <v>-0.11759075443240619</v>
      </c>
      <c r="F136" s="57">
        <v>-0.14566907777773347</v>
      </c>
      <c r="G136" s="57">
        <v>0.42344185091222353</v>
      </c>
      <c r="H136" s="57">
        <v>5.2416345470234917</v>
      </c>
      <c r="I136" s="57">
        <v>6.9935469618413206</v>
      </c>
      <c r="J136" s="57">
        <v>0.91156394085093451</v>
      </c>
      <c r="K136" s="57">
        <v>4.2318770709164371</v>
      </c>
      <c r="L136" s="57">
        <v>8.0033044379483762</v>
      </c>
    </row>
    <row r="137" spans="1:12" x14ac:dyDescent="0.35">
      <c r="A137" s="48" t="s">
        <v>160</v>
      </c>
      <c r="B137" s="54">
        <v>1</v>
      </c>
      <c r="C137" s="57">
        <v>5</v>
      </c>
      <c r="D137" s="57">
        <v>4.6384585980789099</v>
      </c>
      <c r="E137" s="57">
        <v>0.36154140192109008</v>
      </c>
      <c r="F137" s="57">
        <v>0.44787026710154604</v>
      </c>
      <c r="G137" s="57">
        <v>0.42396651180694078</v>
      </c>
      <c r="H137" s="57">
        <v>3.7614170469173116</v>
      </c>
      <c r="I137" s="57">
        <v>5.5155001492405082</v>
      </c>
      <c r="J137" s="57">
        <v>0.91180777595360585</v>
      </c>
      <c r="K137" s="57">
        <v>2.7522405032221413</v>
      </c>
      <c r="L137" s="57">
        <v>6.5246766929356781</v>
      </c>
    </row>
    <row r="138" spans="1:12" x14ac:dyDescent="0.35">
      <c r="A138" s="48" t="s">
        <v>161</v>
      </c>
      <c r="B138" s="54">
        <v>1</v>
      </c>
      <c r="C138" s="57">
        <v>6</v>
      </c>
      <c r="D138" s="57">
        <v>7.0601059509059194</v>
      </c>
      <c r="E138" s="57">
        <v>-1.0601059509059194</v>
      </c>
      <c r="F138" s="57">
        <v>-1.3132380769265262</v>
      </c>
      <c r="G138" s="57">
        <v>0.40020821056353323</v>
      </c>
      <c r="H138" s="57">
        <v>6.2322121904192862</v>
      </c>
      <c r="I138" s="57">
        <v>7.8879997113925526</v>
      </c>
      <c r="J138" s="57">
        <v>0.90100634235180699</v>
      </c>
      <c r="K138" s="57">
        <v>5.1962323238716577</v>
      </c>
      <c r="L138" s="57">
        <v>8.9239795779401803</v>
      </c>
    </row>
    <row r="139" spans="1:12" x14ac:dyDescent="0.35">
      <c r="A139" s="48" t="s">
        <v>162</v>
      </c>
      <c r="B139" s="54">
        <v>1</v>
      </c>
      <c r="C139" s="57">
        <v>8</v>
      </c>
      <c r="D139" s="57">
        <v>8.2845465196752173</v>
      </c>
      <c r="E139" s="57">
        <v>-0.28454651967521727</v>
      </c>
      <c r="F139" s="57">
        <v>-0.35249054490741255</v>
      </c>
      <c r="G139" s="57">
        <v>0.37310607171274662</v>
      </c>
      <c r="H139" s="57">
        <v>7.51271780497766</v>
      </c>
      <c r="I139" s="57">
        <v>9.0563752343727746</v>
      </c>
      <c r="J139" s="57">
        <v>0.88929970083466992</v>
      </c>
      <c r="K139" s="57">
        <v>6.4448899257064305</v>
      </c>
      <c r="L139" s="57">
        <v>10.124203113644004</v>
      </c>
    </row>
    <row r="140" spans="1:12" x14ac:dyDescent="0.35">
      <c r="A140" s="48" t="s">
        <v>163</v>
      </c>
      <c r="B140" s="54">
        <v>1</v>
      </c>
      <c r="C140" s="57">
        <v>7</v>
      </c>
      <c r="D140" s="57">
        <v>7.3767141945980388</v>
      </c>
      <c r="E140" s="57">
        <v>-0.37671419459803879</v>
      </c>
      <c r="F140" s="57">
        <v>-0.4666660196012406</v>
      </c>
      <c r="G140" s="57">
        <v>0.40391452018906898</v>
      </c>
      <c r="H140" s="57">
        <v>6.5411533484984146</v>
      </c>
      <c r="I140" s="57">
        <v>8.2122750406976621</v>
      </c>
      <c r="J140" s="57">
        <v>0.90265871555936472</v>
      </c>
      <c r="K140" s="57">
        <v>5.5094223731529075</v>
      </c>
      <c r="L140" s="57">
        <v>9.2440060160431692</v>
      </c>
    </row>
    <row r="141" spans="1:12" x14ac:dyDescent="0.35">
      <c r="A141" s="48" t="s">
        <v>164</v>
      </c>
      <c r="B141" s="54">
        <v>1</v>
      </c>
      <c r="C141" s="57">
        <v>8</v>
      </c>
      <c r="D141" s="57">
        <v>6.6186453832113337</v>
      </c>
      <c r="E141" s="57">
        <v>1.3813546167886663</v>
      </c>
      <c r="F141" s="57">
        <v>1.711194507449866</v>
      </c>
      <c r="G141" s="57">
        <v>0.35759414531239442</v>
      </c>
      <c r="H141" s="57">
        <v>5.8789055331122722</v>
      </c>
      <c r="I141" s="57">
        <v>7.3583852333103952</v>
      </c>
      <c r="J141" s="57">
        <v>0.88290395282693013</v>
      </c>
      <c r="K141" s="57">
        <v>4.7922194020323161</v>
      </c>
      <c r="L141" s="57">
        <v>8.4450713643903512</v>
      </c>
    </row>
    <row r="142" spans="1:12" x14ac:dyDescent="0.35">
      <c r="A142" s="48" t="s">
        <v>165</v>
      </c>
      <c r="B142" s="54">
        <v>1</v>
      </c>
      <c r="C142" s="57">
        <v>7</v>
      </c>
      <c r="D142" s="57">
        <v>6.3391799258584971</v>
      </c>
      <c r="E142" s="57">
        <v>0.6608200741415029</v>
      </c>
      <c r="F142" s="57">
        <v>0.81861070831499094</v>
      </c>
      <c r="G142" s="57">
        <v>0.48413495129415335</v>
      </c>
      <c r="H142" s="57">
        <v>5.3376704744518264</v>
      </c>
      <c r="I142" s="57">
        <v>7.3406893772651678</v>
      </c>
      <c r="J142" s="57">
        <v>0.94129297682512669</v>
      </c>
      <c r="K142" s="57">
        <v>4.391967045827645</v>
      </c>
      <c r="L142" s="57">
        <v>8.2863928058893492</v>
      </c>
    </row>
    <row r="143" spans="1:12" x14ac:dyDescent="0.35">
      <c r="A143" s="48" t="s">
        <v>166</v>
      </c>
      <c r="B143" s="54">
        <v>1</v>
      </c>
      <c r="C143" s="57">
        <v>4</v>
      </c>
      <c r="D143" s="57">
        <v>4.0614637652212044</v>
      </c>
      <c r="E143" s="57">
        <v>-6.1463765221204447E-2</v>
      </c>
      <c r="F143" s="57">
        <v>-7.6140084649823206E-2</v>
      </c>
      <c r="G143" s="57">
        <v>0.40563571830531125</v>
      </c>
      <c r="H143" s="57">
        <v>3.2223423495395824</v>
      </c>
      <c r="I143" s="57">
        <v>4.9005851809028265</v>
      </c>
      <c r="J143" s="57">
        <v>0.90343021485933384</v>
      </c>
      <c r="K143" s="57">
        <v>2.1925759758778511</v>
      </c>
      <c r="L143" s="57">
        <v>5.9303515545645578</v>
      </c>
    </row>
    <row r="144" spans="1:12" x14ac:dyDescent="0.35">
      <c r="A144" s="48" t="s">
        <v>167</v>
      </c>
      <c r="B144" s="54">
        <v>1</v>
      </c>
      <c r="C144" s="57">
        <v>3</v>
      </c>
      <c r="D144" s="57">
        <v>3.8301002937847288</v>
      </c>
      <c r="E144" s="57">
        <v>-0.83010029378472883</v>
      </c>
      <c r="F144" s="57">
        <v>-1.0283116631261566</v>
      </c>
      <c r="G144" s="57">
        <v>0.46591722929997542</v>
      </c>
      <c r="H144" s="57">
        <v>2.8662770716236365</v>
      </c>
      <c r="I144" s="57">
        <v>4.7939235159458216</v>
      </c>
      <c r="J144" s="57">
        <v>0.93205401223012929</v>
      </c>
      <c r="K144" s="57">
        <v>1.9019996681746065</v>
      </c>
      <c r="L144" s="57">
        <v>5.7582009193948513</v>
      </c>
    </row>
    <row r="145" spans="1:12" x14ac:dyDescent="0.35">
      <c r="A145" s="48" t="s">
        <v>168</v>
      </c>
      <c r="B145" s="54">
        <v>1</v>
      </c>
      <c r="C145" s="57">
        <v>9</v>
      </c>
      <c r="D145" s="57">
        <v>7.2487128190001178</v>
      </c>
      <c r="E145" s="57">
        <v>1.7512871809998822</v>
      </c>
      <c r="F145" s="57">
        <v>2.1694595787873907</v>
      </c>
      <c r="G145" s="57">
        <v>0.33649583253175991</v>
      </c>
      <c r="H145" s="57">
        <v>6.5526181541991972</v>
      </c>
      <c r="I145" s="57">
        <v>7.9448074838010383</v>
      </c>
      <c r="J145" s="57">
        <v>0.87457147361834209</v>
      </c>
      <c r="K145" s="57">
        <v>5.4395238843486089</v>
      </c>
      <c r="L145" s="57">
        <v>9.0579017536516275</v>
      </c>
    </row>
    <row r="146" spans="1:12" x14ac:dyDescent="0.35">
      <c r="A146" s="48" t="s">
        <v>169</v>
      </c>
      <c r="B146" s="54">
        <v>1</v>
      </c>
      <c r="C146" s="57">
        <v>8</v>
      </c>
      <c r="D146" s="57">
        <v>8.3519891078442736</v>
      </c>
      <c r="E146" s="57">
        <v>-0.35198910784427362</v>
      </c>
      <c r="F146" s="57">
        <v>-0.43603707600120822</v>
      </c>
      <c r="G146" s="57">
        <v>0.51598023875587662</v>
      </c>
      <c r="H146" s="57">
        <v>7.2846026601777307</v>
      </c>
      <c r="I146" s="57">
        <v>9.4193755555108165</v>
      </c>
      <c r="J146" s="57">
        <v>0.95806128402221102</v>
      </c>
      <c r="K146" s="57">
        <v>6.3700883415183318</v>
      </c>
      <c r="L146" s="57">
        <v>10.333889874170216</v>
      </c>
    </row>
    <row r="147" spans="1:12" x14ac:dyDescent="0.35">
      <c r="A147" s="48" t="s">
        <v>170</v>
      </c>
      <c r="B147" s="54">
        <v>1</v>
      </c>
      <c r="C147" s="57">
        <v>5</v>
      </c>
      <c r="D147" s="57">
        <v>4.2949805386839914</v>
      </c>
      <c r="E147" s="57">
        <v>0.70501946131600857</v>
      </c>
      <c r="F147" s="57">
        <v>0.87336402628738485</v>
      </c>
      <c r="G147" s="57">
        <v>0.5834384756306914</v>
      </c>
      <c r="H147" s="57">
        <v>3.0880460959289708</v>
      </c>
      <c r="I147" s="57">
        <v>5.501914981439012</v>
      </c>
      <c r="J147" s="57">
        <v>0.99601519667220995</v>
      </c>
      <c r="K147" s="57">
        <v>2.2345661221139834</v>
      </c>
      <c r="L147" s="57">
        <v>6.355394955253999</v>
      </c>
    </row>
    <row r="148" spans="1:12" x14ac:dyDescent="0.35">
      <c r="A148" s="48" t="s">
        <v>171</v>
      </c>
      <c r="B148" s="54">
        <v>1</v>
      </c>
      <c r="C148" s="57">
        <v>6</v>
      </c>
      <c r="D148" s="57">
        <v>5.8377043644496931</v>
      </c>
      <c r="E148" s="57">
        <v>0.1622956355503069</v>
      </c>
      <c r="F148" s="57">
        <v>0.20104859155023097</v>
      </c>
      <c r="G148" s="57">
        <v>0.53241433586079812</v>
      </c>
      <c r="H148" s="57">
        <v>4.7363213967386519</v>
      </c>
      <c r="I148" s="57">
        <v>6.9390873321607343</v>
      </c>
      <c r="J148" s="57">
        <v>0.96701129372195593</v>
      </c>
      <c r="K148" s="57">
        <v>3.8372890924461185</v>
      </c>
      <c r="L148" s="57">
        <v>7.8381196364532677</v>
      </c>
    </row>
    <row r="149" spans="1:12" x14ac:dyDescent="0.35">
      <c r="A149" s="48" t="s">
        <v>172</v>
      </c>
      <c r="B149" s="54">
        <v>1</v>
      </c>
      <c r="C149" s="57">
        <v>10</v>
      </c>
      <c r="D149" s="57">
        <v>10.098974533556412</v>
      </c>
      <c r="E149" s="57">
        <v>-9.8974533556411615E-2</v>
      </c>
      <c r="F149" s="57">
        <v>-0.12260767520571811</v>
      </c>
      <c r="G149" s="57">
        <v>0.30636327518224937</v>
      </c>
      <c r="H149" s="57">
        <v>9.4652138128343442</v>
      </c>
      <c r="I149" s="57">
        <v>10.732735254278479</v>
      </c>
      <c r="J149" s="57">
        <v>0.86342589348253329</v>
      </c>
      <c r="K149" s="57">
        <v>8.3128419880740481</v>
      </c>
      <c r="L149" s="57">
        <v>11.885107079038775</v>
      </c>
    </row>
    <row r="150" spans="1:12" x14ac:dyDescent="0.35">
      <c r="A150" s="48" t="s">
        <v>173</v>
      </c>
      <c r="B150" s="54">
        <v>1</v>
      </c>
      <c r="C150" s="57">
        <v>9</v>
      </c>
      <c r="D150" s="57">
        <v>9.0588024167992156</v>
      </c>
      <c r="E150" s="57">
        <v>-5.8802416799215607E-2</v>
      </c>
      <c r="F150" s="57">
        <v>-7.2843259383690698E-2</v>
      </c>
      <c r="G150" s="57">
        <v>0.45227652539551921</v>
      </c>
      <c r="H150" s="57">
        <v>8.1231971405799204</v>
      </c>
      <c r="I150" s="57">
        <v>9.9944076930185108</v>
      </c>
      <c r="J150" s="57">
        <v>0.92531068975753217</v>
      </c>
      <c r="K150" s="57">
        <v>7.1446514165407358</v>
      </c>
      <c r="L150" s="57">
        <v>10.972953417057695</v>
      </c>
    </row>
    <row r="151" spans="1:12" x14ac:dyDescent="0.35">
      <c r="A151" s="48" t="s">
        <v>174</v>
      </c>
      <c r="B151" s="54">
        <v>1</v>
      </c>
      <c r="C151" s="57">
        <v>3</v>
      </c>
      <c r="D151" s="57">
        <v>4.015328402418306</v>
      </c>
      <c r="E151" s="57">
        <v>-1.015328402418306</v>
      </c>
      <c r="F151" s="57">
        <v>-1.257768544267921</v>
      </c>
      <c r="G151" s="57">
        <v>0.43766861117238387</v>
      </c>
      <c r="H151" s="57">
        <v>3.1099418991273029</v>
      </c>
      <c r="I151" s="57">
        <v>4.9207149057093096</v>
      </c>
      <c r="J151" s="57">
        <v>0.91825902138845317</v>
      </c>
      <c r="K151" s="57">
        <v>2.1157648895968304</v>
      </c>
      <c r="L151" s="57">
        <v>5.9148919152397816</v>
      </c>
    </row>
    <row r="152" spans="1:12" x14ac:dyDescent="0.35">
      <c r="A152" s="48" t="s">
        <v>175</v>
      </c>
      <c r="B152" s="54">
        <v>1</v>
      </c>
      <c r="C152" s="57">
        <v>6</v>
      </c>
      <c r="D152" s="57">
        <v>6.1198138666224526</v>
      </c>
      <c r="E152" s="57">
        <v>-0.11981386662245264</v>
      </c>
      <c r="F152" s="57">
        <v>-0.14842302475327274</v>
      </c>
      <c r="G152" s="57">
        <v>0.59398224032731195</v>
      </c>
      <c r="H152" s="57">
        <v>4.8910679847865595</v>
      </c>
      <c r="I152" s="57">
        <v>7.3485597484583458</v>
      </c>
      <c r="J152" s="57">
        <v>1.0022278777703046</v>
      </c>
      <c r="K152" s="57">
        <v>4.0465475400185067</v>
      </c>
      <c r="L152" s="57">
        <v>8.1930801932263986</v>
      </c>
    </row>
    <row r="153" spans="1:12" ht="16" thickBot="1" x14ac:dyDescent="0.4">
      <c r="A153" s="52" t="s">
        <v>176</v>
      </c>
      <c r="B153" s="55">
        <v>1</v>
      </c>
      <c r="C153" s="58">
        <v>8</v>
      </c>
      <c r="D153" s="58">
        <v>8.5508198935854747</v>
      </c>
      <c r="E153" s="58">
        <v>-0.55081989358547467</v>
      </c>
      <c r="F153" s="58">
        <v>-0.68234468183761565</v>
      </c>
      <c r="G153" s="58">
        <v>0.37171969137089877</v>
      </c>
      <c r="H153" s="58">
        <v>7.7818591251328506</v>
      </c>
      <c r="I153" s="58">
        <v>9.3197806620380987</v>
      </c>
      <c r="J153" s="58">
        <v>0.88871893538316848</v>
      </c>
      <c r="K153" s="58">
        <v>6.7123647044877348</v>
      </c>
      <c r="L153" s="58">
        <v>10.389275082683215</v>
      </c>
    </row>
    <row r="172" spans="6:6" x14ac:dyDescent="0.35">
      <c r="F172" t="s">
        <v>141</v>
      </c>
    </row>
    <row r="191" spans="6:6" x14ac:dyDescent="0.35">
      <c r="F191" t="s">
        <v>141</v>
      </c>
    </row>
    <row r="194" spans="1:9" x14ac:dyDescent="0.35">
      <c r="A194" s="6" t="s">
        <v>196</v>
      </c>
    </row>
    <row r="196" spans="1:9" x14ac:dyDescent="0.35">
      <c r="A196" s="2" t="s">
        <v>241</v>
      </c>
    </row>
    <row r="197" spans="1:9" ht="16" thickBot="1" x14ac:dyDescent="0.4"/>
    <row r="198" spans="1:9" x14ac:dyDescent="0.35">
      <c r="A198" s="69" t="s">
        <v>198</v>
      </c>
      <c r="B198" s="82">
        <v>0.91671461417708155</v>
      </c>
      <c r="C198" s="83"/>
    </row>
    <row r="199" spans="1:9" x14ac:dyDescent="0.35">
      <c r="A199" s="48" t="s">
        <v>199</v>
      </c>
      <c r="B199" s="75">
        <v>1.6950445062445474E-2</v>
      </c>
      <c r="C199" s="84" t="s">
        <v>220</v>
      </c>
    </row>
    <row r="200" spans="1:9" ht="16" thickBot="1" x14ac:dyDescent="0.4">
      <c r="A200" s="52" t="s">
        <v>200</v>
      </c>
      <c r="B200" s="55">
        <v>0.05</v>
      </c>
      <c r="C200" s="85"/>
    </row>
    <row r="201" spans="1:9" x14ac:dyDescent="0.35">
      <c r="A201" s="80" t="s">
        <v>201</v>
      </c>
    </row>
    <row r="203" spans="1:9" x14ac:dyDescent="0.35">
      <c r="A203" s="2" t="s">
        <v>202</v>
      </c>
    </row>
    <row r="204" spans="1:9" x14ac:dyDescent="0.35">
      <c r="A204" s="2" t="s">
        <v>203</v>
      </c>
    </row>
    <row r="205" spans="1:9" x14ac:dyDescent="0.35">
      <c r="A205" s="2" t="s">
        <v>204</v>
      </c>
    </row>
    <row r="206" spans="1:9" ht="15.65" customHeight="1" x14ac:dyDescent="0.35">
      <c r="A206" s="102" t="s">
        <v>205</v>
      </c>
      <c r="B206" s="102"/>
      <c r="C206" s="102"/>
      <c r="D206" s="102"/>
      <c r="E206" s="102"/>
      <c r="F206" s="102"/>
      <c r="G206" s="102"/>
      <c r="H206" s="102"/>
      <c r="I206" s="102"/>
    </row>
    <row r="207" spans="1:9" x14ac:dyDescent="0.35">
      <c r="A207" s="102"/>
      <c r="B207" s="102"/>
      <c r="C207" s="102"/>
      <c r="D207" s="102"/>
      <c r="E207" s="102"/>
      <c r="F207" s="102"/>
      <c r="G207" s="102"/>
      <c r="H207" s="102"/>
      <c r="I207" s="102"/>
    </row>
    <row r="210" spans="1:8" x14ac:dyDescent="0.35">
      <c r="A210" s="2" t="s">
        <v>242</v>
      </c>
    </row>
    <row r="212" spans="1:8" x14ac:dyDescent="0.35">
      <c r="A212" s="103" t="s">
        <v>243</v>
      </c>
      <c r="B212" s="104"/>
      <c r="C212" s="104"/>
      <c r="D212" s="104"/>
      <c r="E212" s="104"/>
      <c r="F212" s="104"/>
      <c r="G212" s="104"/>
      <c r="H212" s="104"/>
    </row>
    <row r="213" spans="1:8" x14ac:dyDescent="0.35">
      <c r="A213" s="104"/>
      <c r="B213" s="104"/>
      <c r="C213" s="104"/>
      <c r="D213" s="104"/>
      <c r="E213" s="104"/>
      <c r="F213" s="104"/>
      <c r="G213" s="104"/>
      <c r="H213" s="104"/>
    </row>
    <row r="215" spans="1:8" x14ac:dyDescent="0.35">
      <c r="A215" s="103" t="s">
        <v>208</v>
      </c>
      <c r="B215" s="104"/>
      <c r="C215" s="104"/>
      <c r="D215" s="104"/>
      <c r="E215" s="104"/>
      <c r="F215" s="104"/>
      <c r="G215" s="104"/>
      <c r="H215" s="104"/>
    </row>
    <row r="216" spans="1:8" x14ac:dyDescent="0.35">
      <c r="A216" s="104"/>
      <c r="B216" s="104"/>
      <c r="C216" s="104"/>
      <c r="D216" s="104"/>
      <c r="E216" s="104"/>
      <c r="F216" s="104"/>
      <c r="G216" s="104"/>
      <c r="H216" s="104"/>
    </row>
    <row r="217" spans="1:8" x14ac:dyDescent="0.35">
      <c r="A217" s="104"/>
      <c r="B217" s="104"/>
      <c r="C217" s="104"/>
      <c r="D217" s="104"/>
      <c r="E217" s="104"/>
      <c r="F217" s="104"/>
      <c r="G217" s="104"/>
      <c r="H217" s="104"/>
    </row>
    <row r="996" spans="648:648" x14ac:dyDescent="0.35">
      <c r="XX996" s="47">
        <v>166765</v>
      </c>
    </row>
  </sheetData>
  <mergeCells count="3">
    <mergeCell ref="A206:I207"/>
    <mergeCell ref="A212:H213"/>
    <mergeCell ref="A215:H21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D761674">
              <controlPr defaultSize="0" autoFill="0" autoPict="0" macro="[0]!GoToResultsNew211120250737208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5</xdr:col>
                    <xdr:colOff>12700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C7BE-42B1-43DF-AB61-C31B2F1EEEB6}">
  <sheetPr codeName="Sheet2_HID">
    <tabColor rgb="FF007800"/>
  </sheetPr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3.35525067995458+(A1-1)*0.127437606587519</f>
        <v>3.35525067995458</v>
      </c>
      <c r="D1">
        <f t="shared" ref="D1:D32" si="1">0+1*C1-1.66991521308753*(1.03125+(C1-6.84375)^2/129.230896205419)^0.5</f>
        <v>1.5837078077846614</v>
      </c>
      <c r="E1">
        <v>1</v>
      </c>
      <c r="G1">
        <f t="shared" ref="G1:G32" si="2">2.89246066495207+(E1-1)*0.134144708254222</f>
        <v>2.8924606649520701</v>
      </c>
      <c r="H1">
        <f t="shared" ref="H1:H32" si="3">0+1*G1+1.66991521308753*(1.03125+(G1-6.84375)^2/129.230896205419)^0.5</f>
        <v>4.6848502507303573</v>
      </c>
    </row>
    <row r="2" spans="1:8" x14ac:dyDescent="0.35">
      <c r="A2">
        <v>2</v>
      </c>
      <c r="C2">
        <f t="shared" si="0"/>
        <v>3.4826882865420989</v>
      </c>
      <c r="D2">
        <f t="shared" si="1"/>
        <v>1.71646961332299</v>
      </c>
      <c r="E2">
        <v>2</v>
      </c>
      <c r="G2">
        <f t="shared" si="2"/>
        <v>3.0266053732062921</v>
      </c>
      <c r="H2">
        <f t="shared" si="3"/>
        <v>4.8127110619289208</v>
      </c>
    </row>
    <row r="3" spans="1:8" x14ac:dyDescent="0.35">
      <c r="A3">
        <v>3</v>
      </c>
      <c r="C3">
        <f t="shared" si="0"/>
        <v>3.6101258931296178</v>
      </c>
      <c r="D3">
        <f t="shared" si="1"/>
        <v>1.8490485121440019</v>
      </c>
      <c r="E3">
        <v>3</v>
      </c>
      <c r="G3">
        <f t="shared" si="2"/>
        <v>3.1607500814605141</v>
      </c>
      <c r="H3">
        <f t="shared" si="3"/>
        <v>4.9407678452139212</v>
      </c>
    </row>
    <row r="4" spans="1:8" x14ac:dyDescent="0.35">
      <c r="A4">
        <v>4</v>
      </c>
      <c r="C4">
        <f t="shared" si="0"/>
        <v>3.7375634997171368</v>
      </c>
      <c r="D4">
        <f t="shared" si="1"/>
        <v>1.981442897790862</v>
      </c>
      <c r="E4">
        <v>4</v>
      </c>
      <c r="G4">
        <f t="shared" si="2"/>
        <v>3.294894789714736</v>
      </c>
      <c r="H4">
        <f t="shared" si="3"/>
        <v>5.0690226180229159</v>
      </c>
    </row>
    <row r="5" spans="1:8" x14ac:dyDescent="0.35">
      <c r="A5">
        <v>5</v>
      </c>
      <c r="C5">
        <f t="shared" si="0"/>
        <v>3.8650011063046561</v>
      </c>
      <c r="D5">
        <f t="shared" si="1"/>
        <v>2.113651203601</v>
      </c>
      <c r="E5">
        <v>5</v>
      </c>
      <c r="G5">
        <f t="shared" si="2"/>
        <v>3.429039497968958</v>
      </c>
      <c r="H5">
        <f t="shared" si="3"/>
        <v>5.1974773586207776</v>
      </c>
    </row>
    <row r="6" spans="1:8" x14ac:dyDescent="0.35">
      <c r="A6">
        <v>6</v>
      </c>
      <c r="C6">
        <f t="shared" si="0"/>
        <v>3.992438712892175</v>
      </c>
      <c r="D6">
        <f t="shared" si="1"/>
        <v>2.2456719049324603</v>
      </c>
      <c r="E6">
        <v>6</v>
      </c>
      <c r="G6">
        <f t="shared" si="2"/>
        <v>3.56318420622318</v>
      </c>
      <c r="H6">
        <f t="shared" si="3"/>
        <v>5.3261340032127427</v>
      </c>
    </row>
    <row r="7" spans="1:8" x14ac:dyDescent="0.35">
      <c r="A7">
        <v>7</v>
      </c>
      <c r="C7">
        <f t="shared" si="0"/>
        <v>4.1198763194796939</v>
      </c>
      <c r="D7">
        <f t="shared" si="1"/>
        <v>2.3775035213739342</v>
      </c>
      <c r="E7">
        <v>7</v>
      </c>
      <c r="G7">
        <f t="shared" si="2"/>
        <v>3.697328914477402</v>
      </c>
      <c r="H7">
        <f t="shared" si="3"/>
        <v>5.4549944430503921</v>
      </c>
    </row>
    <row r="8" spans="1:8" x14ac:dyDescent="0.35">
      <c r="A8">
        <v>8</v>
      </c>
      <c r="C8">
        <f t="shared" si="0"/>
        <v>4.2473139260672133</v>
      </c>
      <c r="D8">
        <f t="shared" si="1"/>
        <v>2.5091446189318356</v>
      </c>
      <c r="E8">
        <v>8</v>
      </c>
      <c r="G8">
        <f t="shared" si="2"/>
        <v>3.8314736227316244</v>
      </c>
      <c r="H8">
        <f t="shared" si="3"/>
        <v>5.58406052153906</v>
      </c>
    </row>
    <row r="9" spans="1:8" x14ac:dyDescent="0.35">
      <c r="A9">
        <v>9</v>
      </c>
      <c r="C9">
        <f t="shared" si="0"/>
        <v>4.3747515326547317</v>
      </c>
      <c r="D9">
        <f t="shared" si="1"/>
        <v>2.6405938121876682</v>
      </c>
      <c r="E9">
        <v>9</v>
      </c>
      <c r="G9">
        <f t="shared" si="2"/>
        <v>3.9656183309858459</v>
      </c>
      <c r="H9">
        <f t="shared" si="3"/>
        <v>5.7133340313555125</v>
      </c>
    </row>
    <row r="10" spans="1:8" x14ac:dyDescent="0.35">
      <c r="A10">
        <v>10</v>
      </c>
      <c r="C10">
        <f t="shared" si="0"/>
        <v>4.5021891392422511</v>
      </c>
      <c r="D10">
        <f t="shared" si="1"/>
        <v>2.7718497664188089</v>
      </c>
      <c r="E10">
        <v>10</v>
      </c>
      <c r="G10">
        <f t="shared" si="2"/>
        <v>4.0997630392400684</v>
      </c>
      <c r="H10">
        <f t="shared" si="3"/>
        <v>5.8428167115850345</v>
      </c>
    </row>
    <row r="11" spans="1:8" x14ac:dyDescent="0.35">
      <c r="A11">
        <v>11</v>
      </c>
      <c r="C11">
        <f t="shared" si="0"/>
        <v>4.6296267458297695</v>
      </c>
      <c r="D11">
        <f t="shared" si="1"/>
        <v>2.9029111996757466</v>
      </c>
      <c r="E11">
        <v>11</v>
      </c>
      <c r="G11">
        <f t="shared" si="2"/>
        <v>4.2339077474942899</v>
      </c>
      <c r="H11">
        <f t="shared" si="3"/>
        <v>5.9725102448873484</v>
      </c>
    </row>
    <row r="12" spans="1:8" x14ac:dyDescent="0.35">
      <c r="A12">
        <v>12</v>
      </c>
      <c r="C12">
        <f t="shared" si="0"/>
        <v>4.7570643524172889</v>
      </c>
      <c r="D12">
        <f t="shared" si="1"/>
        <v>3.0337768848088205</v>
      </c>
      <c r="E12">
        <v>12</v>
      </c>
      <c r="G12">
        <f t="shared" si="2"/>
        <v>4.3680524557485123</v>
      </c>
      <c r="H12">
        <f t="shared" si="3"/>
        <v>6.1024162547010157</v>
      </c>
    </row>
    <row r="13" spans="1:8" x14ac:dyDescent="0.35">
      <c r="A13">
        <v>13</v>
      </c>
      <c r="C13">
        <f t="shared" si="0"/>
        <v>4.8845019590048082</v>
      </c>
      <c r="D13">
        <f t="shared" si="1"/>
        <v>3.1644456514374397</v>
      </c>
      <c r="E13">
        <v>13</v>
      </c>
      <c r="G13">
        <f t="shared" si="2"/>
        <v>4.5021971640027338</v>
      </c>
      <c r="H13">
        <f t="shared" si="3"/>
        <v>6.2325363024961122</v>
      </c>
    </row>
    <row r="14" spans="1:8" x14ac:dyDescent="0.35">
      <c r="A14">
        <v>14</v>
      </c>
      <c r="C14">
        <f t="shared" si="0"/>
        <v>5.0119395655923267</v>
      </c>
      <c r="D14">
        <f t="shared" si="1"/>
        <v>3.2949163878548715</v>
      </c>
      <c r="E14">
        <v>14</v>
      </c>
      <c r="G14">
        <f t="shared" si="2"/>
        <v>4.6363418722569563</v>
      </c>
      <c r="H14">
        <f t="shared" si="3"/>
        <v>6.3628718850851511</v>
      </c>
    </row>
    <row r="15" spans="1:8" x14ac:dyDescent="0.35">
      <c r="A15">
        <v>15</v>
      </c>
      <c r="C15">
        <f t="shared" si="0"/>
        <v>5.139377172179846</v>
      </c>
      <c r="D15">
        <f t="shared" si="1"/>
        <v>3.4251880428617212</v>
      </c>
      <c r="E15">
        <v>15</v>
      </c>
      <c r="G15">
        <f t="shared" si="2"/>
        <v>4.7704865805111787</v>
      </c>
      <c r="H15">
        <f t="shared" si="3"/>
        <v>6.4934244320022056</v>
      </c>
    </row>
    <row r="16" spans="1:8" x14ac:dyDescent="0.35">
      <c r="A16">
        <v>16</v>
      </c>
      <c r="C16">
        <f t="shared" si="0"/>
        <v>5.2668147787673654</v>
      </c>
      <c r="D16">
        <f t="shared" si="1"/>
        <v>3.5552596275213735</v>
      </c>
      <c r="E16">
        <v>16</v>
      </c>
      <c r="G16">
        <f t="shared" si="2"/>
        <v>4.9046312887654002</v>
      </c>
      <c r="H16">
        <f t="shared" si="3"/>
        <v>6.6241953029602705</v>
      </c>
    </row>
    <row r="17" spans="1:8" x14ac:dyDescent="0.35">
      <c r="A17">
        <v>17</v>
      </c>
      <c r="C17">
        <f t="shared" si="0"/>
        <v>5.3942523853548838</v>
      </c>
      <c r="D17">
        <f t="shared" si="1"/>
        <v>3.6851302168308164</v>
      </c>
      <c r="E17">
        <v>17</v>
      </c>
      <c r="G17">
        <f t="shared" si="2"/>
        <v>5.0387759970196218</v>
      </c>
      <c r="H17">
        <f t="shared" si="3"/>
        <v>6.7551857853967761</v>
      </c>
    </row>
    <row r="18" spans="1:8" x14ac:dyDescent="0.35">
      <c r="A18">
        <v>18</v>
      </c>
      <c r="C18">
        <f t="shared" si="0"/>
        <v>5.5216899919424023</v>
      </c>
      <c r="D18">
        <f t="shared" si="1"/>
        <v>3.8147989513005021</v>
      </c>
      <c r="E18">
        <v>18</v>
      </c>
      <c r="G18">
        <f t="shared" si="2"/>
        <v>5.1729207052738442</v>
      </c>
      <c r="H18">
        <f t="shared" si="3"/>
        <v>6.8863970921170674</v>
      </c>
    </row>
    <row r="19" spans="1:8" x14ac:dyDescent="0.35">
      <c r="A19">
        <v>19</v>
      </c>
      <c r="C19">
        <f t="shared" si="0"/>
        <v>5.6491275985299216</v>
      </c>
      <c r="D19">
        <f t="shared" si="1"/>
        <v>3.9442650384371065</v>
      </c>
      <c r="E19">
        <v>19</v>
      </c>
      <c r="G19">
        <f t="shared" si="2"/>
        <v>5.3070654135280666</v>
      </c>
      <c r="H19">
        <f t="shared" si="3"/>
        <v>7.0178303590454743</v>
      </c>
    </row>
    <row r="20" spans="1:8" x14ac:dyDescent="0.35">
      <c r="A20">
        <v>20</v>
      </c>
      <c r="C20">
        <f t="shared" si="0"/>
        <v>5.776565205117441</v>
      </c>
      <c r="D20">
        <f t="shared" si="1"/>
        <v>4.0735277541233863</v>
      </c>
      <c r="E20">
        <v>20</v>
      </c>
      <c r="G20">
        <f t="shared" si="2"/>
        <v>5.4412101217822881</v>
      </c>
      <c r="H20">
        <f t="shared" si="3"/>
        <v>7.1494866430933195</v>
      </c>
    </row>
    <row r="21" spans="1:8" x14ac:dyDescent="0.35">
      <c r="A21">
        <v>21</v>
      </c>
      <c r="C21">
        <f t="shared" si="0"/>
        <v>5.9040028117049594</v>
      </c>
      <c r="D21">
        <f t="shared" si="1"/>
        <v>4.2025864438896372</v>
      </c>
      <c r="E21">
        <v>21</v>
      </c>
      <c r="G21">
        <f t="shared" si="2"/>
        <v>5.5753548300365097</v>
      </c>
      <c r="H21">
        <f t="shared" si="3"/>
        <v>7.2813669201529105</v>
      </c>
    </row>
    <row r="22" spans="1:8" x14ac:dyDescent="0.35">
      <c r="A22">
        <v>22</v>
      </c>
      <c r="C22">
        <f t="shared" si="0"/>
        <v>6.0314404182924788</v>
      </c>
      <c r="D22">
        <f t="shared" si="1"/>
        <v>4.3314405240716294</v>
      </c>
      <c r="E22">
        <v>22</v>
      </c>
      <c r="G22">
        <f t="shared" si="2"/>
        <v>5.7094995382907321</v>
      </c>
      <c r="H22">
        <f t="shared" si="3"/>
        <v>7.4134720832261287</v>
      </c>
    </row>
    <row r="23" spans="1:8" x14ac:dyDescent="0.35">
      <c r="A23">
        <v>23</v>
      </c>
      <c r="C23">
        <f t="shared" si="0"/>
        <v>6.1588780248799981</v>
      </c>
      <c r="D23">
        <f t="shared" si="1"/>
        <v>4.4600894828503028</v>
      </c>
      <c r="E23">
        <v>23</v>
      </c>
      <c r="G23">
        <f t="shared" si="2"/>
        <v>5.8436442465449545</v>
      </c>
      <c r="H23">
        <f t="shared" si="3"/>
        <v>7.5458029406958147</v>
      </c>
    </row>
    <row r="24" spans="1:8" x14ac:dyDescent="0.35">
      <c r="A24">
        <v>24</v>
      </c>
      <c r="C24">
        <f t="shared" si="0"/>
        <v>6.2863156314675166</v>
      </c>
      <c r="D24">
        <f t="shared" si="1"/>
        <v>4.5885328811689652</v>
      </c>
      <c r="E24">
        <v>24</v>
      </c>
      <c r="G24">
        <f t="shared" si="2"/>
        <v>5.977788954799176</v>
      </c>
      <c r="H24">
        <f t="shared" si="3"/>
        <v>7.6783602147476042</v>
      </c>
    </row>
    <row r="25" spans="1:8" x14ac:dyDescent="0.35">
      <c r="A25">
        <v>25</v>
      </c>
      <c r="C25">
        <f t="shared" si="0"/>
        <v>6.4137532380550351</v>
      </c>
      <c r="D25">
        <f t="shared" si="1"/>
        <v>4.7167703535241658</v>
      </c>
      <c r="E25">
        <v>25</v>
      </c>
      <c r="G25">
        <f t="shared" si="2"/>
        <v>6.1119336630533985</v>
      </c>
      <c r="H25">
        <f t="shared" si="3"/>
        <v>7.8111445399492823</v>
      </c>
    </row>
    <row r="26" spans="1:8" x14ac:dyDescent="0.35">
      <c r="A26">
        <v>26</v>
      </c>
      <c r="C26">
        <f t="shared" si="0"/>
        <v>6.5411908446425553</v>
      </c>
      <c r="D26">
        <f t="shared" si="1"/>
        <v>4.8448016086269625</v>
      </c>
      <c r="E26">
        <v>26</v>
      </c>
      <c r="G26">
        <f t="shared" si="2"/>
        <v>6.24607837130762</v>
      </c>
      <c r="H26">
        <f t="shared" si="3"/>
        <v>7.9441564619940994</v>
      </c>
    </row>
    <row r="27" spans="1:8" x14ac:dyDescent="0.35">
      <c r="A27">
        <v>27</v>
      </c>
      <c r="C27">
        <f t="shared" si="0"/>
        <v>6.6686284512300738</v>
      </c>
      <c r="D27">
        <f t="shared" si="1"/>
        <v>4.9726264299317844</v>
      </c>
      <c r="E27">
        <v>27</v>
      </c>
      <c r="G27">
        <f t="shared" si="2"/>
        <v>6.3802230795618424</v>
      </c>
      <c r="H27">
        <f t="shared" si="3"/>
        <v>8.0773964366138173</v>
      </c>
    </row>
    <row r="28" spans="1:8" x14ac:dyDescent="0.35">
      <c r="A28">
        <v>28</v>
      </c>
      <c r="C28">
        <f t="shared" si="0"/>
        <v>6.7960660578175922</v>
      </c>
      <c r="D28">
        <f t="shared" si="1"/>
        <v>5.1002446760306848</v>
      </c>
      <c r="E28">
        <v>28</v>
      </c>
      <c r="G28">
        <f t="shared" si="2"/>
        <v>6.5143677878160648</v>
      </c>
      <c r="H28">
        <f t="shared" si="3"/>
        <v>8.2108648286664678</v>
      </c>
    </row>
    <row r="29" spans="1:8" x14ac:dyDescent="0.35">
      <c r="A29">
        <v>29</v>
      </c>
      <c r="C29">
        <f t="shared" si="0"/>
        <v>6.9235036644051116</v>
      </c>
      <c r="D29">
        <f t="shared" si="1"/>
        <v>5.2276562809112752</v>
      </c>
      <c r="E29">
        <v>29</v>
      </c>
      <c r="G29">
        <f t="shared" si="2"/>
        <v>6.6485124960702864</v>
      </c>
      <c r="H29">
        <f t="shared" si="3"/>
        <v>8.3445619114030904</v>
      </c>
    </row>
    <row r="30" spans="1:8" x14ac:dyDescent="0.35">
      <c r="A30">
        <v>30</v>
      </c>
      <c r="C30">
        <f t="shared" si="0"/>
        <v>7.0509412709926309</v>
      </c>
      <c r="D30">
        <f t="shared" si="1"/>
        <v>5.354861254077278</v>
      </c>
      <c r="E30">
        <v>30</v>
      </c>
      <c r="G30">
        <f t="shared" si="2"/>
        <v>6.7826572043245079</v>
      </c>
      <c r="H30">
        <f t="shared" si="3"/>
        <v>8.4784878659168719</v>
      </c>
    </row>
    <row r="31" spans="1:8" x14ac:dyDescent="0.35">
      <c r="A31">
        <v>31</v>
      </c>
      <c r="C31">
        <f t="shared" si="0"/>
        <v>7.1783788775801494</v>
      </c>
      <c r="D31">
        <f t="shared" si="1"/>
        <v>5.481859680531163</v>
      </c>
      <c r="E31">
        <v>31</v>
      </c>
      <c r="G31">
        <f t="shared" si="2"/>
        <v>6.9168019125787303</v>
      </c>
      <c r="H31">
        <f t="shared" si="3"/>
        <v>8.6126427807772501</v>
      </c>
    </row>
    <row r="32" spans="1:8" x14ac:dyDescent="0.35">
      <c r="A32">
        <v>32</v>
      </c>
      <c r="C32">
        <f t="shared" si="0"/>
        <v>7.3058164841676687</v>
      </c>
      <c r="D32">
        <f t="shared" si="1"/>
        <v>5.6086517206189583</v>
      </c>
      <c r="E32">
        <v>32</v>
      </c>
      <c r="G32">
        <f t="shared" si="2"/>
        <v>7.0509466208329519</v>
      </c>
      <c r="H32">
        <f t="shared" si="3"/>
        <v>8.7470266518507369</v>
      </c>
    </row>
    <row r="33" spans="1:8" x14ac:dyDescent="0.35">
      <c r="A33">
        <v>33</v>
      </c>
      <c r="C33">
        <f t="shared" ref="C33:C64" si="4">3.35525067995458+(A33-1)*0.127437606587519</f>
        <v>7.4332540907551881</v>
      </c>
      <c r="D33">
        <f t="shared" ref="D33:D64" si="5">0+1*C33-1.66991521308753*(1.03125+(C33-6.84375)^2/129.230896205419)^0.5</f>
        <v>5.7352376097378741</v>
      </c>
      <c r="E33">
        <v>33</v>
      </c>
      <c r="G33">
        <f t="shared" ref="G33:G64" si="6">2.89246066495207+(E33-1)*0.134144708254222</f>
        <v>7.1850913290871743</v>
      </c>
      <c r="H33">
        <f t="shared" ref="H33:H64" si="7">0+1*G33+1.66991521308753*(1.03125+(G33-6.84375)^2/129.230896205419)^0.5</f>
        <v>8.8816393823092881</v>
      </c>
    </row>
    <row r="34" spans="1:8" x14ac:dyDescent="0.35">
      <c r="A34">
        <v>34</v>
      </c>
      <c r="C34">
        <f t="shared" si="4"/>
        <v>7.5606916973427065</v>
      </c>
      <c r="D34">
        <f t="shared" si="5"/>
        <v>5.8616176579080044</v>
      </c>
      <c r="E34">
        <v>34</v>
      </c>
      <c r="G34">
        <f t="shared" si="6"/>
        <v>7.3192360373413967</v>
      </c>
      <c r="H34">
        <f t="shared" si="7"/>
        <v>9.0164807828261697</v>
      </c>
    </row>
    <row r="35" spans="1:8" x14ac:dyDescent="0.35">
      <c r="A35">
        <v>35</v>
      </c>
      <c r="C35">
        <f t="shared" si="4"/>
        <v>7.688129303930225</v>
      </c>
      <c r="D35">
        <f t="shared" si="5"/>
        <v>5.9877922492099129</v>
      </c>
      <c r="E35">
        <v>35</v>
      </c>
      <c r="G35">
        <f t="shared" si="6"/>
        <v>7.4533807455956183</v>
      </c>
      <c r="H35">
        <f t="shared" si="7"/>
        <v>9.1515505719584187</v>
      </c>
    </row>
    <row r="36" spans="1:8" x14ac:dyDescent="0.35">
      <c r="A36">
        <v>36</v>
      </c>
      <c r="C36">
        <f t="shared" si="4"/>
        <v>7.8155669105177452</v>
      </c>
      <c r="D36">
        <f t="shared" si="5"/>
        <v>6.1137618410904633</v>
      </c>
      <c r="E36">
        <v>36</v>
      </c>
      <c r="G36">
        <f t="shared" si="6"/>
        <v>7.5875254538498407</v>
      </c>
      <c r="H36">
        <f t="shared" si="7"/>
        <v>9.2868483767141008</v>
      </c>
    </row>
    <row r="37" spans="1:8" x14ac:dyDescent="0.35">
      <c r="A37">
        <v>37</v>
      </c>
      <c r="C37">
        <f t="shared" si="4"/>
        <v>7.9430045171052637</v>
      </c>
      <c r="D37">
        <f t="shared" si="5"/>
        <v>6.2395269635398201</v>
      </c>
      <c r="E37">
        <v>37</v>
      </c>
      <c r="G37">
        <f t="shared" si="6"/>
        <v>7.7216701621040622</v>
      </c>
      <c r="H37">
        <f t="shared" si="7"/>
        <v>9.4223737333016615</v>
      </c>
    </row>
    <row r="38" spans="1:8" x14ac:dyDescent="0.35">
      <c r="A38">
        <v>38</v>
      </c>
      <c r="C38">
        <f t="shared" si="4"/>
        <v>8.0704421236927821</v>
      </c>
      <c r="D38">
        <f t="shared" si="5"/>
        <v>6.3650882181430637</v>
      </c>
      <c r="E38">
        <v>38</v>
      </c>
      <c r="G38">
        <f t="shared" si="6"/>
        <v>7.8558148703582846</v>
      </c>
      <c r="H38">
        <f t="shared" si="7"/>
        <v>9.5581260880579375</v>
      </c>
    </row>
    <row r="39" spans="1:8" x14ac:dyDescent="0.35">
      <c r="A39">
        <v>39</v>
      </c>
      <c r="C39">
        <f t="shared" si="4"/>
        <v>8.1978797302803024</v>
      </c>
      <c r="D39">
        <f t="shared" si="5"/>
        <v>6.4904462770103049</v>
      </c>
      <c r="E39">
        <v>39</v>
      </c>
      <c r="G39">
        <f t="shared" si="6"/>
        <v>7.9899595786125062</v>
      </c>
      <c r="H39">
        <f t="shared" si="7"/>
        <v>9.6941047985504518</v>
      </c>
    </row>
    <row r="40" spans="1:8" x14ac:dyDescent="0.35">
      <c r="A40">
        <v>40</v>
      </c>
      <c r="C40">
        <f t="shared" si="4"/>
        <v>8.3253173368678208</v>
      </c>
      <c r="D40">
        <f t="shared" si="5"/>
        <v>6.615601881589722</v>
      </c>
      <c r="E40">
        <v>40</v>
      </c>
      <c r="G40">
        <f t="shared" si="6"/>
        <v>8.1241042868667286</v>
      </c>
      <c r="H40">
        <f t="shared" si="7"/>
        <v>9.8303091348489673</v>
      </c>
    </row>
    <row r="41" spans="1:8" x14ac:dyDescent="0.35">
      <c r="A41">
        <v>41</v>
      </c>
      <c r="C41">
        <f t="shared" si="4"/>
        <v>8.4527549434553393</v>
      </c>
      <c r="D41">
        <f t="shared" si="5"/>
        <v>6.7405558413683337</v>
      </c>
      <c r="E41">
        <v>41</v>
      </c>
      <c r="G41">
        <f t="shared" si="6"/>
        <v>8.258248995120951</v>
      </c>
      <c r="H41">
        <f t="shared" si="7"/>
        <v>9.9667382809604366</v>
      </c>
    </row>
    <row r="42" spans="1:8" x14ac:dyDescent="0.35">
      <c r="A42">
        <v>42</v>
      </c>
      <c r="C42">
        <f t="shared" si="4"/>
        <v>8.5801925500428577</v>
      </c>
      <c r="D42">
        <f t="shared" si="5"/>
        <v>6.8653090324657153</v>
      </c>
      <c r="E42">
        <v>42</v>
      </c>
      <c r="G42">
        <f t="shared" si="6"/>
        <v>8.3923937033751734</v>
      </c>
      <c r="H42">
        <f t="shared" si="7"/>
        <v>10.103391336420877</v>
      </c>
    </row>
    <row r="43" spans="1:8" x14ac:dyDescent="0.35">
      <c r="A43">
        <v>43</v>
      </c>
      <c r="C43">
        <f t="shared" si="4"/>
        <v>8.707630156630378</v>
      </c>
      <c r="D43">
        <f t="shared" si="5"/>
        <v>6.9898623961262336</v>
      </c>
      <c r="E43">
        <v>43</v>
      </c>
      <c r="G43">
        <f t="shared" si="6"/>
        <v>8.5265384116293941</v>
      </c>
      <c r="H43">
        <f t="shared" si="7"/>
        <v>10.240267318037043</v>
      </c>
    </row>
    <row r="44" spans="1:8" x14ac:dyDescent="0.35">
      <c r="A44">
        <v>44</v>
      </c>
      <c r="C44">
        <f t="shared" si="4"/>
        <v>8.8350677632178964</v>
      </c>
      <c r="D44">
        <f t="shared" si="5"/>
        <v>7.1142169371157173</v>
      </c>
      <c r="E44">
        <v>44</v>
      </c>
      <c r="G44">
        <f t="shared" si="6"/>
        <v>8.6606831198836165</v>
      </c>
      <c r="H44">
        <f t="shared" si="7"/>
        <v>10.37736516177017</v>
      </c>
    </row>
    <row r="45" spans="1:8" x14ac:dyDescent="0.35">
      <c r="A45">
        <v>45</v>
      </c>
      <c r="C45">
        <f t="shared" si="4"/>
        <v>8.9625053698054149</v>
      </c>
      <c r="D45">
        <f t="shared" si="5"/>
        <v>7.238373722028733</v>
      </c>
      <c r="E45">
        <v>45</v>
      </c>
      <c r="G45">
        <f t="shared" si="6"/>
        <v>8.7948278281378371</v>
      </c>
      <c r="H45">
        <f t="shared" si="7"/>
        <v>10.514683724753564</v>
      </c>
    </row>
    <row r="46" spans="1:8" x14ac:dyDescent="0.35">
      <c r="A46">
        <v>46</v>
      </c>
      <c r="C46">
        <f t="shared" si="4"/>
        <v>9.0899429763929351</v>
      </c>
      <c r="D46">
        <f t="shared" si="5"/>
        <v>7.3623338775128717</v>
      </c>
      <c r="E46">
        <v>46</v>
      </c>
      <c r="G46">
        <f t="shared" si="6"/>
        <v>8.9289725363920596</v>
      </c>
      <c r="H46">
        <f t="shared" si="7"/>
        <v>10.652221787435405</v>
      </c>
    </row>
    <row r="47" spans="1:8" x14ac:dyDescent="0.35">
      <c r="A47">
        <v>47</v>
      </c>
      <c r="C47">
        <f t="shared" si="4"/>
        <v>9.2173805829804536</v>
      </c>
      <c r="D47">
        <f t="shared" si="5"/>
        <v>7.486098588416688</v>
      </c>
      <c r="E47">
        <v>47</v>
      </c>
      <c r="G47">
        <f t="shared" si="6"/>
        <v>9.063117244646282</v>
      </c>
      <c r="H47">
        <f t="shared" si="7"/>
        <v>10.789978055837643</v>
      </c>
    </row>
    <row r="48" spans="1:8" x14ac:dyDescent="0.35">
      <c r="A48">
        <v>48</v>
      </c>
      <c r="C48">
        <f t="shared" si="4"/>
        <v>9.3448181895679721</v>
      </c>
      <c r="D48">
        <f t="shared" si="5"/>
        <v>7.6096690958680515</v>
      </c>
      <c r="E48">
        <v>48</v>
      </c>
      <c r="G48">
        <f t="shared" si="6"/>
        <v>9.1972619529005044</v>
      </c>
      <c r="H48">
        <f t="shared" si="7"/>
        <v>10.927951163921652</v>
      </c>
    </row>
    <row r="49" spans="1:8" x14ac:dyDescent="0.35">
      <c r="A49">
        <v>49</v>
      </c>
      <c r="C49">
        <f t="shared" si="4"/>
        <v>9.4722557961554905</v>
      </c>
      <c r="D49">
        <f t="shared" si="5"/>
        <v>7.7330466952897892</v>
      </c>
      <c r="E49">
        <v>49</v>
      </c>
      <c r="G49">
        <f t="shared" si="6"/>
        <v>9.3314066611547268</v>
      </c>
      <c r="H49">
        <f t="shared" si="7"/>
        <v>11.066139676050961</v>
      </c>
    </row>
    <row r="50" spans="1:8" x14ac:dyDescent="0.35">
      <c r="A50">
        <v>50</v>
      </c>
      <c r="C50">
        <f t="shared" si="4"/>
        <v>9.5996934027430108</v>
      </c>
      <c r="D50">
        <f t="shared" si="5"/>
        <v>7.8562327343595886</v>
      </c>
      <c r="E50">
        <v>50</v>
      </c>
      <c r="G50">
        <f t="shared" si="6"/>
        <v>9.4655513694089493</v>
      </c>
      <c r="H50">
        <f t="shared" si="7"/>
        <v>11.204542089541299</v>
      </c>
    </row>
    <row r="51" spans="1:8" x14ac:dyDescent="0.35">
      <c r="A51">
        <v>51</v>
      </c>
      <c r="C51">
        <f t="shared" si="4"/>
        <v>9.7271310093305292</v>
      </c>
      <c r="D51">
        <f t="shared" si="5"/>
        <v>7.979228610921135</v>
      </c>
      <c r="E51">
        <v>51</v>
      </c>
      <c r="G51">
        <f t="shared" si="6"/>
        <v>9.5996960776631717</v>
      </c>
      <c r="H51">
        <f t="shared" si="7"/>
        <v>11.343156837287932</v>
      </c>
    </row>
    <row r="52" spans="1:8" x14ac:dyDescent="0.35">
      <c r="A52">
        <v>52</v>
      </c>
      <c r="C52">
        <f t="shared" si="4"/>
        <v>9.8545686159180477</v>
      </c>
      <c r="D52">
        <f t="shared" si="5"/>
        <v>8.1020357708534778</v>
      </c>
      <c r="E52">
        <v>52</v>
      </c>
      <c r="G52">
        <f t="shared" si="6"/>
        <v>9.7338407859173923</v>
      </c>
      <c r="H52">
        <f t="shared" si="7"/>
        <v>11.481982290460357</v>
      </c>
    </row>
    <row r="53" spans="1:8" x14ac:dyDescent="0.35">
      <c r="A53">
        <v>53</v>
      </c>
      <c r="C53">
        <f t="shared" si="4"/>
        <v>9.9820062225055679</v>
      </c>
      <c r="D53">
        <f t="shared" si="5"/>
        <v>8.2246557059055405</v>
      </c>
      <c r="E53">
        <v>53</v>
      </c>
      <c r="G53">
        <f t="shared" si="6"/>
        <v>9.8679854941716147</v>
      </c>
      <c r="H53">
        <f t="shared" si="7"/>
        <v>11.621016761254321</v>
      </c>
    </row>
    <row r="54" spans="1:8" x14ac:dyDescent="0.35">
      <c r="A54">
        <v>54</v>
      </c>
      <c r="C54">
        <f t="shared" si="4"/>
        <v>10.109443829093086</v>
      </c>
      <c r="D54">
        <f t="shared" si="5"/>
        <v>8.3470899515026336</v>
      </c>
      <c r="E54">
        <v>54</v>
      </c>
      <c r="G54">
        <f t="shared" si="6"/>
        <v>10.002130202425835</v>
      </c>
      <c r="H54">
        <f t="shared" si="7"/>
        <v>11.760258505691251</v>
      </c>
    </row>
    <row r="55" spans="1:8" x14ac:dyDescent="0.35">
      <c r="A55">
        <v>55</v>
      </c>
      <c r="C55">
        <f t="shared" si="4"/>
        <v>10.236881435680605</v>
      </c>
      <c r="D55">
        <f t="shared" si="5"/>
        <v>8.4693400845317033</v>
      </c>
      <c r="E55">
        <v>55</v>
      </c>
      <c r="G55">
        <f t="shared" si="6"/>
        <v>10.136274910680058</v>
      </c>
      <c r="H55">
        <f t="shared" si="7"/>
        <v>11.899705726455299</v>
      </c>
    </row>
    <row r="56" spans="1:8" x14ac:dyDescent="0.35">
      <c r="A56">
        <v>56</v>
      </c>
      <c r="C56">
        <f t="shared" si="4"/>
        <v>10.364319042268125</v>
      </c>
      <c r="D56">
        <f t="shared" si="5"/>
        <v>8.5914077211118958</v>
      </c>
      <c r="E56">
        <v>56</v>
      </c>
      <c r="G56">
        <f t="shared" si="6"/>
        <v>10.27041961893428</v>
      </c>
      <c r="H56">
        <f t="shared" si="7"/>
        <v>12.039356575758349</v>
      </c>
    </row>
    <row r="57" spans="1:8" x14ac:dyDescent="0.35">
      <c r="A57">
        <v>57</v>
      </c>
      <c r="C57">
        <f t="shared" si="4"/>
        <v>10.491756648855644</v>
      </c>
      <c r="D57">
        <f t="shared" si="5"/>
        <v>8.7132945143568428</v>
      </c>
      <c r="E57">
        <v>57</v>
      </c>
      <c r="G57">
        <f t="shared" si="6"/>
        <v>10.404564327188503</v>
      </c>
      <c r="H57">
        <f t="shared" si="7"/>
        <v>12.179209158223642</v>
      </c>
    </row>
    <row r="58" spans="1:8" x14ac:dyDescent="0.35">
      <c r="A58">
        <v>58</v>
      </c>
      <c r="C58">
        <f t="shared" si="4"/>
        <v>10.619194255443162</v>
      </c>
      <c r="D58">
        <f t="shared" si="5"/>
        <v>8.8350021521348907</v>
      </c>
      <c r="E58">
        <v>58</v>
      </c>
      <c r="G58">
        <f t="shared" si="6"/>
        <v>10.538709035442725</v>
      </c>
      <c r="H58">
        <f t="shared" si="7"/>
        <v>12.319261533778832</v>
      </c>
    </row>
    <row r="59" spans="1:8" x14ac:dyDescent="0.35">
      <c r="A59">
        <v>59</v>
      </c>
      <c r="C59">
        <f t="shared" si="4"/>
        <v>10.74663186203068</v>
      </c>
      <c r="D59">
        <f t="shared" si="5"/>
        <v>8.9565323548332145</v>
      </c>
      <c r="E59">
        <v>59</v>
      </c>
      <c r="G59">
        <f t="shared" si="6"/>
        <v>10.672853743696948</v>
      </c>
      <c r="H59">
        <f t="shared" si="7"/>
        <v>12.459511720549719</v>
      </c>
    </row>
    <row r="60" spans="1:8" x14ac:dyDescent="0.35">
      <c r="A60">
        <v>60</v>
      </c>
      <c r="C60">
        <f t="shared" si="4"/>
        <v>10.874069468618201</v>
      </c>
      <c r="D60">
        <f t="shared" si="5"/>
        <v>9.0778868731315683</v>
      </c>
      <c r="E60">
        <v>60</v>
      </c>
      <c r="G60">
        <f t="shared" si="6"/>
        <v>10.806998451951168</v>
      </c>
      <c r="H60">
        <f t="shared" si="7"/>
        <v>12.599957697746172</v>
      </c>
    </row>
    <row r="61" spans="1:8" x14ac:dyDescent="0.35">
      <c r="A61">
        <v>61</v>
      </c>
      <c r="C61">
        <f t="shared" si="4"/>
        <v>11.001507075205719</v>
      </c>
      <c r="D61">
        <f t="shared" si="5"/>
        <v>9.1990674857911294</v>
      </c>
      <c r="E61">
        <v>61</v>
      </c>
      <c r="G61">
        <f t="shared" si="6"/>
        <v>10.941143160205391</v>
      </c>
      <c r="H61">
        <f t="shared" si="7"/>
        <v>12.740597408532203</v>
      </c>
    </row>
    <row r="62" spans="1:8" x14ac:dyDescent="0.35">
      <c r="A62">
        <v>62</v>
      </c>
      <c r="C62">
        <f t="shared" si="4"/>
        <v>11.128944681793238</v>
      </c>
      <c r="D62">
        <f t="shared" si="5"/>
        <v>9.3200759974636007</v>
      </c>
      <c r="E62">
        <v>62</v>
      </c>
      <c r="G62">
        <f t="shared" si="6"/>
        <v>11.075287868459613</v>
      </c>
      <c r="H62">
        <f t="shared" si="7"/>
        <v>12.881428762872478</v>
      </c>
    </row>
    <row r="63" spans="1:8" x14ac:dyDescent="0.35">
      <c r="A63">
        <v>63</v>
      </c>
      <c r="C63">
        <f t="shared" si="4"/>
        <v>11.256382288380758</v>
      </c>
      <c r="D63">
        <f t="shared" si="5"/>
        <v>9.4409142365254546</v>
      </c>
      <c r="E63">
        <v>63</v>
      </c>
      <c r="G63">
        <f t="shared" si="6"/>
        <v>11.209432576713834</v>
      </c>
      <c r="H63">
        <f t="shared" si="7"/>
        <v>13.022449640348114</v>
      </c>
    </row>
    <row r="64" spans="1:8" x14ac:dyDescent="0.35">
      <c r="A64">
        <v>64</v>
      </c>
      <c r="C64">
        <f t="shared" si="4"/>
        <v>11.383819894968276</v>
      </c>
      <c r="D64">
        <f t="shared" si="5"/>
        <v>9.5615840529418907</v>
      </c>
      <c r="E64">
        <v>64</v>
      </c>
      <c r="G64">
        <f t="shared" si="6"/>
        <v>11.343577284968056</v>
      </c>
      <c r="H64">
        <f t="shared" si="7"/>
        <v>13.163657892934939</v>
      </c>
    </row>
    <row r="65" spans="1:8" x14ac:dyDescent="0.35">
      <c r="A65">
        <v>65</v>
      </c>
      <c r="C65">
        <f t="shared" ref="C65:C70" si="8">3.35525067995458+(A65-1)*0.127437606587519</f>
        <v>11.511257501555795</v>
      </c>
      <c r="D65">
        <f t="shared" ref="D65:D70" si="9">0+1*C65-1.66991521308753*(1.03125+(C65-6.84375)^2/129.230896205419)^0.5</f>
        <v>9.6820873161647825</v>
      </c>
      <c r="E65">
        <v>65</v>
      </c>
      <c r="G65">
        <f t="shared" ref="G65:G70" si="10">2.89246066495207+(E65-1)*0.134144708254222</f>
        <v>11.477721993222278</v>
      </c>
      <c r="H65">
        <f t="shared" ref="H65:H70" si="11">0+1*G65+1.66991521308753*(1.03125+(G65-6.84375)^2/129.230896205419)^0.5</f>
        <v>13.305051347737933</v>
      </c>
    </row>
    <row r="66" spans="1:8" x14ac:dyDescent="0.35">
      <c r="A66">
        <v>66</v>
      </c>
      <c r="C66">
        <f t="shared" si="8"/>
        <v>11.638695108143313</v>
      </c>
      <c r="D66">
        <f t="shared" si="9"/>
        <v>9.8024259130685198</v>
      </c>
      <c r="E66">
        <v>66</v>
      </c>
      <c r="G66">
        <f t="shared" si="10"/>
        <v>11.611866701476501</v>
      </c>
      <c r="H66">
        <f t="shared" si="11"/>
        <v>13.446627809676034</v>
      </c>
    </row>
    <row r="67" spans="1:8" x14ac:dyDescent="0.35">
      <c r="A67">
        <v>67</v>
      </c>
      <c r="C67">
        <f t="shared" si="8"/>
        <v>11.766132714730833</v>
      </c>
      <c r="D67">
        <f t="shared" si="9"/>
        <v>9.9226017459274001</v>
      </c>
      <c r="E67">
        <v>67</v>
      </c>
      <c r="G67">
        <f t="shared" si="10"/>
        <v>11.746011409730723</v>
      </c>
      <c r="H67">
        <f t="shared" si="11"/>
        <v>13.588385064111947</v>
      </c>
    </row>
    <row r="68" spans="1:8" x14ac:dyDescent="0.35">
      <c r="A68">
        <v>68</v>
      </c>
      <c r="C68">
        <f t="shared" si="8"/>
        <v>11.893570321318352</v>
      </c>
      <c r="D68">
        <f t="shared" si="9"/>
        <v>10.042616730437835</v>
      </c>
      <c r="E68">
        <v>68</v>
      </c>
      <c r="G68">
        <f t="shared" si="10"/>
        <v>11.880156117984944</v>
      </c>
      <c r="H68">
        <f t="shared" si="11"/>
        <v>13.730320879422134</v>
      </c>
    </row>
    <row r="69" spans="1:8" x14ac:dyDescent="0.35">
      <c r="A69">
        <v>69</v>
      </c>
      <c r="C69">
        <f t="shared" si="8"/>
        <v>12.02100792790587</v>
      </c>
      <c r="D69">
        <f t="shared" si="9"/>
        <v>10.162472793788385</v>
      </c>
      <c r="E69">
        <v>69</v>
      </c>
      <c r="G69">
        <f t="shared" si="10"/>
        <v>12.014300826239166</v>
      </c>
      <c r="H69">
        <f t="shared" si="11"/>
        <v>13.872433009502597</v>
      </c>
    </row>
    <row r="70" spans="1:8" x14ac:dyDescent="0.35">
      <c r="A70">
        <v>70</v>
      </c>
      <c r="C70">
        <f t="shared" si="8"/>
        <v>12.148445534493389</v>
      </c>
      <c r="D70">
        <f t="shared" si="9"/>
        <v>10.282171872780248</v>
      </c>
      <c r="E70">
        <v>70</v>
      </c>
      <c r="G70">
        <f t="shared" si="10"/>
        <v>12.148445534493389</v>
      </c>
      <c r="H70">
        <f t="shared" si="11"/>
        <v>14.01471919620653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51A3-803B-48B5-98FE-95A5C9A13B5B}">
  <sheetPr codeName="Sheet3">
    <tabColor rgb="FF007800"/>
  </sheetPr>
  <dimension ref="A1:XX996"/>
  <sheetViews>
    <sheetView zoomScaleNormal="100" workbookViewId="0">
      <selection activeCell="A3" activeCellId="1" sqref="A2:XFD2 A3:XFD3"/>
    </sheetView>
  </sheetViews>
  <sheetFormatPr defaultRowHeight="15.5" x14ac:dyDescent="0.35"/>
  <cols>
    <col min="1" max="1" width="8.83203125" customWidth="1"/>
  </cols>
  <sheetData>
    <row r="1" spans="1:8" x14ac:dyDescent="0.35">
      <c r="A1" s="94" t="s">
        <v>250</v>
      </c>
    </row>
    <row r="2" spans="1:8" x14ac:dyDescent="0.35">
      <c r="A2" s="94" t="s">
        <v>88</v>
      </c>
    </row>
    <row r="3" spans="1:8" x14ac:dyDescent="0.35">
      <c r="A3" s="94" t="s">
        <v>89</v>
      </c>
    </row>
    <row r="4" spans="1:8" ht="38" customHeight="1" x14ac:dyDescent="0.35"/>
    <row r="5" spans="1:8" ht="15.65" customHeight="1" x14ac:dyDescent="0.35">
      <c r="A5" s="95"/>
    </row>
    <row r="8" spans="1:8" x14ac:dyDescent="0.35">
      <c r="A8" s="96" t="s">
        <v>90</v>
      </c>
    </row>
    <row r="9" spans="1:8" ht="16" thickBot="1" x14ac:dyDescent="0.4"/>
    <row r="10" spans="1:8" ht="31.25" customHeight="1" x14ac:dyDescent="0.35">
      <c r="A10" s="97" t="s">
        <v>91</v>
      </c>
      <c r="B10" s="50" t="s">
        <v>92</v>
      </c>
      <c r="C10" s="50" t="s">
        <v>93</v>
      </c>
      <c r="D10" s="50" t="s">
        <v>94</v>
      </c>
      <c r="E10" s="50" t="s">
        <v>95</v>
      </c>
      <c r="F10" s="50" t="s">
        <v>96</v>
      </c>
      <c r="G10" s="50" t="s">
        <v>97</v>
      </c>
      <c r="H10" s="50" t="s">
        <v>98</v>
      </c>
    </row>
    <row r="11" spans="1:8" x14ac:dyDescent="0.35">
      <c r="A11" s="98" t="s">
        <v>9</v>
      </c>
      <c r="B11" s="53">
        <v>32</v>
      </c>
      <c r="C11" s="53">
        <v>0</v>
      </c>
      <c r="D11" s="53">
        <v>32</v>
      </c>
      <c r="E11" s="56">
        <v>3</v>
      </c>
      <c r="F11" s="56">
        <v>10</v>
      </c>
      <c r="G11" s="56">
        <v>6.8437499999999991</v>
      </c>
      <c r="H11" s="56">
        <v>2.1569000305845152</v>
      </c>
    </row>
    <row r="12" spans="1:8" x14ac:dyDescent="0.35">
      <c r="A12" s="48" t="s">
        <v>2</v>
      </c>
      <c r="B12" s="54">
        <v>32</v>
      </c>
      <c r="C12" s="54">
        <v>0</v>
      </c>
      <c r="D12" s="54">
        <v>32</v>
      </c>
      <c r="E12" s="57">
        <v>2</v>
      </c>
      <c r="F12" s="57">
        <v>5</v>
      </c>
      <c r="G12" s="57">
        <v>3.6562499999999996</v>
      </c>
      <c r="H12" s="57">
        <v>1.1530989102302514</v>
      </c>
    </row>
    <row r="13" spans="1:8" ht="16" thickBot="1" x14ac:dyDescent="0.4">
      <c r="A13" s="52" t="s">
        <v>5</v>
      </c>
      <c r="B13" s="55">
        <v>32</v>
      </c>
      <c r="C13" s="55">
        <v>0</v>
      </c>
      <c r="D13" s="55">
        <v>32</v>
      </c>
      <c r="E13" s="58">
        <v>2</v>
      </c>
      <c r="F13" s="58">
        <v>5</v>
      </c>
      <c r="G13" s="58">
        <v>3.6249999999999996</v>
      </c>
      <c r="H13" s="58">
        <v>1.0701220913160239</v>
      </c>
    </row>
    <row r="16" spans="1:8" x14ac:dyDescent="0.35">
      <c r="A16" s="6" t="s">
        <v>99</v>
      </c>
    </row>
    <row r="17" spans="1:4" ht="16" thickBot="1" x14ac:dyDescent="0.4"/>
    <row r="18" spans="1:4" ht="31" x14ac:dyDescent="0.35">
      <c r="A18" s="49"/>
      <c r="B18" s="50" t="s">
        <v>2</v>
      </c>
      <c r="C18" s="50" t="s">
        <v>5</v>
      </c>
      <c r="D18" s="59" t="s">
        <v>9</v>
      </c>
    </row>
    <row r="19" spans="1:4" x14ac:dyDescent="0.35">
      <c r="A19" s="60" t="s">
        <v>2</v>
      </c>
      <c r="B19" s="66">
        <v>1</v>
      </c>
      <c r="C19" s="62">
        <v>0.51957177688775125</v>
      </c>
      <c r="D19" s="63">
        <v>0.84670122776951795</v>
      </c>
    </row>
    <row r="20" spans="1:4" x14ac:dyDescent="0.35">
      <c r="A20" s="48" t="s">
        <v>5</v>
      </c>
      <c r="B20" s="57">
        <v>0.51957177688775125</v>
      </c>
      <c r="C20" s="67">
        <v>1</v>
      </c>
      <c r="D20" s="64">
        <v>0.68655846047266067</v>
      </c>
    </row>
    <row r="21" spans="1:4" ht="16" thickBot="1" x14ac:dyDescent="0.4">
      <c r="A21" s="61" t="s">
        <v>9</v>
      </c>
      <c r="B21" s="65">
        <v>0.84670122776951795</v>
      </c>
      <c r="C21" s="65">
        <v>0.68655846047266067</v>
      </c>
      <c r="D21" s="68">
        <v>1</v>
      </c>
    </row>
    <row r="24" spans="1:4" x14ac:dyDescent="0.35">
      <c r="A24" s="6" t="s">
        <v>231</v>
      </c>
    </row>
    <row r="26" spans="1:4" x14ac:dyDescent="0.35">
      <c r="A26" s="2" t="s">
        <v>232</v>
      </c>
    </row>
    <row r="27" spans="1:4" ht="16" thickBot="1" x14ac:dyDescent="0.4"/>
    <row r="28" spans="1:4" x14ac:dyDescent="0.35">
      <c r="A28" s="69" t="s">
        <v>92</v>
      </c>
      <c r="B28" s="70">
        <v>32</v>
      </c>
    </row>
    <row r="29" spans="1:4" x14ac:dyDescent="0.35">
      <c r="A29" s="48" t="s">
        <v>102</v>
      </c>
      <c r="B29" s="54">
        <v>32</v>
      </c>
    </row>
    <row r="30" spans="1:4" x14ac:dyDescent="0.35">
      <c r="A30" s="48" t="s">
        <v>103</v>
      </c>
      <c r="B30" s="54">
        <v>29</v>
      </c>
    </row>
    <row r="31" spans="1:4" x14ac:dyDescent="0.35">
      <c r="A31" s="48" t="s">
        <v>104</v>
      </c>
      <c r="B31" s="57">
        <v>0.80022591398179299</v>
      </c>
    </row>
    <row r="32" spans="1:4" x14ac:dyDescent="0.35">
      <c r="A32" s="48" t="s">
        <v>105</v>
      </c>
      <c r="B32" s="57">
        <v>0.78644839080812357</v>
      </c>
    </row>
    <row r="33" spans="1:7" x14ac:dyDescent="0.35">
      <c r="A33" s="48" t="s">
        <v>106</v>
      </c>
      <c r="B33" s="57">
        <v>0.99348858510131999</v>
      </c>
    </row>
    <row r="34" spans="1:7" x14ac:dyDescent="0.35">
      <c r="A34" s="48" t="s">
        <v>107</v>
      </c>
      <c r="B34" s="57">
        <v>0.99673897540997158</v>
      </c>
    </row>
    <row r="35" spans="1:7" x14ac:dyDescent="0.35">
      <c r="A35" s="48" t="s">
        <v>108</v>
      </c>
      <c r="B35" s="57">
        <v>12.391520698326339</v>
      </c>
    </row>
    <row r="36" spans="1:7" x14ac:dyDescent="0.35">
      <c r="A36" s="48" t="s">
        <v>109</v>
      </c>
      <c r="B36" s="57">
        <v>2.4164882451868914</v>
      </c>
    </row>
    <row r="37" spans="1:7" x14ac:dyDescent="0.35">
      <c r="A37" s="48" t="s">
        <v>110</v>
      </c>
      <c r="B37" s="57">
        <v>3</v>
      </c>
    </row>
    <row r="38" spans="1:7" x14ac:dyDescent="0.35">
      <c r="A38" s="48" t="s">
        <v>111</v>
      </c>
      <c r="B38" s="57">
        <v>2.6408710575846395</v>
      </c>
    </row>
    <row r="39" spans="1:7" x14ac:dyDescent="0.35">
      <c r="A39" s="48" t="s">
        <v>112</v>
      </c>
      <c r="B39" s="57">
        <v>3.4980139147274967</v>
      </c>
    </row>
    <row r="40" spans="1:7" x14ac:dyDescent="0.35">
      <c r="A40" s="48" t="s">
        <v>113</v>
      </c>
      <c r="B40" s="57">
        <v>7.0380787659838191</v>
      </c>
    </row>
    <row r="41" spans="1:7" ht="16" thickBot="1" x14ac:dyDescent="0.4">
      <c r="A41" s="52" t="s">
        <v>114</v>
      </c>
      <c r="B41" s="58">
        <v>0.24110665553921537</v>
      </c>
    </row>
    <row r="44" spans="1:7" x14ac:dyDescent="0.35">
      <c r="A44" s="2" t="s">
        <v>233</v>
      </c>
    </row>
    <row r="45" spans="1:7" ht="16" thickBot="1" x14ac:dyDescent="0.4"/>
    <row r="46" spans="1:7" ht="46.5" x14ac:dyDescent="0.35">
      <c r="A46" s="49" t="s">
        <v>116</v>
      </c>
      <c r="B46" s="50" t="s">
        <v>103</v>
      </c>
      <c r="C46" s="50" t="s">
        <v>117</v>
      </c>
      <c r="D46" s="50" t="s">
        <v>118</v>
      </c>
      <c r="E46" s="50" t="s">
        <v>119</v>
      </c>
      <c r="F46" s="50" t="s">
        <v>120</v>
      </c>
      <c r="G46" s="50" t="s">
        <v>121</v>
      </c>
    </row>
    <row r="47" spans="1:7" x14ac:dyDescent="0.35">
      <c r="A47" s="60" t="s">
        <v>122</v>
      </c>
      <c r="B47" s="62">
        <v>2</v>
      </c>
      <c r="C47" s="62">
        <v>115.40758103206167</v>
      </c>
      <c r="D47" s="62">
        <v>57.703790516030836</v>
      </c>
      <c r="E47" s="62">
        <v>58.081986427801752</v>
      </c>
      <c r="F47" s="74">
        <v>7.2080486628338278E-11</v>
      </c>
      <c r="G47" s="77" t="s">
        <v>125</v>
      </c>
    </row>
    <row r="48" spans="1:7" x14ac:dyDescent="0.35">
      <c r="A48" s="48" t="s">
        <v>123</v>
      </c>
      <c r="B48" s="57">
        <v>29</v>
      </c>
      <c r="C48" s="57">
        <v>28.811168967938279</v>
      </c>
      <c r="D48" s="57">
        <v>0.99348858510131999</v>
      </c>
      <c r="E48" s="57"/>
      <c r="F48" s="75"/>
      <c r="G48" s="78" t="s">
        <v>126</v>
      </c>
    </row>
    <row r="49" spans="1:8" ht="16" thickBot="1" x14ac:dyDescent="0.4">
      <c r="A49" s="52" t="s">
        <v>124</v>
      </c>
      <c r="B49" s="58">
        <v>31</v>
      </c>
      <c r="C49" s="58">
        <v>144.21874999999994</v>
      </c>
      <c r="D49" s="58"/>
      <c r="E49" s="58"/>
      <c r="F49" s="76"/>
      <c r="G49" s="79" t="s">
        <v>126</v>
      </c>
    </row>
    <row r="50" spans="1:8" x14ac:dyDescent="0.35">
      <c r="A50" s="80" t="s">
        <v>127</v>
      </c>
    </row>
    <row r="51" spans="1:8" x14ac:dyDescent="0.35">
      <c r="A51" s="80" t="s">
        <v>128</v>
      </c>
    </row>
    <row r="54" spans="1:8" x14ac:dyDescent="0.35">
      <c r="A54" s="2" t="s">
        <v>234</v>
      </c>
    </row>
    <row r="55" spans="1:8" ht="16" thickBot="1" x14ac:dyDescent="0.4"/>
    <row r="56" spans="1:8" ht="46.5" x14ac:dyDescent="0.35">
      <c r="A56" s="49" t="s">
        <v>116</v>
      </c>
      <c r="B56" s="50" t="s">
        <v>130</v>
      </c>
      <c r="C56" s="50" t="s">
        <v>131</v>
      </c>
      <c r="D56" s="50" t="s">
        <v>132</v>
      </c>
      <c r="E56" s="50" t="s">
        <v>133</v>
      </c>
      <c r="F56" s="50" t="s">
        <v>134</v>
      </c>
      <c r="G56" s="50" t="s">
        <v>135</v>
      </c>
      <c r="H56" s="50" t="s">
        <v>121</v>
      </c>
    </row>
    <row r="57" spans="1:8" x14ac:dyDescent="0.35">
      <c r="A57" s="60" t="s">
        <v>16</v>
      </c>
      <c r="B57" s="62">
        <v>-0.2148373508073913</v>
      </c>
      <c r="C57" s="62">
        <v>0.69725559967086359</v>
      </c>
      <c r="D57" s="62">
        <v>-0.30811850189342949</v>
      </c>
      <c r="E57" s="71">
        <v>0.76019448128520561</v>
      </c>
      <c r="F57" s="62">
        <v>-1.6408851713722037</v>
      </c>
      <c r="G57" s="62">
        <v>1.2112104697574211</v>
      </c>
      <c r="H57" s="77" t="s">
        <v>137</v>
      </c>
    </row>
    <row r="58" spans="1:8" x14ac:dyDescent="0.35">
      <c r="A58" s="48" t="s">
        <v>2</v>
      </c>
      <c r="B58" s="57">
        <v>1.2554411420547618</v>
      </c>
      <c r="C58" s="57">
        <v>0.18170177362596723</v>
      </c>
      <c r="D58" s="57">
        <v>6.9093499584604219</v>
      </c>
      <c r="E58" s="75">
        <v>1.3612673965823774E-7</v>
      </c>
      <c r="F58" s="57">
        <v>0.88381928861337555</v>
      </c>
      <c r="G58" s="57">
        <v>1.627062995496148</v>
      </c>
      <c r="H58" s="78" t="s">
        <v>125</v>
      </c>
    </row>
    <row r="59" spans="1:8" ht="16" thickBot="1" x14ac:dyDescent="0.4">
      <c r="A59" s="52" t="s">
        <v>5</v>
      </c>
      <c r="B59" s="58">
        <v>0.68093260004680511</v>
      </c>
      <c r="C59" s="58">
        <v>0.19579085307671878</v>
      </c>
      <c r="D59" s="58">
        <v>3.4778570568870659</v>
      </c>
      <c r="E59" s="76">
        <v>1.6157165083856562E-3</v>
      </c>
      <c r="F59" s="58">
        <v>0.28049534368288531</v>
      </c>
      <c r="G59" s="58">
        <v>1.081369856410725</v>
      </c>
      <c r="H59" s="79" t="s">
        <v>136</v>
      </c>
    </row>
    <row r="60" spans="1:8" x14ac:dyDescent="0.35">
      <c r="A60" s="80" t="s">
        <v>128</v>
      </c>
    </row>
    <row r="63" spans="1:8" x14ac:dyDescent="0.35">
      <c r="A63" s="2" t="s">
        <v>236</v>
      </c>
    </row>
    <row r="65" spans="1:8" x14ac:dyDescent="0.35">
      <c r="A65" t="s">
        <v>248</v>
      </c>
    </row>
    <row r="68" spans="1:8" x14ac:dyDescent="0.35">
      <c r="A68" s="2" t="s">
        <v>238</v>
      </c>
    </row>
    <row r="69" spans="1:8" ht="16" thickBot="1" x14ac:dyDescent="0.4"/>
    <row r="70" spans="1:8" ht="46.5" x14ac:dyDescent="0.35">
      <c r="A70" s="49" t="s">
        <v>116</v>
      </c>
      <c r="B70" s="50" t="s">
        <v>130</v>
      </c>
      <c r="C70" s="50" t="s">
        <v>131</v>
      </c>
      <c r="D70" s="50" t="s">
        <v>132</v>
      </c>
      <c r="E70" s="50" t="s">
        <v>133</v>
      </c>
      <c r="F70" s="50" t="s">
        <v>134</v>
      </c>
      <c r="G70" s="50" t="s">
        <v>135</v>
      </c>
      <c r="H70" s="50" t="s">
        <v>121</v>
      </c>
    </row>
    <row r="71" spans="1:8" x14ac:dyDescent="0.35">
      <c r="A71" s="60" t="s">
        <v>2</v>
      </c>
      <c r="B71" s="62">
        <v>0.67117056527152008</v>
      </c>
      <c r="C71" s="62">
        <v>9.7139465985462095E-2</v>
      </c>
      <c r="D71" s="62">
        <v>6.9093499584604219</v>
      </c>
      <c r="E71" s="74">
        <v>1.3612673965823774E-7</v>
      </c>
      <c r="F71" s="62">
        <v>0.47249805002060163</v>
      </c>
      <c r="G71" s="62">
        <v>0.86984308052243853</v>
      </c>
      <c r="H71" s="77" t="s">
        <v>125</v>
      </c>
    </row>
    <row r="72" spans="1:8" ht="16" thickBot="1" x14ac:dyDescent="0.4">
      <c r="A72" s="52" t="s">
        <v>5</v>
      </c>
      <c r="B72" s="58">
        <v>0.33783717727978047</v>
      </c>
      <c r="C72" s="58">
        <v>9.7139465985462109E-2</v>
      </c>
      <c r="D72" s="58">
        <v>3.4778570568870655</v>
      </c>
      <c r="E72" s="76">
        <v>1.6157165083856562E-3</v>
      </c>
      <c r="F72" s="58">
        <v>0.13916466202886196</v>
      </c>
      <c r="G72" s="58">
        <v>0.53650969253069891</v>
      </c>
      <c r="H72" s="79" t="s">
        <v>136</v>
      </c>
    </row>
    <row r="73" spans="1:8" x14ac:dyDescent="0.35">
      <c r="A73" s="80" t="s">
        <v>128</v>
      </c>
    </row>
    <row r="92" spans="1:6" x14ac:dyDescent="0.35">
      <c r="F92" t="s">
        <v>141</v>
      </c>
    </row>
    <row r="95" spans="1:6" x14ac:dyDescent="0.35">
      <c r="A95" s="2" t="s">
        <v>239</v>
      </c>
    </row>
    <row r="96" spans="1:6" ht="16" thickBot="1" x14ac:dyDescent="0.4"/>
    <row r="97" spans="1:12" ht="77.5" x14ac:dyDescent="0.35">
      <c r="A97" s="49" t="s">
        <v>143</v>
      </c>
      <c r="B97" s="50" t="s">
        <v>144</v>
      </c>
      <c r="C97" s="50" t="s">
        <v>9</v>
      </c>
      <c r="D97" s="50" t="s">
        <v>240</v>
      </c>
      <c r="E97" s="50" t="s">
        <v>188</v>
      </c>
      <c r="F97" s="50" t="s">
        <v>189</v>
      </c>
      <c r="G97" s="50" t="s">
        <v>190</v>
      </c>
      <c r="H97" s="50" t="s">
        <v>191</v>
      </c>
      <c r="I97" s="50" t="s">
        <v>192</v>
      </c>
      <c r="J97" s="50" t="s">
        <v>193</v>
      </c>
      <c r="K97" s="50" t="s">
        <v>194</v>
      </c>
      <c r="L97" s="50" t="s">
        <v>195</v>
      </c>
    </row>
    <row r="98" spans="1:12" x14ac:dyDescent="0.35">
      <c r="A98" s="60" t="s">
        <v>145</v>
      </c>
      <c r="B98" s="81">
        <v>1</v>
      </c>
      <c r="C98" s="62">
        <v>9</v>
      </c>
      <c r="D98" s="62">
        <v>8.1051661596068332</v>
      </c>
      <c r="E98" s="62">
        <v>0.89483384039316682</v>
      </c>
      <c r="F98" s="62">
        <v>0.89776146259868095</v>
      </c>
      <c r="G98" s="62">
        <v>0.36970684396140452</v>
      </c>
      <c r="H98" s="62">
        <v>7.349030763450922</v>
      </c>
      <c r="I98" s="62">
        <v>8.8613015557627453</v>
      </c>
      <c r="J98" s="62">
        <v>1.0630953558233722</v>
      </c>
      <c r="K98" s="62">
        <v>5.9308920255014543</v>
      </c>
      <c r="L98" s="62">
        <v>10.279440293712213</v>
      </c>
    </row>
    <row r="99" spans="1:12" x14ac:dyDescent="0.35">
      <c r="A99" s="48" t="s">
        <v>146</v>
      </c>
      <c r="B99" s="54">
        <v>1</v>
      </c>
      <c r="C99" s="57">
        <v>3</v>
      </c>
      <c r="D99" s="57">
        <v>3.6579101333957427</v>
      </c>
      <c r="E99" s="57">
        <v>-0.65791013339574267</v>
      </c>
      <c r="F99" s="57">
        <v>-0.6600626138103366</v>
      </c>
      <c r="G99" s="57">
        <v>0.35120257258720011</v>
      </c>
      <c r="H99" s="57">
        <v>2.9396202215597569</v>
      </c>
      <c r="I99" s="57">
        <v>4.3762000452317285</v>
      </c>
      <c r="J99" s="57">
        <v>1.0568026457637147</v>
      </c>
      <c r="K99" s="57">
        <v>1.4965060364334954</v>
      </c>
      <c r="L99" s="57">
        <v>5.8193142303579899</v>
      </c>
    </row>
    <row r="100" spans="1:12" x14ac:dyDescent="0.35">
      <c r="A100" s="48" t="s">
        <v>147</v>
      </c>
      <c r="B100" s="54">
        <v>1</v>
      </c>
      <c r="C100" s="57">
        <v>5</v>
      </c>
      <c r="D100" s="57">
        <v>5.0197753334893527</v>
      </c>
      <c r="E100" s="57">
        <v>-1.9775333489352676E-2</v>
      </c>
      <c r="F100" s="57">
        <v>-1.9840032322623709E-2</v>
      </c>
      <c r="G100" s="57">
        <v>0.387253054230496</v>
      </c>
      <c r="H100" s="57">
        <v>4.2277539079846322</v>
      </c>
      <c r="I100" s="57">
        <v>5.8117967589940731</v>
      </c>
      <c r="J100" s="57">
        <v>1.0693238579177813</v>
      </c>
      <c r="K100" s="57">
        <v>2.8327624822746262</v>
      </c>
      <c r="L100" s="57">
        <v>7.2067881847040791</v>
      </c>
    </row>
    <row r="101" spans="1:12" x14ac:dyDescent="0.35">
      <c r="A101" s="48" t="s">
        <v>148</v>
      </c>
      <c r="B101" s="54">
        <v>1</v>
      </c>
      <c r="C101" s="57">
        <v>4</v>
      </c>
      <c r="D101" s="57">
        <v>5.0197753334893527</v>
      </c>
      <c r="E101" s="57">
        <v>-1.0197753334893527</v>
      </c>
      <c r="F101" s="57">
        <v>-1.02311172598614</v>
      </c>
      <c r="G101" s="57">
        <v>0.387253054230496</v>
      </c>
      <c r="H101" s="57">
        <v>4.2277539079846322</v>
      </c>
      <c r="I101" s="57">
        <v>5.8117967589940731</v>
      </c>
      <c r="J101" s="57">
        <v>1.0693238579177813</v>
      </c>
      <c r="K101" s="57">
        <v>2.8327624822746262</v>
      </c>
      <c r="L101" s="57">
        <v>7.2067881847040791</v>
      </c>
    </row>
    <row r="102" spans="1:12" x14ac:dyDescent="0.35">
      <c r="A102" s="48" t="s">
        <v>149</v>
      </c>
      <c r="B102" s="54">
        <v>1</v>
      </c>
      <c r="C102" s="57">
        <v>10</v>
      </c>
      <c r="D102" s="57">
        <v>9.4670313597004423</v>
      </c>
      <c r="E102" s="57">
        <v>0.53296864029955771</v>
      </c>
      <c r="F102" s="57">
        <v>0.53471235042287857</v>
      </c>
      <c r="G102" s="57">
        <v>0.30794881536950225</v>
      </c>
      <c r="H102" s="57">
        <v>8.8372053142581493</v>
      </c>
      <c r="I102" s="57">
        <v>10.096857405142735</v>
      </c>
      <c r="J102" s="57">
        <v>1.0432262736284972</v>
      </c>
      <c r="K102" s="57">
        <v>7.3333940614612789</v>
      </c>
      <c r="L102" s="57">
        <v>11.600668657939606</v>
      </c>
    </row>
    <row r="103" spans="1:12" x14ac:dyDescent="0.35">
      <c r="A103" s="48" t="s">
        <v>150</v>
      </c>
      <c r="B103" s="54">
        <v>1</v>
      </c>
      <c r="C103" s="57">
        <v>8</v>
      </c>
      <c r="D103" s="57">
        <v>9.4670313597004423</v>
      </c>
      <c r="E103" s="57">
        <v>-1.4670313597004423</v>
      </c>
      <c r="F103" s="57">
        <v>-1.4718310369041538</v>
      </c>
      <c r="G103" s="57">
        <v>0.30794881536950225</v>
      </c>
      <c r="H103" s="57">
        <v>8.8372053142581493</v>
      </c>
      <c r="I103" s="57">
        <v>10.096857405142735</v>
      </c>
      <c r="J103" s="57">
        <v>1.0432262736284972</v>
      </c>
      <c r="K103" s="57">
        <v>7.3333940614612789</v>
      </c>
      <c r="L103" s="57">
        <v>11.600668657939606</v>
      </c>
    </row>
    <row r="104" spans="1:12" x14ac:dyDescent="0.35">
      <c r="A104" s="48" t="s">
        <v>151</v>
      </c>
      <c r="B104" s="54">
        <v>1</v>
      </c>
      <c r="C104" s="57">
        <v>9</v>
      </c>
      <c r="D104" s="57">
        <v>9.4670313597004423</v>
      </c>
      <c r="E104" s="57">
        <v>-0.46703135970044229</v>
      </c>
      <c r="F104" s="57">
        <v>-0.46855934324063758</v>
      </c>
      <c r="G104" s="57">
        <v>0.30794881536950225</v>
      </c>
      <c r="H104" s="57">
        <v>8.8372053142581493</v>
      </c>
      <c r="I104" s="57">
        <v>10.096857405142735</v>
      </c>
      <c r="J104" s="57">
        <v>1.0432262736284972</v>
      </c>
      <c r="K104" s="57">
        <v>7.3333940614612789</v>
      </c>
      <c r="L104" s="57">
        <v>11.600668657939606</v>
      </c>
    </row>
    <row r="105" spans="1:12" x14ac:dyDescent="0.35">
      <c r="A105" s="48" t="s">
        <v>152</v>
      </c>
      <c r="B105" s="54">
        <v>1</v>
      </c>
      <c r="C105" s="57">
        <v>8</v>
      </c>
      <c r="D105" s="57">
        <v>6.2752164755441147</v>
      </c>
      <c r="E105" s="57">
        <v>1.7247835244558853</v>
      </c>
      <c r="F105" s="57">
        <v>1.7304264877837847</v>
      </c>
      <c r="G105" s="57">
        <v>0.24444522380275932</v>
      </c>
      <c r="H105" s="57">
        <v>5.7752698579537309</v>
      </c>
      <c r="I105" s="57">
        <v>6.7751630931344984</v>
      </c>
      <c r="J105" s="57">
        <v>1.0262758169913686</v>
      </c>
      <c r="K105" s="57">
        <v>4.1762467536662822</v>
      </c>
      <c r="L105" s="57">
        <v>8.3741861974219471</v>
      </c>
    </row>
    <row r="106" spans="1:12" x14ac:dyDescent="0.35">
      <c r="A106" s="48" t="s">
        <v>153</v>
      </c>
      <c r="B106" s="54">
        <v>1</v>
      </c>
      <c r="C106" s="57">
        <v>7</v>
      </c>
      <c r="D106" s="57">
        <v>6.2752164755441147</v>
      </c>
      <c r="E106" s="57">
        <v>0.72478352445588534</v>
      </c>
      <c r="F106" s="57">
        <v>0.72715479412026862</v>
      </c>
      <c r="G106" s="57">
        <v>0.24444522380275932</v>
      </c>
      <c r="H106" s="57">
        <v>5.7752698579537309</v>
      </c>
      <c r="I106" s="57">
        <v>6.7751630931344984</v>
      </c>
      <c r="J106" s="57">
        <v>1.0262758169913686</v>
      </c>
      <c r="K106" s="57">
        <v>4.1762467536662822</v>
      </c>
      <c r="L106" s="57">
        <v>8.3741861974219471</v>
      </c>
    </row>
    <row r="107" spans="1:12" x14ac:dyDescent="0.35">
      <c r="A107" s="48" t="s">
        <v>154</v>
      </c>
      <c r="B107" s="54">
        <v>1</v>
      </c>
      <c r="C107" s="57">
        <v>10</v>
      </c>
      <c r="D107" s="57">
        <v>9.4670313597004423</v>
      </c>
      <c r="E107" s="57">
        <v>0.53296864029955771</v>
      </c>
      <c r="F107" s="57">
        <v>0.53471235042287857</v>
      </c>
      <c r="G107" s="57">
        <v>0.30794881536950225</v>
      </c>
      <c r="H107" s="57">
        <v>8.8372053142581493</v>
      </c>
      <c r="I107" s="57">
        <v>10.096857405142735</v>
      </c>
      <c r="J107" s="57">
        <v>1.0432262736284972</v>
      </c>
      <c r="K107" s="57">
        <v>7.3333940614612789</v>
      </c>
      <c r="L107" s="57">
        <v>11.600668657939606</v>
      </c>
    </row>
    <row r="108" spans="1:12" x14ac:dyDescent="0.35">
      <c r="A108" s="48" t="s">
        <v>155</v>
      </c>
      <c r="B108" s="54">
        <v>1</v>
      </c>
      <c r="C108" s="57">
        <v>4</v>
      </c>
      <c r="D108" s="57">
        <v>4.3388427334425472</v>
      </c>
      <c r="E108" s="57">
        <v>-0.33884273344254723</v>
      </c>
      <c r="F108" s="57">
        <v>-0.33995132306647974</v>
      </c>
      <c r="G108" s="57">
        <v>0.31356024836201452</v>
      </c>
      <c r="H108" s="57">
        <v>3.6975400189093284</v>
      </c>
      <c r="I108" s="57">
        <v>4.9801454479757661</v>
      </c>
      <c r="J108" s="57">
        <v>1.0448964611166831</v>
      </c>
      <c r="K108" s="57">
        <v>2.2017895182446869</v>
      </c>
      <c r="L108" s="57">
        <v>6.4758959486404075</v>
      </c>
    </row>
    <row r="109" spans="1:12" x14ac:dyDescent="0.35">
      <c r="A109" s="48" t="s">
        <v>156</v>
      </c>
      <c r="B109" s="54">
        <v>1</v>
      </c>
      <c r="C109" s="57">
        <v>9</v>
      </c>
      <c r="D109" s="57">
        <v>8.1051661596068332</v>
      </c>
      <c r="E109" s="57">
        <v>0.89483384039316682</v>
      </c>
      <c r="F109" s="57">
        <v>0.89776146259868095</v>
      </c>
      <c r="G109" s="57">
        <v>0.36970684396140452</v>
      </c>
      <c r="H109" s="57">
        <v>7.349030763450922</v>
      </c>
      <c r="I109" s="57">
        <v>8.8613015557627453</v>
      </c>
      <c r="J109" s="57">
        <v>1.0630953558233722</v>
      </c>
      <c r="K109" s="57">
        <v>5.9308920255014543</v>
      </c>
      <c r="L109" s="57">
        <v>10.279440293712213</v>
      </c>
    </row>
    <row r="110" spans="1:12" x14ac:dyDescent="0.35">
      <c r="A110" s="48" t="s">
        <v>157</v>
      </c>
      <c r="B110" s="54">
        <v>1</v>
      </c>
      <c r="C110" s="57">
        <v>7</v>
      </c>
      <c r="D110" s="57">
        <v>6.2752164755441147</v>
      </c>
      <c r="E110" s="57">
        <v>0.72478352445588534</v>
      </c>
      <c r="F110" s="57">
        <v>0.72715479412026862</v>
      </c>
      <c r="G110" s="57">
        <v>0.24444522380275932</v>
      </c>
      <c r="H110" s="57">
        <v>5.7752698579537309</v>
      </c>
      <c r="I110" s="57">
        <v>6.7751630931344984</v>
      </c>
      <c r="J110" s="57">
        <v>1.0262758169913686</v>
      </c>
      <c r="K110" s="57">
        <v>4.1762467536662822</v>
      </c>
      <c r="L110" s="57">
        <v>8.3741861974219471</v>
      </c>
    </row>
    <row r="111" spans="1:12" x14ac:dyDescent="0.35">
      <c r="A111" s="48" t="s">
        <v>158</v>
      </c>
      <c r="B111" s="54">
        <v>1</v>
      </c>
      <c r="C111" s="57">
        <v>8</v>
      </c>
      <c r="D111" s="57">
        <v>7.5306576175988766</v>
      </c>
      <c r="E111" s="57">
        <v>0.46934238240112336</v>
      </c>
      <c r="F111" s="57">
        <v>0.47087792689964469</v>
      </c>
      <c r="G111" s="57">
        <v>0.1886082605475147</v>
      </c>
      <c r="H111" s="57">
        <v>7.1449104123827878</v>
      </c>
      <c r="I111" s="57">
        <v>7.9164048228149655</v>
      </c>
      <c r="J111" s="57">
        <v>1.0144267647534144</v>
      </c>
      <c r="K111" s="57">
        <v>5.4559219285888618</v>
      </c>
      <c r="L111" s="57">
        <v>9.6053933066088923</v>
      </c>
    </row>
    <row r="112" spans="1:12" x14ac:dyDescent="0.35">
      <c r="A112" s="48" t="s">
        <v>159</v>
      </c>
      <c r="B112" s="54">
        <v>1</v>
      </c>
      <c r="C112" s="57">
        <v>6</v>
      </c>
      <c r="D112" s="57">
        <v>5.5942838754973092</v>
      </c>
      <c r="E112" s="57">
        <v>0.40571612450269079</v>
      </c>
      <c r="F112" s="57">
        <v>0.4070435033764126</v>
      </c>
      <c r="G112" s="57">
        <v>0.21231266404736307</v>
      </c>
      <c r="H112" s="57">
        <v>5.1600557215951079</v>
      </c>
      <c r="I112" s="57">
        <v>6.0285120293995105</v>
      </c>
      <c r="J112" s="57">
        <v>1.0191002170621928</v>
      </c>
      <c r="K112" s="57">
        <v>3.5099899032944553</v>
      </c>
      <c r="L112" s="57">
        <v>7.6785778477001632</v>
      </c>
    </row>
    <row r="113" spans="1:12" x14ac:dyDescent="0.35">
      <c r="A113" s="48" t="s">
        <v>160</v>
      </c>
      <c r="B113" s="54">
        <v>1</v>
      </c>
      <c r="C113" s="57">
        <v>5</v>
      </c>
      <c r="D113" s="57">
        <v>5.5942838754973092</v>
      </c>
      <c r="E113" s="57">
        <v>-0.59428387549730921</v>
      </c>
      <c r="F113" s="57">
        <v>-0.59622819028710361</v>
      </c>
      <c r="G113" s="57">
        <v>0.21231266404736307</v>
      </c>
      <c r="H113" s="57">
        <v>5.1600557215951079</v>
      </c>
      <c r="I113" s="57">
        <v>6.0285120293995105</v>
      </c>
      <c r="J113" s="57">
        <v>1.0191002170621928</v>
      </c>
      <c r="K113" s="57">
        <v>3.5099899032944553</v>
      </c>
      <c r="L113" s="57">
        <v>7.6785778477001632</v>
      </c>
    </row>
    <row r="114" spans="1:12" x14ac:dyDescent="0.35">
      <c r="A114" s="48" t="s">
        <v>161</v>
      </c>
      <c r="B114" s="54">
        <v>1</v>
      </c>
      <c r="C114" s="57">
        <v>6</v>
      </c>
      <c r="D114" s="57">
        <v>6.8497250175520712</v>
      </c>
      <c r="E114" s="57">
        <v>-0.84972501755207119</v>
      </c>
      <c r="F114" s="57">
        <v>-0.85250505750772754</v>
      </c>
      <c r="G114" s="57">
        <v>0.24055014935470967</v>
      </c>
      <c r="H114" s="57">
        <v>6.357744721681013</v>
      </c>
      <c r="I114" s="57">
        <v>7.3417053134231294</v>
      </c>
      <c r="J114" s="57">
        <v>1.0253550406839054</v>
      </c>
      <c r="K114" s="57">
        <v>4.7526384946720039</v>
      </c>
      <c r="L114" s="57">
        <v>8.9468115404321384</v>
      </c>
    </row>
    <row r="115" spans="1:12" x14ac:dyDescent="0.35">
      <c r="A115" s="48" t="s">
        <v>162</v>
      </c>
      <c r="B115" s="54">
        <v>1</v>
      </c>
      <c r="C115" s="57">
        <v>8</v>
      </c>
      <c r="D115" s="57">
        <v>7.5306576175988766</v>
      </c>
      <c r="E115" s="57">
        <v>0.46934238240112336</v>
      </c>
      <c r="F115" s="57">
        <v>0.47087792689964469</v>
      </c>
      <c r="G115" s="57">
        <v>0.1886082605475147</v>
      </c>
      <c r="H115" s="57">
        <v>7.1449104123827878</v>
      </c>
      <c r="I115" s="57">
        <v>7.9164048228149655</v>
      </c>
      <c r="J115" s="57">
        <v>1.0144267647534144</v>
      </c>
      <c r="K115" s="57">
        <v>5.4559219285888618</v>
      </c>
      <c r="L115" s="57">
        <v>9.6053933066088923</v>
      </c>
    </row>
    <row r="116" spans="1:12" x14ac:dyDescent="0.35">
      <c r="A116" s="48" t="s">
        <v>163</v>
      </c>
      <c r="B116" s="54">
        <v>1</v>
      </c>
      <c r="C116" s="57">
        <v>7</v>
      </c>
      <c r="D116" s="57">
        <v>8.7860987596536386</v>
      </c>
      <c r="E116" s="57">
        <v>-1.7860987596536386</v>
      </c>
      <c r="F116" s="57">
        <v>-1.7919423276480115</v>
      </c>
      <c r="G116" s="57">
        <v>0.27825124174238963</v>
      </c>
      <c r="H116" s="57">
        <v>8.2170110720918679</v>
      </c>
      <c r="I116" s="57">
        <v>9.3551864472154094</v>
      </c>
      <c r="J116" s="57">
        <v>1.0348489448380869</v>
      </c>
      <c r="K116" s="57">
        <v>6.6695950225782132</v>
      </c>
      <c r="L116" s="57">
        <v>10.902602496729063</v>
      </c>
    </row>
    <row r="117" spans="1:12" x14ac:dyDescent="0.35">
      <c r="A117" s="48" t="s">
        <v>164</v>
      </c>
      <c r="B117" s="54">
        <v>1</v>
      </c>
      <c r="C117" s="57">
        <v>8</v>
      </c>
      <c r="D117" s="57">
        <v>5.5942838754973092</v>
      </c>
      <c r="E117" s="57">
        <v>2.4057161245026908</v>
      </c>
      <c r="F117" s="57">
        <v>2.4135868907034448</v>
      </c>
      <c r="G117" s="57">
        <v>0.21231266404736307</v>
      </c>
      <c r="H117" s="57">
        <v>5.1600557215951079</v>
      </c>
      <c r="I117" s="57">
        <v>6.0285120293995105</v>
      </c>
      <c r="J117" s="57">
        <v>1.0191002170621928</v>
      </c>
      <c r="K117" s="57">
        <v>3.5099899032944553</v>
      </c>
      <c r="L117" s="57">
        <v>7.6785778477001632</v>
      </c>
    </row>
    <row r="118" spans="1:12" x14ac:dyDescent="0.35">
      <c r="A118" s="48" t="s">
        <v>165</v>
      </c>
      <c r="B118" s="54">
        <v>1</v>
      </c>
      <c r="C118" s="57">
        <v>7</v>
      </c>
      <c r="D118" s="57">
        <v>6.1687924175052657</v>
      </c>
      <c r="E118" s="57">
        <v>0.83120758249473425</v>
      </c>
      <c r="F118" s="57">
        <v>0.83392703907544885</v>
      </c>
      <c r="G118" s="57">
        <v>0.39600983454884753</v>
      </c>
      <c r="H118" s="57">
        <v>5.358861365324123</v>
      </c>
      <c r="I118" s="57">
        <v>6.9787234696864084</v>
      </c>
      <c r="J118" s="57">
        <v>1.0725261647907363</v>
      </c>
      <c r="K118" s="57">
        <v>3.9752301133508818</v>
      </c>
      <c r="L118" s="57">
        <v>8.3623547216596492</v>
      </c>
    </row>
    <row r="119" spans="1:12" x14ac:dyDescent="0.35">
      <c r="A119" s="48" t="s">
        <v>166</v>
      </c>
      <c r="B119" s="54">
        <v>1</v>
      </c>
      <c r="C119" s="57">
        <v>4</v>
      </c>
      <c r="D119" s="57">
        <v>4.9133512754505038</v>
      </c>
      <c r="E119" s="57">
        <v>-0.91335127545050376</v>
      </c>
      <c r="F119" s="57">
        <v>-0.91633948103095963</v>
      </c>
      <c r="G119" s="57">
        <v>0.32721244396693466</v>
      </c>
      <c r="H119" s="57">
        <v>4.2441266857863988</v>
      </c>
      <c r="I119" s="57">
        <v>5.5825758651146087</v>
      </c>
      <c r="J119" s="57">
        <v>1.0490741482793933</v>
      </c>
      <c r="K119" s="57">
        <v>2.7677537306320614</v>
      </c>
      <c r="L119" s="57">
        <v>7.0589488202689461</v>
      </c>
    </row>
    <row r="120" spans="1:12" x14ac:dyDescent="0.35">
      <c r="A120" s="48" t="s">
        <v>167</v>
      </c>
      <c r="B120" s="54">
        <v>1</v>
      </c>
      <c r="C120" s="57">
        <v>3</v>
      </c>
      <c r="D120" s="57">
        <v>3.6579101333957427</v>
      </c>
      <c r="E120" s="57">
        <v>-0.65791013339574267</v>
      </c>
      <c r="F120" s="57">
        <v>-0.6600626138103366</v>
      </c>
      <c r="G120" s="57">
        <v>0.35120257258720011</v>
      </c>
      <c r="H120" s="57">
        <v>2.9396202215597569</v>
      </c>
      <c r="I120" s="57">
        <v>4.3762000452317285</v>
      </c>
      <c r="J120" s="57">
        <v>1.0568026457637147</v>
      </c>
      <c r="K120" s="57">
        <v>1.4965060364334954</v>
      </c>
      <c r="L120" s="57">
        <v>5.8193142303579899</v>
      </c>
    </row>
    <row r="121" spans="1:12" x14ac:dyDescent="0.35">
      <c r="A121" s="48" t="s">
        <v>168</v>
      </c>
      <c r="B121" s="54">
        <v>1</v>
      </c>
      <c r="C121" s="57">
        <v>9</v>
      </c>
      <c r="D121" s="57">
        <v>7.5306576175988766</v>
      </c>
      <c r="E121" s="57">
        <v>1.4693423824011234</v>
      </c>
      <c r="F121" s="57">
        <v>1.4741496205631608</v>
      </c>
      <c r="G121" s="57">
        <v>0.1886082605475147</v>
      </c>
      <c r="H121" s="57">
        <v>7.1449104123827878</v>
      </c>
      <c r="I121" s="57">
        <v>7.9164048228149655</v>
      </c>
      <c r="J121" s="57">
        <v>1.0144267647534144</v>
      </c>
      <c r="K121" s="57">
        <v>5.4559219285888618</v>
      </c>
      <c r="L121" s="57">
        <v>9.6053933066088923</v>
      </c>
    </row>
    <row r="122" spans="1:12" x14ac:dyDescent="0.35">
      <c r="A122" s="48" t="s">
        <v>169</v>
      </c>
      <c r="B122" s="54">
        <v>1</v>
      </c>
      <c r="C122" s="57">
        <v>8</v>
      </c>
      <c r="D122" s="57">
        <v>9.4670313597004423</v>
      </c>
      <c r="E122" s="57">
        <v>-1.4670313597004423</v>
      </c>
      <c r="F122" s="57">
        <v>-1.4718310369041538</v>
      </c>
      <c r="G122" s="57">
        <v>0.30794881536950225</v>
      </c>
      <c r="H122" s="57">
        <v>8.8372053142581493</v>
      </c>
      <c r="I122" s="57">
        <v>10.096857405142735</v>
      </c>
      <c r="J122" s="57">
        <v>1.0432262736284972</v>
      </c>
      <c r="K122" s="57">
        <v>7.3333940614612789</v>
      </c>
      <c r="L122" s="57">
        <v>11.600668657939606</v>
      </c>
    </row>
    <row r="123" spans="1:12" x14ac:dyDescent="0.35">
      <c r="A123" s="48" t="s">
        <v>170</v>
      </c>
      <c r="B123" s="54">
        <v>1</v>
      </c>
      <c r="C123" s="57">
        <v>5</v>
      </c>
      <c r="D123" s="57">
        <v>5.0197753334893527</v>
      </c>
      <c r="E123" s="57">
        <v>-1.9775333489352676E-2</v>
      </c>
      <c r="F123" s="57">
        <v>-1.9840032322623709E-2</v>
      </c>
      <c r="G123" s="57">
        <v>0.387253054230496</v>
      </c>
      <c r="H123" s="57">
        <v>4.2277539079846322</v>
      </c>
      <c r="I123" s="57">
        <v>5.8117967589940731</v>
      </c>
      <c r="J123" s="57">
        <v>1.0693238579177813</v>
      </c>
      <c r="K123" s="57">
        <v>2.8327624822746262</v>
      </c>
      <c r="L123" s="57">
        <v>7.2067881847040791</v>
      </c>
    </row>
    <row r="124" spans="1:12" x14ac:dyDescent="0.35">
      <c r="A124" s="48" t="s">
        <v>171</v>
      </c>
      <c r="B124" s="54">
        <v>1</v>
      </c>
      <c r="C124" s="57">
        <v>6</v>
      </c>
      <c r="D124" s="57">
        <v>6.8497250175520712</v>
      </c>
      <c r="E124" s="57">
        <v>-0.84972501755207119</v>
      </c>
      <c r="F124" s="57">
        <v>-0.85250505750772754</v>
      </c>
      <c r="G124" s="57">
        <v>0.24055014935470967</v>
      </c>
      <c r="H124" s="57">
        <v>6.357744721681013</v>
      </c>
      <c r="I124" s="57">
        <v>7.3417053134231294</v>
      </c>
      <c r="J124" s="57">
        <v>1.0253550406839054</v>
      </c>
      <c r="K124" s="57">
        <v>4.7526384946720039</v>
      </c>
      <c r="L124" s="57">
        <v>8.9468115404321384</v>
      </c>
    </row>
    <row r="125" spans="1:12" x14ac:dyDescent="0.35">
      <c r="A125" s="48" t="s">
        <v>172</v>
      </c>
      <c r="B125" s="54">
        <v>1</v>
      </c>
      <c r="C125" s="57">
        <v>10</v>
      </c>
      <c r="D125" s="57">
        <v>9.4670313597004423</v>
      </c>
      <c r="E125" s="57">
        <v>0.53296864029955771</v>
      </c>
      <c r="F125" s="57">
        <v>0.53471235042287857</v>
      </c>
      <c r="G125" s="57">
        <v>0.30794881536950225</v>
      </c>
      <c r="H125" s="57">
        <v>8.8372053142581493</v>
      </c>
      <c r="I125" s="57">
        <v>10.096857405142735</v>
      </c>
      <c r="J125" s="57">
        <v>1.0432262736284972</v>
      </c>
      <c r="K125" s="57">
        <v>7.3333940614612789</v>
      </c>
      <c r="L125" s="57">
        <v>11.600668657939606</v>
      </c>
    </row>
    <row r="126" spans="1:12" x14ac:dyDescent="0.35">
      <c r="A126" s="48" t="s">
        <v>173</v>
      </c>
      <c r="B126" s="54">
        <v>1</v>
      </c>
      <c r="C126" s="57">
        <v>9</v>
      </c>
      <c r="D126" s="57">
        <v>9.4670313597004423</v>
      </c>
      <c r="E126" s="57">
        <v>-0.46703135970044229</v>
      </c>
      <c r="F126" s="57">
        <v>-0.46855934324063758</v>
      </c>
      <c r="G126" s="57">
        <v>0.30794881536950225</v>
      </c>
      <c r="H126" s="57">
        <v>8.8372053142581493</v>
      </c>
      <c r="I126" s="57">
        <v>10.096857405142735</v>
      </c>
      <c r="J126" s="57">
        <v>1.0432262736284972</v>
      </c>
      <c r="K126" s="57">
        <v>7.3333940614612789</v>
      </c>
      <c r="L126" s="57">
        <v>11.600668657939606</v>
      </c>
    </row>
    <row r="127" spans="1:12" x14ac:dyDescent="0.35">
      <c r="A127" s="48" t="s">
        <v>174</v>
      </c>
      <c r="B127" s="54">
        <v>1</v>
      </c>
      <c r="C127" s="57">
        <v>3</v>
      </c>
      <c r="D127" s="57">
        <v>3.6579101333957427</v>
      </c>
      <c r="E127" s="57">
        <v>-0.65791013339574267</v>
      </c>
      <c r="F127" s="57">
        <v>-0.6600626138103366</v>
      </c>
      <c r="G127" s="57">
        <v>0.35120257258720011</v>
      </c>
      <c r="H127" s="57">
        <v>2.9396202215597569</v>
      </c>
      <c r="I127" s="57">
        <v>4.3762000452317285</v>
      </c>
      <c r="J127" s="57">
        <v>1.0568026457637147</v>
      </c>
      <c r="K127" s="57">
        <v>1.4965060364334954</v>
      </c>
      <c r="L127" s="57">
        <v>5.8193142303579899</v>
      </c>
    </row>
    <row r="128" spans="1:12" x14ac:dyDescent="0.35">
      <c r="A128" s="48" t="s">
        <v>175</v>
      </c>
      <c r="B128" s="54">
        <v>1</v>
      </c>
      <c r="C128" s="57">
        <v>6</v>
      </c>
      <c r="D128" s="57">
        <v>6.1687924175052657</v>
      </c>
      <c r="E128" s="57">
        <v>-0.16879241750526575</v>
      </c>
      <c r="F128" s="57">
        <v>-0.1693446545880673</v>
      </c>
      <c r="G128" s="57">
        <v>0.39600983454884753</v>
      </c>
      <c r="H128" s="57">
        <v>5.358861365324123</v>
      </c>
      <c r="I128" s="57">
        <v>6.9787234696864084</v>
      </c>
      <c r="J128" s="57">
        <v>1.0725261647907363</v>
      </c>
      <c r="K128" s="57">
        <v>3.9752301133508818</v>
      </c>
      <c r="L128" s="57">
        <v>8.3623547216596492</v>
      </c>
    </row>
    <row r="129" spans="1:12" ht="16" thickBot="1" x14ac:dyDescent="0.4">
      <c r="A129" s="52" t="s">
        <v>176</v>
      </c>
      <c r="B129" s="55">
        <v>1</v>
      </c>
      <c r="C129" s="58">
        <v>8</v>
      </c>
      <c r="D129" s="58">
        <v>8.2115902176456821</v>
      </c>
      <c r="E129" s="58">
        <v>-0.21159021764568209</v>
      </c>
      <c r="F129" s="58">
        <v>-0.21228247602001549</v>
      </c>
      <c r="G129" s="58">
        <v>0.29991647810009342</v>
      </c>
      <c r="H129" s="58">
        <v>7.5981921464821029</v>
      </c>
      <c r="I129" s="58">
        <v>8.8249882888092621</v>
      </c>
      <c r="J129" s="58">
        <v>1.0408835088218489</v>
      </c>
      <c r="K129" s="58">
        <v>6.0827444114335369</v>
      </c>
      <c r="L129" s="58">
        <v>10.340436023857826</v>
      </c>
    </row>
    <row r="148" spans="6:6" x14ac:dyDescent="0.35">
      <c r="F148" t="s">
        <v>141</v>
      </c>
    </row>
    <row r="167" spans="1:6" x14ac:dyDescent="0.35">
      <c r="F167" t="s">
        <v>141</v>
      </c>
    </row>
    <row r="170" spans="1:6" x14ac:dyDescent="0.35">
      <c r="A170" s="6" t="s">
        <v>196</v>
      </c>
    </row>
    <row r="172" spans="1:6" x14ac:dyDescent="0.35">
      <c r="A172" s="2" t="s">
        <v>241</v>
      </c>
    </row>
    <row r="173" spans="1:6" ht="16" thickBot="1" x14ac:dyDescent="0.4"/>
    <row r="174" spans="1:6" x14ac:dyDescent="0.35">
      <c r="A174" s="69" t="s">
        <v>198</v>
      </c>
      <c r="B174" s="82">
        <v>0.97516041306761925</v>
      </c>
    </row>
    <row r="175" spans="1:6" x14ac:dyDescent="0.35">
      <c r="A175" s="48" t="s">
        <v>199</v>
      </c>
      <c r="B175" s="72">
        <v>0.65186165970836729</v>
      </c>
    </row>
    <row r="176" spans="1:6" ht="16" thickBot="1" x14ac:dyDescent="0.4">
      <c r="A176" s="52" t="s">
        <v>200</v>
      </c>
      <c r="B176" s="55">
        <v>0.05</v>
      </c>
    </row>
    <row r="178" spans="1:9" x14ac:dyDescent="0.35">
      <c r="A178" s="2" t="s">
        <v>202</v>
      </c>
    </row>
    <row r="179" spans="1:9" x14ac:dyDescent="0.35">
      <c r="A179" s="2" t="s">
        <v>203</v>
      </c>
    </row>
    <row r="180" spans="1:9" x14ac:dyDescent="0.35">
      <c r="A180" s="2" t="s">
        <v>204</v>
      </c>
    </row>
    <row r="181" spans="1:9" ht="15.65" customHeight="1" x14ac:dyDescent="0.35">
      <c r="A181" s="102" t="s">
        <v>227</v>
      </c>
      <c r="B181" s="102"/>
      <c r="C181" s="102"/>
      <c r="D181" s="102"/>
      <c r="E181" s="102"/>
      <c r="F181" s="102"/>
      <c r="G181" s="102"/>
      <c r="H181" s="102"/>
      <c r="I181" s="102"/>
    </row>
    <row r="182" spans="1:9" x14ac:dyDescent="0.35">
      <c r="A182" s="102"/>
      <c r="B182" s="102"/>
      <c r="C182" s="102"/>
      <c r="D182" s="102"/>
      <c r="E182" s="102"/>
      <c r="F182" s="102"/>
      <c r="G182" s="102"/>
      <c r="H182" s="102"/>
      <c r="I182" s="102"/>
    </row>
    <row r="185" spans="1:9" x14ac:dyDescent="0.35">
      <c r="A185" s="2" t="s">
        <v>242</v>
      </c>
    </row>
    <row r="187" spans="1:9" x14ac:dyDescent="0.35">
      <c r="A187" s="103" t="s">
        <v>249</v>
      </c>
      <c r="B187" s="104"/>
      <c r="C187" s="104"/>
      <c r="D187" s="104"/>
      <c r="E187" s="104"/>
      <c r="F187" s="104"/>
      <c r="G187" s="104"/>
      <c r="H187" s="104"/>
    </row>
    <row r="188" spans="1:9" x14ac:dyDescent="0.35">
      <c r="A188" s="104"/>
      <c r="B188" s="104"/>
      <c r="C188" s="104"/>
      <c r="D188" s="104"/>
      <c r="E188" s="104"/>
      <c r="F188" s="104"/>
      <c r="G188" s="104"/>
      <c r="H188" s="104"/>
    </row>
    <row r="190" spans="1:9" x14ac:dyDescent="0.35">
      <c r="A190" s="103" t="s">
        <v>208</v>
      </c>
      <c r="B190" s="104"/>
      <c r="C190" s="104"/>
      <c r="D190" s="104"/>
      <c r="E190" s="104"/>
      <c r="F190" s="104"/>
      <c r="G190" s="104"/>
      <c r="H190" s="104"/>
    </row>
    <row r="191" spans="1:9" x14ac:dyDescent="0.35">
      <c r="A191" s="104"/>
      <c r="B191" s="104"/>
      <c r="C191" s="104"/>
      <c r="D191" s="104"/>
      <c r="E191" s="104"/>
      <c r="F191" s="104"/>
      <c r="G191" s="104"/>
      <c r="H191" s="104"/>
    </row>
    <row r="192" spans="1:9" x14ac:dyDescent="0.35">
      <c r="A192" s="104"/>
      <c r="B192" s="104"/>
      <c r="C192" s="104"/>
      <c r="D192" s="104"/>
      <c r="E192" s="104"/>
      <c r="F192" s="104"/>
      <c r="G192" s="104"/>
      <c r="H192" s="104"/>
    </row>
    <row r="996" spans="648:648" x14ac:dyDescent="0.35">
      <c r="XX996" s="47">
        <v>166765</v>
      </c>
    </row>
  </sheetData>
  <mergeCells count="3">
    <mergeCell ref="A181:I182"/>
    <mergeCell ref="A187:H188"/>
    <mergeCell ref="A190:H19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DD582594">
              <controlPr defaultSize="0" autoFill="0" autoPict="0" macro="[0]!GoToResultsNew211120250751312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5</xdr:col>
                    <xdr:colOff>12700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FAF9-1798-432A-A3B1-8127F96E78EE}">
  <sheetPr codeName="Sheet3_HID"/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3.42554528434355+(A1-1)*0.114998439815898</f>
        <v>3.4255452843435501</v>
      </c>
      <c r="D1">
        <f t="shared" ref="D1:D32" si="1">0+1*C1-2.03856009794164*(1.03125+(C1-6.84375)^2/115.407581032062)^0.5</f>
        <v>1.2561377751917342</v>
      </c>
      <c r="E1">
        <v>1</v>
      </c>
      <c r="G1">
        <f t="shared" ref="G1:G32" si="2">2.92632810671659+(E1-1)*0.122233471375709</f>
        <v>2.92632810671659</v>
      </c>
      <c r="H1">
        <f t="shared" ref="H1:H32" si="3">0+1*G1+2.03856009794164*(1.03125+(G1-6.84375)^2/115.407581032062)^0.5</f>
        <v>5.1259182836402282</v>
      </c>
    </row>
    <row r="2" spans="1:8" x14ac:dyDescent="0.35">
      <c r="A2">
        <v>2</v>
      </c>
      <c r="C2">
        <f t="shared" si="0"/>
        <v>3.540543724159448</v>
      </c>
      <c r="D2">
        <f t="shared" si="1"/>
        <v>1.3775606879005142</v>
      </c>
      <c r="E2">
        <v>2</v>
      </c>
      <c r="G2">
        <f t="shared" si="2"/>
        <v>3.0485615780922992</v>
      </c>
      <c r="H2">
        <f t="shared" si="3"/>
        <v>5.2404214561090843</v>
      </c>
    </row>
    <row r="3" spans="1:8" x14ac:dyDescent="0.35">
      <c r="A3">
        <v>3</v>
      </c>
      <c r="C3">
        <f t="shared" si="0"/>
        <v>3.6555421639753463</v>
      </c>
      <c r="D3">
        <f t="shared" si="1"/>
        <v>1.4987819303550429</v>
      </c>
      <c r="E3">
        <v>3</v>
      </c>
      <c r="G3">
        <f t="shared" si="2"/>
        <v>3.1707950494680079</v>
      </c>
      <c r="H3">
        <f t="shared" si="3"/>
        <v>5.355143586183388</v>
      </c>
    </row>
    <row r="4" spans="1:8" x14ac:dyDescent="0.35">
      <c r="A4">
        <v>4</v>
      </c>
      <c r="C4">
        <f t="shared" si="0"/>
        <v>3.7705406037912441</v>
      </c>
      <c r="D4">
        <f t="shared" si="1"/>
        <v>1.6197997520589267</v>
      </c>
      <c r="E4">
        <v>4</v>
      </c>
      <c r="G4">
        <f t="shared" si="2"/>
        <v>3.2930285208437171</v>
      </c>
      <c r="H4">
        <f t="shared" si="3"/>
        <v>5.4700869402233074</v>
      </c>
    </row>
    <row r="5" spans="1:8" x14ac:dyDescent="0.35">
      <c r="A5">
        <v>5</v>
      </c>
      <c r="C5">
        <f t="shared" si="0"/>
        <v>3.885539043607142</v>
      </c>
      <c r="D5">
        <f t="shared" si="1"/>
        <v>1.7406124404113674</v>
      </c>
      <c r="E5">
        <v>5</v>
      </c>
      <c r="G5">
        <f t="shared" si="2"/>
        <v>3.4152619922194258</v>
      </c>
      <c r="H5">
        <f t="shared" si="3"/>
        <v>5.5852537478449085</v>
      </c>
    </row>
    <row r="6" spans="1:8" x14ac:dyDescent="0.35">
      <c r="A6">
        <v>6</v>
      </c>
      <c r="C6">
        <f t="shared" si="0"/>
        <v>4.0005374834230398</v>
      </c>
      <c r="D6">
        <f t="shared" si="1"/>
        <v>1.8612183228754526</v>
      </c>
      <c r="E6">
        <v>6</v>
      </c>
      <c r="G6">
        <f t="shared" si="2"/>
        <v>3.537495463595135</v>
      </c>
      <c r="H6">
        <f t="shared" si="3"/>
        <v>5.7006461990094834</v>
      </c>
    </row>
    <row r="7" spans="1:8" x14ac:dyDescent="0.35">
      <c r="A7">
        <v>7</v>
      </c>
      <c r="C7">
        <f t="shared" si="0"/>
        <v>4.1155359232389381</v>
      </c>
      <c r="D7">
        <f t="shared" si="1"/>
        <v>1.9816157691381657</v>
      </c>
      <c r="E7">
        <v>7</v>
      </c>
      <c r="G7">
        <f t="shared" si="2"/>
        <v>3.6597289349708442</v>
      </c>
      <c r="H7">
        <f t="shared" si="3"/>
        <v>5.8162664410937452</v>
      </c>
    </row>
    <row r="8" spans="1:8" x14ac:dyDescent="0.35">
      <c r="A8">
        <v>8</v>
      </c>
      <c r="C8">
        <f t="shared" si="0"/>
        <v>4.2305343630548364</v>
      </c>
      <c r="D8">
        <f t="shared" si="1"/>
        <v>2.1018031932564383</v>
      </c>
      <c r="E8">
        <v>8</v>
      </c>
      <c r="G8">
        <f t="shared" si="2"/>
        <v>3.7819624063465529</v>
      </c>
      <c r="H8">
        <f t="shared" si="3"/>
        <v>5.932116575948351</v>
      </c>
    </row>
    <row r="9" spans="1:8" x14ac:dyDescent="0.35">
      <c r="A9">
        <v>9</v>
      </c>
      <c r="C9">
        <f t="shared" si="0"/>
        <v>4.3455328028707338</v>
      </c>
      <c r="D9">
        <f t="shared" si="1"/>
        <v>2.2217790557834194</v>
      </c>
      <c r="E9">
        <v>9</v>
      </c>
      <c r="G9">
        <f t="shared" si="2"/>
        <v>3.9041958777222621</v>
      </c>
      <c r="H9">
        <f t="shared" si="3"/>
        <v>6.0481986569525681</v>
      </c>
    </row>
    <row r="10" spans="1:8" x14ac:dyDescent="0.35">
      <c r="A10">
        <v>10</v>
      </c>
      <c r="C10">
        <f t="shared" si="0"/>
        <v>4.4605312426866321</v>
      </c>
      <c r="D10">
        <f t="shared" si="1"/>
        <v>2.3415418658690133</v>
      </c>
      <c r="E10">
        <v>10</v>
      </c>
      <c r="G10">
        <f t="shared" si="2"/>
        <v>4.0264293490979712</v>
      </c>
      <c r="H10">
        <f t="shared" si="3"/>
        <v>6.1645146860732352</v>
      </c>
    </row>
    <row r="11" spans="1:8" x14ac:dyDescent="0.35">
      <c r="A11">
        <v>11</v>
      </c>
      <c r="C11">
        <f t="shared" si="0"/>
        <v>4.5755296825025304</v>
      </c>
      <c r="D11">
        <f t="shared" si="1"/>
        <v>2.4610901833286261</v>
      </c>
      <c r="E11">
        <v>11</v>
      </c>
      <c r="G11">
        <f t="shared" si="2"/>
        <v>4.14866282047368</v>
      </c>
      <c r="H11">
        <f t="shared" si="3"/>
        <v>6.2810666109364632</v>
      </c>
    </row>
    <row r="12" spans="1:8" x14ac:dyDescent="0.35">
      <c r="A12">
        <v>12</v>
      </c>
      <c r="C12">
        <f t="shared" si="0"/>
        <v>4.6905281223184279</v>
      </c>
      <c r="D12">
        <f t="shared" si="1"/>
        <v>2.5804226206740135</v>
      </c>
      <c r="E12">
        <v>12</v>
      </c>
      <c r="G12">
        <f t="shared" si="2"/>
        <v>4.2708962918493896</v>
      </c>
      <c r="H12">
        <f t="shared" si="3"/>
        <v>6.3978563219208384</v>
      </c>
    </row>
    <row r="13" spans="1:8" x14ac:dyDescent="0.35">
      <c r="A13">
        <v>13</v>
      </c>
      <c r="C13">
        <f t="shared" si="0"/>
        <v>4.8055265621343262</v>
      </c>
      <c r="D13">
        <f t="shared" si="1"/>
        <v>2.6995378451000636</v>
      </c>
      <c r="E13">
        <v>13</v>
      </c>
      <c r="G13">
        <f t="shared" si="2"/>
        <v>4.3931297632250983</v>
      </c>
      <c r="H13">
        <f t="shared" si="3"/>
        <v>6.5148856492810552</v>
      </c>
    </row>
    <row r="14" spans="1:8" x14ac:dyDescent="0.35">
      <c r="A14">
        <v>14</v>
      </c>
      <c r="C14">
        <f t="shared" si="0"/>
        <v>4.9205250019502245</v>
      </c>
      <c r="D14">
        <f t="shared" si="1"/>
        <v>2.8184345804213184</v>
      </c>
      <c r="E14">
        <v>14</v>
      </c>
      <c r="G14">
        <f t="shared" si="2"/>
        <v>4.515363234600807</v>
      </c>
      <c r="H14">
        <f t="shared" si="3"/>
        <v>6.632156360311189</v>
      </c>
    </row>
    <row r="15" spans="1:8" x14ac:dyDescent="0.35">
      <c r="A15">
        <v>15</v>
      </c>
      <c r="C15">
        <f t="shared" si="0"/>
        <v>5.0355234417661219</v>
      </c>
      <c r="D15">
        <f t="shared" si="1"/>
        <v>2.9371116089521037</v>
      </c>
      <c r="E15">
        <v>15</v>
      </c>
      <c r="G15">
        <f t="shared" si="2"/>
        <v>4.6375967059765166</v>
      </c>
      <c r="H15">
        <f t="shared" si="3"/>
        <v>6.749670156556876</v>
      </c>
    </row>
    <row r="16" spans="1:8" x14ac:dyDescent="0.35">
      <c r="A16">
        <v>16</v>
      </c>
      <c r="C16">
        <f t="shared" si="0"/>
        <v>5.1505218815820202</v>
      </c>
      <c r="D16">
        <f t="shared" si="1"/>
        <v>3.0555677733241415</v>
      </c>
      <c r="E16">
        <v>16</v>
      </c>
      <c r="G16">
        <f t="shared" si="2"/>
        <v>4.7598301773522254</v>
      </c>
      <c r="H16">
        <f t="shared" si="3"/>
        <v>6.867428671085837</v>
      </c>
    </row>
    <row r="17" spans="1:8" x14ac:dyDescent="0.35">
      <c r="A17">
        <v>17</v>
      </c>
      <c r="C17">
        <f t="shared" si="0"/>
        <v>5.2655203213979185</v>
      </c>
      <c r="D17">
        <f t="shared" si="1"/>
        <v>3.1738019782356277</v>
      </c>
      <c r="E17">
        <v>17</v>
      </c>
      <c r="G17">
        <f t="shared" si="2"/>
        <v>4.8820636487279341</v>
      </c>
      <c r="H17">
        <f t="shared" si="3"/>
        <v>6.9854334658262083</v>
      </c>
    </row>
    <row r="18" spans="1:8" x14ac:dyDescent="0.35">
      <c r="A18">
        <v>18</v>
      </c>
      <c r="C18">
        <f t="shared" si="0"/>
        <v>5.3805187612138159</v>
      </c>
      <c r="D18">
        <f t="shared" si="1"/>
        <v>3.2918131921258715</v>
      </c>
      <c r="E18">
        <v>18</v>
      </c>
      <c r="G18">
        <f t="shared" si="2"/>
        <v>5.0042971201036437</v>
      </c>
      <c r="H18">
        <f t="shared" si="3"/>
        <v>7.1036860289821133</v>
      </c>
    </row>
    <row r="19" spans="1:8" x14ac:dyDescent="0.35">
      <c r="A19">
        <v>19</v>
      </c>
      <c r="C19">
        <f t="shared" si="0"/>
        <v>5.4955172010297142</v>
      </c>
      <c r="D19">
        <f t="shared" si="1"/>
        <v>3.4096004487697513</v>
      </c>
      <c r="E19">
        <v>19</v>
      </c>
      <c r="G19">
        <f t="shared" si="2"/>
        <v>5.1265305914793515</v>
      </c>
      <c r="H19">
        <f t="shared" si="3"/>
        <v>7.2221877725359054</v>
      </c>
    </row>
    <row r="20" spans="1:8" x14ac:dyDescent="0.35">
      <c r="A20">
        <v>20</v>
      </c>
      <c r="C20">
        <f t="shared" si="0"/>
        <v>5.6105156408456125</v>
      </c>
      <c r="D20">
        <f t="shared" si="1"/>
        <v>3.5271628487864115</v>
      </c>
      <c r="E20">
        <v>20</v>
      </c>
      <c r="G20">
        <f t="shared" si="2"/>
        <v>5.2487640628550611</v>
      </c>
      <c r="H20">
        <f t="shared" si="3"/>
        <v>7.3409400298463536</v>
      </c>
    </row>
    <row r="21" spans="1:8" x14ac:dyDescent="0.35">
      <c r="A21">
        <v>21</v>
      </c>
      <c r="C21">
        <f t="shared" si="0"/>
        <v>5.7255140806615099</v>
      </c>
      <c r="D21">
        <f t="shared" si="1"/>
        <v>3.6444995610568665</v>
      </c>
      <c r="E21">
        <v>21</v>
      </c>
      <c r="G21">
        <f t="shared" si="2"/>
        <v>5.3709975342307699</v>
      </c>
      <c r="H21">
        <f t="shared" si="3"/>
        <v>7.4599440533518457</v>
      </c>
    </row>
    <row r="22" spans="1:8" x14ac:dyDescent="0.35">
      <c r="A22">
        <v>22</v>
      </c>
      <c r="C22">
        <f t="shared" si="0"/>
        <v>5.8405125204774082</v>
      </c>
      <c r="D22">
        <f t="shared" si="1"/>
        <v>3.7616098240454217</v>
      </c>
      <c r="E22">
        <v>22</v>
      </c>
      <c r="G22">
        <f t="shared" si="2"/>
        <v>5.4932310056064786</v>
      </c>
      <c r="H22">
        <f t="shared" si="3"/>
        <v>7.5792010123875553</v>
      </c>
    </row>
    <row r="23" spans="1:8" x14ac:dyDescent="0.35">
      <c r="A23">
        <v>23</v>
      </c>
      <c r="C23">
        <f t="shared" si="0"/>
        <v>5.9555109602933065</v>
      </c>
      <c r="D23">
        <f t="shared" si="1"/>
        <v>3.8784929470200988</v>
      </c>
      <c r="E23">
        <v>23</v>
      </c>
      <c r="G23">
        <f t="shared" si="2"/>
        <v>5.6154644769821882</v>
      </c>
      <c r="H23">
        <f t="shared" si="3"/>
        <v>7.6987119911250694</v>
      </c>
    </row>
    <row r="24" spans="1:8" x14ac:dyDescent="0.35">
      <c r="A24">
        <v>24</v>
      </c>
      <c r="C24">
        <f t="shared" si="0"/>
        <v>6.0705094001092039</v>
      </c>
      <c r="D24">
        <f t="shared" si="1"/>
        <v>3.995148311167585</v>
      </c>
      <c r="E24">
        <v>24</v>
      </c>
      <c r="G24">
        <f t="shared" si="2"/>
        <v>5.7376979483578969</v>
      </c>
      <c r="H24">
        <f t="shared" si="3"/>
        <v>7.8184779866427734</v>
      </c>
    </row>
    <row r="25" spans="1:8" x14ac:dyDescent="0.35">
      <c r="A25">
        <v>25</v>
      </c>
      <c r="C25">
        <f t="shared" si="0"/>
        <v>6.1855078399251022</v>
      </c>
      <c r="D25">
        <f t="shared" si="1"/>
        <v>4.1115753705985671</v>
      </c>
      <c r="E25">
        <v>25</v>
      </c>
      <c r="G25">
        <f t="shared" si="2"/>
        <v>5.8599314197336057</v>
      </c>
      <c r="H25">
        <f t="shared" si="3"/>
        <v>7.938499907134779</v>
      </c>
    </row>
    <row r="26" spans="1:8" x14ac:dyDescent="0.35">
      <c r="A26">
        <v>26</v>
      </c>
      <c r="C26">
        <f t="shared" si="0"/>
        <v>6.3005062797410005</v>
      </c>
      <c r="D26">
        <f t="shared" si="1"/>
        <v>4.2277736532396606</v>
      </c>
      <c r="E26">
        <v>26</v>
      </c>
      <c r="G26">
        <f t="shared" si="2"/>
        <v>5.9821648911093153</v>
      </c>
      <c r="H26">
        <f t="shared" si="3"/>
        <v>8.0587785702657584</v>
      </c>
    </row>
    <row r="27" spans="1:8" x14ac:dyDescent="0.35">
      <c r="A27">
        <v>27</v>
      </c>
      <c r="C27">
        <f t="shared" si="0"/>
        <v>6.4155047195568979</v>
      </c>
      <c r="D27">
        <f t="shared" si="1"/>
        <v>4.3437427616085955</v>
      </c>
      <c r="E27">
        <v>27</v>
      </c>
      <c r="G27">
        <f t="shared" si="2"/>
        <v>6.104398362485024</v>
      </c>
      <c r="H27">
        <f t="shared" si="3"/>
        <v>8.1793147016785319</v>
      </c>
    </row>
    <row r="28" spans="1:8" x14ac:dyDescent="0.35">
      <c r="A28">
        <v>28</v>
      </c>
      <c r="C28">
        <f t="shared" si="0"/>
        <v>6.5305031593727954</v>
      </c>
      <c r="D28">
        <f t="shared" si="1"/>
        <v>4.4594823734696742</v>
      </c>
      <c r="E28">
        <v>28</v>
      </c>
      <c r="G28">
        <f t="shared" si="2"/>
        <v>6.2266318338607327</v>
      </c>
      <c r="H28">
        <f t="shared" si="3"/>
        <v>8.3001089336606757</v>
      </c>
    </row>
    <row r="29" spans="1:8" x14ac:dyDescent="0.35">
      <c r="A29">
        <v>29</v>
      </c>
      <c r="C29">
        <f t="shared" si="0"/>
        <v>6.6455015991886945</v>
      </c>
      <c r="D29">
        <f t="shared" si="1"/>
        <v>4.5749922423670109</v>
      </c>
      <c r="E29">
        <v>29</v>
      </c>
      <c r="G29">
        <f t="shared" si="2"/>
        <v>6.3488653052364423</v>
      </c>
      <c r="H29">
        <f t="shared" si="3"/>
        <v>8.4211618039758118</v>
      </c>
    </row>
    <row r="30" spans="1:8" x14ac:dyDescent="0.35">
      <c r="A30">
        <v>30</v>
      </c>
      <c r="C30">
        <f t="shared" si="0"/>
        <v>6.760500039004592</v>
      </c>
      <c r="D30">
        <f t="shared" si="1"/>
        <v>4.6902721980334912</v>
      </c>
      <c r="E30">
        <v>30</v>
      </c>
      <c r="G30">
        <f t="shared" si="2"/>
        <v>6.471098776612151</v>
      </c>
      <c r="H30">
        <f t="shared" si="3"/>
        <v>8.5424737548645648</v>
      </c>
    </row>
    <row r="31" spans="1:8" x14ac:dyDescent="0.35">
      <c r="A31">
        <v>31</v>
      </c>
      <c r="C31">
        <f t="shared" si="0"/>
        <v>6.8754984788204894</v>
      </c>
      <c r="D31">
        <f t="shared" si="1"/>
        <v>4.8053221466738893</v>
      </c>
      <c r="E31">
        <v>31</v>
      </c>
      <c r="G31">
        <f t="shared" si="2"/>
        <v>6.5933322479878598</v>
      </c>
      <c r="H31">
        <f t="shared" si="3"/>
        <v>8.6640451322195169</v>
      </c>
    </row>
    <row r="32" spans="1:8" x14ac:dyDescent="0.35">
      <c r="A32">
        <v>32</v>
      </c>
      <c r="C32">
        <f t="shared" si="0"/>
        <v>6.9904969186363886</v>
      </c>
      <c r="D32">
        <f t="shared" si="1"/>
        <v>4.9201420711210186</v>
      </c>
      <c r="E32">
        <v>32</v>
      </c>
      <c r="G32">
        <f t="shared" si="2"/>
        <v>6.7155657193635694</v>
      </c>
      <c r="H32">
        <f t="shared" si="3"/>
        <v>8.785876184937722</v>
      </c>
    </row>
    <row r="33" spans="1:8" x14ac:dyDescent="0.35">
      <c r="A33">
        <v>33</v>
      </c>
      <c r="C33">
        <f t="shared" ref="C33:C64" si="4">3.42554528434355+(A33-1)*0.114998439815898</f>
        <v>7.105495358452286</v>
      </c>
      <c r="D33">
        <f t="shared" ref="D33:D64" si="5">0+1*C33-2.03856009794164*(1.03125+(C33-6.84375)^2/115.407581032062)^0.5</f>
        <v>5.0347320308643182</v>
      </c>
      <c r="E33">
        <v>33</v>
      </c>
      <c r="G33">
        <f t="shared" ref="G33:G64" si="6">2.92632810671659+(E33-1)*0.122233471375709</f>
        <v>6.8377991907392781</v>
      </c>
      <c r="H33">
        <f t="shared" ref="H33:H64" si="7">0+1*G33+2.03856009794164*(1.03125+(G33-6.84375)^2/115.407581032062)^0.5</f>
        <v>8.9079670644535831</v>
      </c>
    </row>
    <row r="34" spans="1:8" x14ac:dyDescent="0.35">
      <c r="A34">
        <v>34</v>
      </c>
      <c r="C34">
        <f t="shared" si="4"/>
        <v>7.2204937982681834</v>
      </c>
      <c r="D34">
        <f t="shared" si="5"/>
        <v>5.1490921619507937</v>
      </c>
      <c r="E34">
        <v>34</v>
      </c>
      <c r="G34">
        <f t="shared" si="6"/>
        <v>6.9600326621149868</v>
      </c>
      <c r="H34">
        <f t="shared" si="7"/>
        <v>9.0303178244541797</v>
      </c>
    </row>
    <row r="35" spans="1:8" x14ac:dyDescent="0.35">
      <c r="A35">
        <v>35</v>
      </c>
      <c r="C35">
        <f t="shared" si="4"/>
        <v>7.3354922380840826</v>
      </c>
      <c r="D35">
        <f t="shared" si="5"/>
        <v>5.2632226767586543</v>
      </c>
      <c r="E35">
        <v>35</v>
      </c>
      <c r="G35">
        <f t="shared" si="6"/>
        <v>7.0822661334906964</v>
      </c>
      <c r="H35">
        <f t="shared" si="7"/>
        <v>9.1529284207782453</v>
      </c>
    </row>
    <row r="36" spans="1:8" x14ac:dyDescent="0.35">
      <c r="A36">
        <v>36</v>
      </c>
      <c r="C36">
        <f t="shared" si="4"/>
        <v>7.45049067789998</v>
      </c>
      <c r="D36">
        <f t="shared" si="5"/>
        <v>5.3771238636445364</v>
      </c>
      <c r="E36">
        <v>36</v>
      </c>
      <c r="G36">
        <f t="shared" si="6"/>
        <v>7.2044996048664052</v>
      </c>
      <c r="H36">
        <f t="shared" si="7"/>
        <v>9.2757987114992577</v>
      </c>
    </row>
    <row r="37" spans="1:8" x14ac:dyDescent="0.35">
      <c r="A37">
        <v>37</v>
      </c>
      <c r="C37">
        <f t="shared" si="4"/>
        <v>7.5654891177158783</v>
      </c>
      <c r="D37">
        <f t="shared" si="5"/>
        <v>5.4907960864657097</v>
      </c>
      <c r="E37">
        <v>37</v>
      </c>
      <c r="G37">
        <f t="shared" si="6"/>
        <v>7.3267330762421139</v>
      </c>
      <c r="H37">
        <f t="shared" si="7"/>
        <v>9.3989284571922962</v>
      </c>
    </row>
    <row r="38" spans="1:8" x14ac:dyDescent="0.35">
      <c r="A38">
        <v>38</v>
      </c>
      <c r="C38">
        <f t="shared" si="4"/>
        <v>7.6804875575317757</v>
      </c>
      <c r="D38">
        <f t="shared" si="5"/>
        <v>5.6042397839790574</v>
      </c>
      <c r="E38">
        <v>38</v>
      </c>
      <c r="G38">
        <f t="shared" si="6"/>
        <v>7.4489665476178235</v>
      </c>
      <c r="H38">
        <f t="shared" si="7"/>
        <v>9.5223173213834595</v>
      </c>
    </row>
    <row r="39" spans="1:8" x14ac:dyDescent="0.35">
      <c r="A39">
        <v>39</v>
      </c>
      <c r="C39">
        <f t="shared" si="4"/>
        <v>7.795485997347674</v>
      </c>
      <c r="D39">
        <f t="shared" si="5"/>
        <v>5.7174554691191819</v>
      </c>
      <c r="E39">
        <v>39</v>
      </c>
      <c r="G39">
        <f t="shared" si="6"/>
        <v>7.5712000189935322</v>
      </c>
      <c r="H39">
        <f t="shared" si="7"/>
        <v>9.6459648711798991</v>
      </c>
    </row>
    <row r="40" spans="1:8" x14ac:dyDescent="0.35">
      <c r="A40">
        <v>40</v>
      </c>
      <c r="C40">
        <f t="shared" si="4"/>
        <v>7.9104844371635723</v>
      </c>
      <c r="D40">
        <f t="shared" si="5"/>
        <v>5.8304437281583583</v>
      </c>
      <c r="E40">
        <v>40</v>
      </c>
      <c r="G40">
        <f t="shared" si="6"/>
        <v>7.693433490369241</v>
      </c>
      <c r="H40">
        <f t="shared" si="7"/>
        <v>9.7698705780777377</v>
      </c>
    </row>
    <row r="41" spans="1:8" x14ac:dyDescent="0.35">
      <c r="A41">
        <v>41</v>
      </c>
      <c r="C41">
        <f t="shared" si="4"/>
        <v>8.0254828769794706</v>
      </c>
      <c r="D41">
        <f t="shared" si="5"/>
        <v>5.9432052197515493</v>
      </c>
      <c r="E41">
        <v>41</v>
      </c>
      <c r="G41">
        <f t="shared" si="6"/>
        <v>7.8156669617449497</v>
      </c>
      <c r="H41">
        <f t="shared" si="7"/>
        <v>9.8940338189443331</v>
      </c>
    </row>
    <row r="42" spans="1:8" x14ac:dyDescent="0.35">
      <c r="A42">
        <v>42</v>
      </c>
      <c r="C42">
        <f t="shared" si="4"/>
        <v>8.140481316795368</v>
      </c>
      <c r="D42">
        <f t="shared" si="5"/>
        <v>6.055740673870055</v>
      </c>
      <c r="E42">
        <v>42</v>
      </c>
      <c r="G42">
        <f t="shared" si="6"/>
        <v>7.9379004331206593</v>
      </c>
      <c r="H42">
        <f t="shared" si="7"/>
        <v>10.018453877170682</v>
      </c>
    </row>
    <row r="43" spans="1:8" x14ac:dyDescent="0.35">
      <c r="A43">
        <v>43</v>
      </c>
      <c r="C43">
        <f t="shared" si="4"/>
        <v>8.2554797566112654</v>
      </c>
      <c r="D43">
        <f t="shared" si="5"/>
        <v>6.1680508906277911</v>
      </c>
      <c r="E43">
        <v>43</v>
      </c>
      <c r="G43">
        <f t="shared" si="6"/>
        <v>8.060133904496368</v>
      </c>
      <c r="H43">
        <f t="shared" si="7"/>
        <v>10.143129943989013</v>
      </c>
    </row>
    <row r="44" spans="1:8" x14ac:dyDescent="0.35">
      <c r="A44">
        <v>44</v>
      </c>
      <c r="C44">
        <f t="shared" si="4"/>
        <v>8.3704781964271646</v>
      </c>
      <c r="D44">
        <f t="shared" si="5"/>
        <v>6.2801367390045204</v>
      </c>
      <c r="E44">
        <v>44</v>
      </c>
      <c r="G44">
        <f t="shared" si="6"/>
        <v>8.1823673758720759</v>
      </c>
      <c r="H44">
        <f t="shared" si="7"/>
        <v>10.268061119949991</v>
      </c>
    </row>
    <row r="45" spans="1:8" x14ac:dyDescent="0.35">
      <c r="A45">
        <v>45</v>
      </c>
      <c r="C45">
        <f t="shared" si="4"/>
        <v>8.485476636243062</v>
      </c>
      <c r="D45">
        <f t="shared" si="5"/>
        <v>6.3919991554707103</v>
      </c>
      <c r="E45">
        <v>45</v>
      </c>
      <c r="G45">
        <f t="shared" si="6"/>
        <v>8.3046008472477872</v>
      </c>
      <c r="H45">
        <f t="shared" si="7"/>
        <v>10.393246416553293</v>
      </c>
    </row>
    <row r="46" spans="1:8" x14ac:dyDescent="0.35">
      <c r="A46">
        <v>46</v>
      </c>
      <c r="C46">
        <f t="shared" si="4"/>
        <v>8.6004750760589594</v>
      </c>
      <c r="D46">
        <f t="shared" si="5"/>
        <v>6.5036391425189883</v>
      </c>
      <c r="E46">
        <v>46</v>
      </c>
      <c r="G46">
        <f t="shared" si="6"/>
        <v>8.4268343186234951</v>
      </c>
      <c r="H46">
        <f t="shared" si="7"/>
        <v>10.518684758024783</v>
      </c>
    </row>
    <row r="47" spans="1:8" x14ac:dyDescent="0.35">
      <c r="A47">
        <v>47</v>
      </c>
      <c r="C47">
        <f t="shared" si="4"/>
        <v>8.7154735158748586</v>
      </c>
      <c r="D47">
        <f t="shared" si="5"/>
        <v>6.615057767107416</v>
      </c>
      <c r="E47">
        <v>47</v>
      </c>
      <c r="G47">
        <f t="shared" si="6"/>
        <v>8.5490677899992029</v>
      </c>
      <c r="H47">
        <f t="shared" si="7"/>
        <v>10.644374983232996</v>
      </c>
    </row>
    <row r="48" spans="1:8" x14ac:dyDescent="0.35">
      <c r="A48">
        <v>48</v>
      </c>
      <c r="C48">
        <f t="shared" si="4"/>
        <v>8.830471955690756</v>
      </c>
      <c r="D48">
        <f t="shared" si="5"/>
        <v>6.7262561590200569</v>
      </c>
      <c r="E48">
        <v>48</v>
      </c>
      <c r="G48">
        <f t="shared" si="6"/>
        <v>8.6713012613749143</v>
      </c>
      <c r="H48">
        <f t="shared" si="7"/>
        <v>10.770315847737109</v>
      </c>
    </row>
    <row r="49" spans="1:8" x14ac:dyDescent="0.35">
      <c r="A49">
        <v>49</v>
      </c>
      <c r="C49">
        <f t="shared" si="4"/>
        <v>8.9454703955066535</v>
      </c>
      <c r="D49">
        <f t="shared" si="5"/>
        <v>6.8372355091505161</v>
      </c>
      <c r="E49">
        <v>49</v>
      </c>
      <c r="G49">
        <f t="shared" si="6"/>
        <v>8.7935347327506221</v>
      </c>
      <c r="H49">
        <f t="shared" si="7"/>
        <v>10.896506025958235</v>
      </c>
    </row>
    <row r="50" spans="1:8" x14ac:dyDescent="0.35">
      <c r="A50">
        <v>50</v>
      </c>
      <c r="C50">
        <f t="shared" si="4"/>
        <v>9.0604688353225526</v>
      </c>
      <c r="D50">
        <f t="shared" si="5"/>
        <v>6.947997067714283</v>
      </c>
      <c r="E50">
        <v>50</v>
      </c>
      <c r="G50">
        <f t="shared" si="6"/>
        <v>8.91576820412633</v>
      </c>
      <c r="H50">
        <f t="shared" si="7"/>
        <v>11.022944113465515</v>
      </c>
    </row>
    <row r="51" spans="1:8" x14ac:dyDescent="0.35">
      <c r="A51">
        <v>51</v>
      </c>
      <c r="C51">
        <f t="shared" si="4"/>
        <v>9.1754672751384501</v>
      </c>
      <c r="D51">
        <f t="shared" si="5"/>
        <v>7.0585421423958437</v>
      </c>
      <c r="E51">
        <v>51</v>
      </c>
      <c r="G51">
        <f t="shared" si="6"/>
        <v>9.0380016755020414</v>
      </c>
      <c r="H51">
        <f t="shared" si="7"/>
        <v>11.149628629368092</v>
      </c>
    </row>
    <row r="52" spans="1:8" x14ac:dyDescent="0.35">
      <c r="A52">
        <v>52</v>
      </c>
      <c r="C52">
        <f t="shared" si="4"/>
        <v>9.2904657149543475</v>
      </c>
      <c r="D52">
        <f t="shared" si="5"/>
        <v>7.1688720964366652</v>
      </c>
      <c r="E52">
        <v>52</v>
      </c>
      <c r="G52">
        <f t="shared" si="6"/>
        <v>9.1602351468777492</v>
      </c>
      <c r="H52">
        <f t="shared" si="7"/>
        <v>11.276558018803929</v>
      </c>
    </row>
    <row r="53" spans="1:8" x14ac:dyDescent="0.35">
      <c r="A53">
        <v>53</v>
      </c>
      <c r="C53">
        <f t="shared" si="4"/>
        <v>9.4054641547702467</v>
      </c>
      <c r="D53">
        <f t="shared" si="5"/>
        <v>7.2789883466701486</v>
      </c>
      <c r="E53">
        <v>53</v>
      </c>
      <c r="G53">
        <f t="shared" si="6"/>
        <v>9.282468618253457</v>
      </c>
      <c r="H53">
        <f t="shared" si="7"/>
        <v>11.403730655516227</v>
      </c>
    </row>
    <row r="54" spans="1:8" x14ac:dyDescent="0.35">
      <c r="A54">
        <v>54</v>
      </c>
      <c r="C54">
        <f t="shared" si="4"/>
        <v>9.5204625945861441</v>
      </c>
      <c r="D54">
        <f t="shared" si="5"/>
        <v>7.3888923615097539</v>
      </c>
      <c r="E54">
        <v>54</v>
      </c>
      <c r="G54">
        <f t="shared" si="6"/>
        <v>9.4047020896291684</v>
      </c>
      <c r="H54">
        <f t="shared" si="7"/>
        <v>11.531144844507981</v>
      </c>
    </row>
    <row r="55" spans="1:8" x14ac:dyDescent="0.35">
      <c r="A55">
        <v>55</v>
      </c>
      <c r="C55">
        <f t="shared" si="4"/>
        <v>9.6354610344020415</v>
      </c>
      <c r="D55">
        <f t="shared" si="5"/>
        <v>7.4985856588964719</v>
      </c>
      <c r="E55">
        <v>55</v>
      </c>
      <c r="G55">
        <f t="shared" si="6"/>
        <v>9.5269355610048763</v>
      </c>
      <c r="H55">
        <f t="shared" si="7"/>
        <v>11.658798824765256</v>
      </c>
    </row>
    <row r="56" spans="1:8" x14ac:dyDescent="0.35">
      <c r="A56">
        <v>56</v>
      </c>
      <c r="C56">
        <f t="shared" si="4"/>
        <v>9.7504594742179407</v>
      </c>
      <c r="D56">
        <f t="shared" si="5"/>
        <v>7.608069804211766</v>
      </c>
      <c r="E56">
        <v>56</v>
      </c>
      <c r="G56">
        <f t="shared" si="6"/>
        <v>9.6491690323805841</v>
      </c>
      <c r="H56">
        <f t="shared" si="7"/>
        <v>11.786690772039762</v>
      </c>
    </row>
    <row r="57" spans="1:8" x14ac:dyDescent="0.35">
      <c r="A57">
        <v>57</v>
      </c>
      <c r="C57">
        <f t="shared" si="4"/>
        <v>9.8654579140338381</v>
      </c>
      <c r="D57">
        <f t="shared" si="5"/>
        <v>7.7173464081620828</v>
      </c>
      <c r="E57">
        <v>57</v>
      </c>
      <c r="G57">
        <f t="shared" si="6"/>
        <v>9.7714025037562955</v>
      </c>
      <c r="H57">
        <f t="shared" si="7"/>
        <v>11.914818801681221</v>
      </c>
    </row>
    <row r="58" spans="1:8" x14ac:dyDescent="0.35">
      <c r="A58">
        <v>58</v>
      </c>
      <c r="C58">
        <f t="shared" si="4"/>
        <v>9.9804563538497355</v>
      </c>
      <c r="D58">
        <f t="shared" si="5"/>
        <v>7.826417124640936</v>
      </c>
      <c r="E58">
        <v>58</v>
      </c>
      <c r="G58">
        <f t="shared" si="6"/>
        <v>9.8936359751320033</v>
      </c>
      <c r="H58">
        <f t="shared" si="7"/>
        <v>12.043180971510276</v>
      </c>
    </row>
    <row r="59" spans="1:8" x14ac:dyDescent="0.35">
      <c r="A59">
        <v>59</v>
      </c>
      <c r="C59">
        <f t="shared" si="4"/>
        <v>10.095454793665635</v>
      </c>
      <c r="D59">
        <f t="shared" si="5"/>
        <v>7.9352836485744369</v>
      </c>
      <c r="E59">
        <v>59</v>
      </c>
      <c r="G59">
        <f t="shared" si="6"/>
        <v>10.015869446507711</v>
      </c>
      <c r="H59">
        <f t="shared" si="7"/>
        <v>12.171775284722733</v>
      </c>
    </row>
    <row r="60" spans="1:8" x14ac:dyDescent="0.35">
      <c r="A60">
        <v>60</v>
      </c>
      <c r="C60">
        <f t="shared" si="4"/>
        <v>10.210453233481532</v>
      </c>
      <c r="D60">
        <f t="shared" si="5"/>
        <v>8.0439477137560118</v>
      </c>
      <c r="E60">
        <v>60</v>
      </c>
      <c r="G60">
        <f t="shared" si="6"/>
        <v>10.138102917883421</v>
      </c>
      <c r="H60">
        <f t="shared" si="7"/>
        <v>12.300599692816142</v>
      </c>
    </row>
    <row r="61" spans="1:8" x14ac:dyDescent="0.35">
      <c r="A61">
        <v>61</v>
      </c>
      <c r="C61">
        <f t="shared" si="4"/>
        <v>10.32545167329743</v>
      </c>
      <c r="D61">
        <f t="shared" si="5"/>
        <v>8.1524110906759155</v>
      </c>
      <c r="E61">
        <v>61</v>
      </c>
      <c r="G61">
        <f t="shared" si="6"/>
        <v>10.26033638925913</v>
      </c>
      <c r="H61">
        <f t="shared" si="7"/>
        <v>12.429652098529983</v>
      </c>
    </row>
    <row r="62" spans="1:8" x14ac:dyDescent="0.35">
      <c r="A62">
        <v>62</v>
      </c>
      <c r="C62">
        <f t="shared" si="4"/>
        <v>10.440450113113329</v>
      </c>
      <c r="D62">
        <f t="shared" si="5"/>
        <v>8.2606755843509383</v>
      </c>
      <c r="E62">
        <v>62</v>
      </c>
      <c r="G62">
        <f t="shared" si="6"/>
        <v>10.382569860634838</v>
      </c>
      <c r="H62">
        <f t="shared" si="7"/>
        <v>12.558930358790935</v>
      </c>
    </row>
    <row r="63" spans="1:8" x14ac:dyDescent="0.35">
      <c r="A63">
        <v>63</v>
      </c>
      <c r="C63">
        <f t="shared" si="4"/>
        <v>10.555448552929226</v>
      </c>
      <c r="D63">
        <f t="shared" si="5"/>
        <v>8.3687430321594718</v>
      </c>
      <c r="E63">
        <v>63</v>
      </c>
      <c r="G63">
        <f t="shared" si="6"/>
        <v>10.504803332010548</v>
      </c>
      <c r="H63">
        <f t="shared" si="7"/>
        <v>12.68843228765509</v>
      </c>
    </row>
    <row r="64" spans="1:8" x14ac:dyDescent="0.35">
      <c r="A64">
        <v>64</v>
      </c>
      <c r="C64">
        <f t="shared" si="4"/>
        <v>10.670446992745124</v>
      </c>
      <c r="D64">
        <f t="shared" si="5"/>
        <v>8.4766153016870103</v>
      </c>
      <c r="E64">
        <v>64</v>
      </c>
      <c r="G64">
        <f t="shared" si="6"/>
        <v>10.627036803386257</v>
      </c>
      <c r="H64">
        <f t="shared" si="7"/>
        <v>12.818155659239212</v>
      </c>
    </row>
    <row r="65" spans="1:8" x14ac:dyDescent="0.35">
      <c r="A65">
        <v>65</v>
      </c>
      <c r="C65">
        <f t="shared" ref="C65:C70" si="8">3.42554528434355+(A65-1)*0.114998439815898</f>
        <v>10.785445432561023</v>
      </c>
      <c r="D65">
        <f t="shared" ref="D65:D70" si="9">0+1*C65-2.03856009794164*(1.03125+(C65-6.84375)^2/115.407581032062)^0.5</f>
        <v>8.5842942885867526</v>
      </c>
      <c r="E65">
        <v>65</v>
      </c>
      <c r="G65">
        <f t="shared" ref="G65:G70" si="10">2.92632810671659+(E65-1)*0.122233471375709</f>
        <v>10.749270274761965</v>
      </c>
      <c r="H65">
        <f t="shared" ref="H65:H70" si="11">0+1*G65+2.03856009794164*(1.03125+(G65-6.84375)^2/115.407581032062)^0.5</f>
        <v>12.948098210633601</v>
      </c>
    </row>
    <row r="66" spans="1:8" x14ac:dyDescent="0.35">
      <c r="A66">
        <v>66</v>
      </c>
      <c r="C66">
        <f t="shared" si="8"/>
        <v>10.90044387237692</v>
      </c>
      <c r="D66">
        <f t="shared" si="9"/>
        <v>8.6917819144598791</v>
      </c>
      <c r="E66">
        <v>66</v>
      </c>
      <c r="G66">
        <f t="shared" si="10"/>
        <v>10.871503746137675</v>
      </c>
      <c r="H66">
        <f t="shared" si="11"/>
        <v>13.078257644789435</v>
      </c>
    </row>
    <row r="67" spans="1:8" x14ac:dyDescent="0.35">
      <c r="A67">
        <v>67</v>
      </c>
      <c r="C67">
        <f t="shared" si="8"/>
        <v>11.015442312192818</v>
      </c>
      <c r="D67">
        <f t="shared" si="9"/>
        <v>8.7990801247597705</v>
      </c>
      <c r="E67">
        <v>67</v>
      </c>
      <c r="G67">
        <f t="shared" si="10"/>
        <v>10.993737217513385</v>
      </c>
      <c r="H67">
        <f t="shared" si="11"/>
        <v>13.208631633373887</v>
      </c>
    </row>
    <row r="68" spans="1:8" x14ac:dyDescent="0.35">
      <c r="A68">
        <v>68</v>
      </c>
      <c r="C68">
        <f t="shared" si="8"/>
        <v>11.130440752008717</v>
      </c>
      <c r="D68">
        <f t="shared" si="9"/>
        <v>8.9061908867241488</v>
      </c>
      <c r="E68">
        <v>68</v>
      </c>
      <c r="G68">
        <f t="shared" si="10"/>
        <v>11.115970688889092</v>
      </c>
      <c r="H68">
        <f t="shared" si="11"/>
        <v>13.339217819586759</v>
      </c>
    </row>
    <row r="69" spans="1:8" x14ac:dyDescent="0.35">
      <c r="A69">
        <v>69</v>
      </c>
      <c r="C69">
        <f t="shared" si="8"/>
        <v>11.245439191824614</v>
      </c>
      <c r="D69">
        <f t="shared" si="9"/>
        <v>9.0131161873388841</v>
      </c>
      <c r="E69">
        <v>69</v>
      </c>
      <c r="G69">
        <f t="shared" si="10"/>
        <v>11.238204160264804</v>
      </c>
      <c r="H69">
        <f t="shared" si="11"/>
        <v>13.470013820932765</v>
      </c>
    </row>
    <row r="70" spans="1:8" x14ac:dyDescent="0.35">
      <c r="A70">
        <v>70</v>
      </c>
      <c r="C70">
        <f t="shared" si="8"/>
        <v>11.360437631640512</v>
      </c>
      <c r="D70">
        <f t="shared" si="9"/>
        <v>9.1198580313369781</v>
      </c>
      <c r="E70">
        <v>70</v>
      </c>
      <c r="G70">
        <f t="shared" si="10"/>
        <v>11.360437631640512</v>
      </c>
      <c r="H70">
        <f t="shared" si="11"/>
        <v>13.601017231944045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39F0-4CBF-494C-9CE1-6BDFD242A06D}">
  <sheetPr codeName="Sheet22"/>
  <dimension ref="A1:XX1000"/>
  <sheetViews>
    <sheetView workbookViewId="0">
      <selection activeCell="A2" sqref="A2"/>
    </sheetView>
  </sheetViews>
  <sheetFormatPr defaultRowHeight="15.5" x14ac:dyDescent="0.35"/>
  <cols>
    <col min="1" max="1" width="100.6640625" customWidth="1"/>
  </cols>
  <sheetData>
    <row r="1" spans="1:1" x14ac:dyDescent="0.35">
      <c r="A1" s="6" t="s">
        <v>85</v>
      </c>
    </row>
    <row r="2" spans="1:1" ht="409" customHeight="1" x14ac:dyDescent="0.35">
      <c r="A2" s="40" t="s">
        <v>249</v>
      </c>
    </row>
    <row r="1000" spans="648:648" x14ac:dyDescent="0.35">
      <c r="XX1000" s="47">
        <v>166765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26B6-ABAD-49D3-9673-67887F203FAE}">
  <sheetPr codeName="Sheet15"/>
  <dimension ref="A1:XX1000"/>
  <sheetViews>
    <sheetView zoomScaleNormal="100" workbookViewId="0">
      <selection activeCell="I10" sqref="I10"/>
    </sheetView>
  </sheetViews>
  <sheetFormatPr defaultColWidth="8.83203125" defaultRowHeight="15.5" x14ac:dyDescent="0.35"/>
  <cols>
    <col min="1" max="6" width="10.6640625" style="2" customWidth="1"/>
    <col min="7" max="7" width="8.83203125" style="2"/>
    <col min="8" max="8" width="65.6640625" style="2" customWidth="1"/>
    <col min="9" max="9" width="15.6640625" style="2" customWidth="1"/>
    <col min="10" max="16384" width="8.83203125" style="2"/>
  </cols>
  <sheetData>
    <row r="1" spans="1:10" ht="16" thickBot="1" x14ac:dyDescent="0.4">
      <c r="A1" s="16" t="s">
        <v>70</v>
      </c>
      <c r="B1" s="33" t="s">
        <v>65</v>
      </c>
      <c r="C1" s="32" t="s">
        <v>66</v>
      </c>
      <c r="D1" s="32" t="s">
        <v>67</v>
      </c>
      <c r="E1" s="32" t="s">
        <v>68</v>
      </c>
      <c r="F1" s="32" t="s">
        <v>69</v>
      </c>
    </row>
    <row r="2" spans="1:10" ht="16" thickBot="1" x14ac:dyDescent="0.4">
      <c r="A2" s="2">
        <v>1</v>
      </c>
      <c r="B2" s="11">
        <v>70</v>
      </c>
      <c r="C2" s="30">
        <v>5</v>
      </c>
      <c r="D2" s="30">
        <v>6</v>
      </c>
      <c r="E2" s="30">
        <v>10</v>
      </c>
      <c r="F2" s="30">
        <v>130</v>
      </c>
      <c r="H2" s="41" t="s">
        <v>80</v>
      </c>
      <c r="J2" s="6"/>
    </row>
    <row r="3" spans="1:10" ht="16" thickBot="1" x14ac:dyDescent="0.4">
      <c r="A3" s="2">
        <v>2</v>
      </c>
      <c r="B3" s="11">
        <v>70</v>
      </c>
      <c r="C3" s="30">
        <v>7</v>
      </c>
      <c r="D3" s="30">
        <v>5</v>
      </c>
      <c r="E3" s="30">
        <v>9</v>
      </c>
      <c r="F3" s="30">
        <v>260</v>
      </c>
      <c r="H3" s="42" t="s">
        <v>84</v>
      </c>
      <c r="I3" s="93" t="s">
        <v>71</v>
      </c>
      <c r="J3"/>
    </row>
    <row r="4" spans="1:10" ht="18" thickBot="1" x14ac:dyDescent="0.4">
      <c r="A4" s="2">
        <v>3</v>
      </c>
      <c r="B4" s="11">
        <v>50</v>
      </c>
      <c r="C4" s="30">
        <v>8</v>
      </c>
      <c r="D4" s="30">
        <v>0</v>
      </c>
      <c r="E4" s="30">
        <v>14</v>
      </c>
      <c r="F4" s="30">
        <v>140</v>
      </c>
      <c r="H4" s="43" t="s">
        <v>79</v>
      </c>
      <c r="I4" s="44" t="s">
        <v>210</v>
      </c>
      <c r="J4"/>
    </row>
    <row r="5" spans="1:10" ht="18" thickBot="1" x14ac:dyDescent="0.4">
      <c r="A5" s="2">
        <v>4</v>
      </c>
      <c r="B5" s="11">
        <v>110</v>
      </c>
      <c r="C5" s="30">
        <v>14</v>
      </c>
      <c r="D5" s="30">
        <v>8</v>
      </c>
      <c r="E5" s="30">
        <v>1</v>
      </c>
      <c r="F5" s="30">
        <v>200</v>
      </c>
      <c r="H5" s="45" t="s">
        <v>82</v>
      </c>
      <c r="I5" s="46">
        <v>2</v>
      </c>
      <c r="J5"/>
    </row>
    <row r="6" spans="1:10" x14ac:dyDescent="0.35">
      <c r="A6" s="2">
        <v>5</v>
      </c>
      <c r="B6" s="11">
        <v>110</v>
      </c>
      <c r="C6" s="31">
        <v>10.5</v>
      </c>
      <c r="D6" s="30">
        <v>10</v>
      </c>
      <c r="E6" s="31">
        <v>1.5</v>
      </c>
      <c r="F6" s="30">
        <v>180</v>
      </c>
      <c r="H6"/>
      <c r="I6"/>
      <c r="J6"/>
    </row>
    <row r="7" spans="1:10" ht="16" thickBot="1" x14ac:dyDescent="0.4">
      <c r="A7" s="2">
        <v>6</v>
      </c>
      <c r="B7" s="11">
        <v>110</v>
      </c>
      <c r="C7" s="30">
        <v>11</v>
      </c>
      <c r="D7" s="30">
        <v>14</v>
      </c>
      <c r="E7" s="30">
        <v>1</v>
      </c>
      <c r="F7" s="30">
        <v>125</v>
      </c>
      <c r="H7"/>
      <c r="I7"/>
      <c r="J7"/>
    </row>
    <row r="8" spans="1:10" ht="16" thickBot="1" x14ac:dyDescent="0.4">
      <c r="A8" s="2">
        <v>7</v>
      </c>
      <c r="B8" s="11">
        <v>130</v>
      </c>
      <c r="C8" s="30">
        <v>18</v>
      </c>
      <c r="D8" s="30">
        <v>8</v>
      </c>
      <c r="E8" s="30">
        <v>2</v>
      </c>
      <c r="F8" s="30">
        <v>210</v>
      </c>
      <c r="H8" s="41" t="s">
        <v>81</v>
      </c>
      <c r="J8"/>
    </row>
    <row r="9" spans="1:10" ht="16" thickBot="1" x14ac:dyDescent="0.4">
      <c r="A9" s="2">
        <v>8</v>
      </c>
      <c r="B9" s="11">
        <v>90</v>
      </c>
      <c r="C9" s="30">
        <v>15</v>
      </c>
      <c r="D9" s="30">
        <v>6</v>
      </c>
      <c r="E9" s="30">
        <v>4</v>
      </c>
      <c r="F9" s="30">
        <v>200</v>
      </c>
      <c r="H9" s="42" t="s">
        <v>84</v>
      </c>
      <c r="I9" s="93" t="s">
        <v>71</v>
      </c>
      <c r="J9"/>
    </row>
    <row r="10" spans="1:10" ht="18" thickBot="1" x14ac:dyDescent="0.4">
      <c r="A10" s="2">
        <v>9</v>
      </c>
      <c r="B10" s="11">
        <v>90</v>
      </c>
      <c r="C10" s="30">
        <v>13</v>
      </c>
      <c r="D10" s="30">
        <v>5</v>
      </c>
      <c r="E10" s="30">
        <v>5</v>
      </c>
      <c r="F10" s="30">
        <v>210</v>
      </c>
      <c r="H10" s="43" t="s">
        <v>79</v>
      </c>
      <c r="I10" s="44" t="s">
        <v>210</v>
      </c>
    </row>
    <row r="11" spans="1:10" ht="18" thickBot="1" x14ac:dyDescent="0.4">
      <c r="A11" s="2">
        <v>10</v>
      </c>
      <c r="B11" s="11">
        <v>120</v>
      </c>
      <c r="C11" s="30">
        <v>12</v>
      </c>
      <c r="D11" s="30">
        <v>12</v>
      </c>
      <c r="E11" s="30">
        <v>0</v>
      </c>
      <c r="F11" s="30">
        <v>220</v>
      </c>
      <c r="H11" s="45" t="s">
        <v>83</v>
      </c>
      <c r="I11" s="46">
        <v>2</v>
      </c>
    </row>
    <row r="12" spans="1:10" x14ac:dyDescent="0.35">
      <c r="A12" s="2">
        <v>11</v>
      </c>
      <c r="B12" s="11">
        <v>110</v>
      </c>
      <c r="C12" s="30">
        <v>17</v>
      </c>
      <c r="D12" s="30">
        <v>1</v>
      </c>
      <c r="E12" s="30">
        <v>2</v>
      </c>
      <c r="F12" s="30">
        <v>290</v>
      </c>
    </row>
    <row r="13" spans="1:10" x14ac:dyDescent="0.35">
      <c r="A13" s="2">
        <v>12</v>
      </c>
      <c r="B13" s="11">
        <v>120</v>
      </c>
      <c r="C13" s="30">
        <v>13</v>
      </c>
      <c r="D13" s="30">
        <v>9</v>
      </c>
      <c r="E13" s="30">
        <v>0</v>
      </c>
      <c r="F13" s="30">
        <v>210</v>
      </c>
    </row>
    <row r="14" spans="1:10" x14ac:dyDescent="0.35">
      <c r="A14" s="2">
        <v>13</v>
      </c>
      <c r="B14" s="11">
        <v>110</v>
      </c>
      <c r="C14" s="30">
        <v>13</v>
      </c>
      <c r="D14" s="30">
        <v>7</v>
      </c>
      <c r="E14" s="30">
        <v>2</v>
      </c>
      <c r="F14" s="30">
        <v>140</v>
      </c>
    </row>
    <row r="15" spans="1:10" x14ac:dyDescent="0.35">
      <c r="A15" s="2">
        <v>14</v>
      </c>
      <c r="B15" s="11">
        <v>110</v>
      </c>
      <c r="C15" s="30">
        <v>12</v>
      </c>
      <c r="D15" s="30">
        <v>13</v>
      </c>
      <c r="E15" s="30">
        <v>0</v>
      </c>
      <c r="F15" s="30">
        <v>180</v>
      </c>
    </row>
    <row r="16" spans="1:10" x14ac:dyDescent="0.35">
      <c r="A16" s="2">
        <v>15</v>
      </c>
      <c r="B16" s="11">
        <v>110</v>
      </c>
      <c r="C16" s="30">
        <v>22</v>
      </c>
      <c r="D16" s="30">
        <v>3</v>
      </c>
      <c r="E16" s="30">
        <v>0</v>
      </c>
      <c r="F16" s="30">
        <v>280</v>
      </c>
    </row>
    <row r="17" spans="1:9" x14ac:dyDescent="0.35">
      <c r="A17" s="2">
        <v>16</v>
      </c>
      <c r="B17" s="11">
        <v>100</v>
      </c>
      <c r="C17" s="30">
        <v>21</v>
      </c>
      <c r="D17" s="30">
        <v>2</v>
      </c>
      <c r="E17" s="30">
        <v>1</v>
      </c>
      <c r="F17" s="30">
        <v>290</v>
      </c>
    </row>
    <row r="18" spans="1:9" x14ac:dyDescent="0.35">
      <c r="A18" s="2">
        <v>17</v>
      </c>
      <c r="B18" s="11">
        <v>110</v>
      </c>
      <c r="C18" s="30">
        <v>13</v>
      </c>
      <c r="D18" s="30">
        <v>12</v>
      </c>
      <c r="E18" s="30">
        <v>1</v>
      </c>
      <c r="F18" s="30">
        <v>90</v>
      </c>
    </row>
    <row r="19" spans="1:9" x14ac:dyDescent="0.35">
      <c r="A19" s="2">
        <v>18</v>
      </c>
      <c r="B19" s="11">
        <v>110</v>
      </c>
      <c r="C19" s="30">
        <v>12</v>
      </c>
      <c r="D19" s="30">
        <v>13</v>
      </c>
      <c r="E19" s="30">
        <v>0</v>
      </c>
      <c r="F19" s="30">
        <v>180</v>
      </c>
    </row>
    <row r="20" spans="1:9" x14ac:dyDescent="0.35">
      <c r="A20" s="2">
        <v>19</v>
      </c>
      <c r="B20" s="11">
        <v>110</v>
      </c>
      <c r="C20" s="30">
        <v>10</v>
      </c>
      <c r="D20" s="30">
        <v>7</v>
      </c>
      <c r="E20" s="30">
        <v>4</v>
      </c>
      <c r="F20" s="30">
        <v>140</v>
      </c>
      <c r="H20" s="6" t="s">
        <v>77</v>
      </c>
      <c r="I20" s="6"/>
    </row>
    <row r="21" spans="1:9" x14ac:dyDescent="0.35">
      <c r="A21" s="2">
        <v>20</v>
      </c>
      <c r="B21" s="11">
        <v>100</v>
      </c>
      <c r="C21" s="30">
        <v>21</v>
      </c>
      <c r="D21" s="30">
        <v>0</v>
      </c>
      <c r="E21" s="30">
        <v>1</v>
      </c>
      <c r="F21" s="30">
        <v>80</v>
      </c>
      <c r="H21"/>
      <c r="I21" s="20" t="s">
        <v>76</v>
      </c>
    </row>
    <row r="22" spans="1:9" x14ac:dyDescent="0.35">
      <c r="A22" s="2">
        <v>21</v>
      </c>
      <c r="B22" s="11">
        <v>110</v>
      </c>
      <c r="C22" s="30">
        <v>21</v>
      </c>
      <c r="D22" s="30">
        <v>3</v>
      </c>
      <c r="E22" s="30">
        <v>1</v>
      </c>
      <c r="F22" s="30">
        <v>220</v>
      </c>
      <c r="H22"/>
      <c r="I22" s="34" t="s">
        <v>74</v>
      </c>
    </row>
    <row r="23" spans="1:9" x14ac:dyDescent="0.35">
      <c r="A23" s="2">
        <v>22</v>
      </c>
      <c r="B23" s="11">
        <v>100</v>
      </c>
      <c r="C23" s="30">
        <v>11</v>
      </c>
      <c r="D23" s="30">
        <v>10</v>
      </c>
      <c r="E23" s="30">
        <v>2</v>
      </c>
      <c r="F23" s="30">
        <v>140</v>
      </c>
      <c r="H23"/>
      <c r="I23" s="38" t="s">
        <v>71</v>
      </c>
    </row>
    <row r="24" spans="1:9" x14ac:dyDescent="0.35">
      <c r="A24" s="2">
        <v>23</v>
      </c>
      <c r="B24" s="11">
        <v>100</v>
      </c>
      <c r="C24" s="30">
        <v>18</v>
      </c>
      <c r="D24" s="30">
        <v>5</v>
      </c>
      <c r="E24" s="30">
        <v>1</v>
      </c>
      <c r="F24" s="30">
        <v>190</v>
      </c>
      <c r="H24"/>
      <c r="I24"/>
    </row>
    <row r="25" spans="1:9" x14ac:dyDescent="0.35">
      <c r="A25" s="2">
        <v>24</v>
      </c>
      <c r="B25" s="11">
        <v>110</v>
      </c>
      <c r="C25" s="30">
        <v>11</v>
      </c>
      <c r="D25" s="30">
        <v>13</v>
      </c>
      <c r="E25" s="30">
        <v>1</v>
      </c>
      <c r="F25" s="30">
        <v>125</v>
      </c>
      <c r="H25" s="6" t="s">
        <v>78</v>
      </c>
      <c r="I25"/>
    </row>
    <row r="26" spans="1:9" x14ac:dyDescent="0.35">
      <c r="A26" s="2">
        <v>25</v>
      </c>
      <c r="B26" s="11">
        <v>110</v>
      </c>
      <c r="C26" s="30">
        <v>14</v>
      </c>
      <c r="D26" s="30">
        <v>11</v>
      </c>
      <c r="E26" s="30">
        <v>1</v>
      </c>
      <c r="F26" s="30">
        <v>200</v>
      </c>
      <c r="H26"/>
      <c r="I26" s="38" t="s">
        <v>72</v>
      </c>
    </row>
    <row r="27" spans="1:9" x14ac:dyDescent="0.35">
      <c r="A27" s="2">
        <v>26</v>
      </c>
      <c r="B27" s="11">
        <v>100</v>
      </c>
      <c r="C27" s="30">
        <v>14</v>
      </c>
      <c r="D27" s="30">
        <v>7</v>
      </c>
      <c r="E27" s="30">
        <v>3</v>
      </c>
      <c r="F27" s="30">
        <v>0</v>
      </c>
      <c r="H27"/>
      <c r="I27" s="20" t="s">
        <v>73</v>
      </c>
    </row>
    <row r="28" spans="1:9" x14ac:dyDescent="0.35">
      <c r="A28" s="2">
        <v>27</v>
      </c>
      <c r="B28" s="11">
        <v>120</v>
      </c>
      <c r="C28" s="30">
        <v>12</v>
      </c>
      <c r="D28" s="30">
        <v>10</v>
      </c>
      <c r="E28" s="30">
        <v>5</v>
      </c>
      <c r="F28" s="30">
        <v>160</v>
      </c>
    </row>
    <row r="29" spans="1:9" x14ac:dyDescent="0.35">
      <c r="A29" s="2">
        <v>28</v>
      </c>
      <c r="B29" s="11">
        <v>120</v>
      </c>
      <c r="C29" s="30">
        <v>14</v>
      </c>
      <c r="D29" s="30">
        <v>12</v>
      </c>
      <c r="E29" s="30">
        <v>5</v>
      </c>
      <c r="F29" s="30">
        <v>240</v>
      </c>
    </row>
    <row r="30" spans="1:9" x14ac:dyDescent="0.35">
      <c r="A30" s="2">
        <v>29</v>
      </c>
      <c r="B30" s="11">
        <v>110</v>
      </c>
      <c r="C30" s="30">
        <v>13</v>
      </c>
      <c r="D30" s="30">
        <v>12</v>
      </c>
      <c r="E30" s="30">
        <v>0</v>
      </c>
      <c r="F30" s="30">
        <v>135</v>
      </c>
    </row>
    <row r="31" spans="1:9" x14ac:dyDescent="0.35">
      <c r="A31" s="2">
        <v>30</v>
      </c>
      <c r="B31" s="11">
        <v>110</v>
      </c>
      <c r="C31" s="30">
        <v>15</v>
      </c>
      <c r="D31" s="30">
        <v>9</v>
      </c>
      <c r="E31" s="30">
        <v>0</v>
      </c>
      <c r="F31" s="30">
        <v>280</v>
      </c>
    </row>
    <row r="32" spans="1:9" x14ac:dyDescent="0.35">
      <c r="A32" s="2">
        <v>31</v>
      </c>
      <c r="B32" s="11">
        <v>100</v>
      </c>
      <c r="C32" s="30">
        <v>15</v>
      </c>
      <c r="D32" s="30">
        <v>5</v>
      </c>
      <c r="E32" s="30">
        <v>3</v>
      </c>
      <c r="F32" s="30">
        <v>140</v>
      </c>
    </row>
    <row r="33" spans="1:6" x14ac:dyDescent="0.35">
      <c r="A33" s="2">
        <v>32</v>
      </c>
      <c r="B33" s="11">
        <v>110</v>
      </c>
      <c r="C33" s="30">
        <v>17</v>
      </c>
      <c r="D33" s="30">
        <v>3</v>
      </c>
      <c r="E33" s="30">
        <v>3</v>
      </c>
      <c r="F33" s="30">
        <v>170</v>
      </c>
    </row>
    <row r="34" spans="1:6" x14ac:dyDescent="0.35">
      <c r="A34" s="2">
        <v>33</v>
      </c>
      <c r="B34" s="11">
        <v>120</v>
      </c>
      <c r="C34" s="30">
        <v>13</v>
      </c>
      <c r="D34" s="30">
        <v>4</v>
      </c>
      <c r="E34" s="30">
        <v>3</v>
      </c>
      <c r="F34" s="30">
        <v>75</v>
      </c>
    </row>
    <row r="35" spans="1:6" x14ac:dyDescent="0.35">
      <c r="A35" s="2">
        <v>34</v>
      </c>
      <c r="B35" s="11">
        <v>110</v>
      </c>
      <c r="C35" s="30">
        <v>14</v>
      </c>
      <c r="D35" s="30">
        <v>11</v>
      </c>
      <c r="E35" s="30">
        <v>0</v>
      </c>
      <c r="F35" s="30">
        <v>180</v>
      </c>
    </row>
    <row r="36" spans="1:6" x14ac:dyDescent="0.35">
      <c r="A36" s="2">
        <v>35</v>
      </c>
      <c r="B36" s="11">
        <v>120</v>
      </c>
      <c r="C36" s="30">
        <v>12</v>
      </c>
      <c r="D36" s="30">
        <v>11</v>
      </c>
      <c r="E36" s="30">
        <v>1</v>
      </c>
      <c r="F36" s="30">
        <v>220</v>
      </c>
    </row>
    <row r="37" spans="1:6" x14ac:dyDescent="0.35">
      <c r="A37" s="2">
        <v>36</v>
      </c>
      <c r="B37" s="11">
        <v>110</v>
      </c>
      <c r="C37" s="31">
        <v>11.5</v>
      </c>
      <c r="D37" s="30">
        <v>10</v>
      </c>
      <c r="E37" s="31">
        <v>1.5</v>
      </c>
      <c r="F37" s="30">
        <v>250</v>
      </c>
    </row>
    <row r="38" spans="1:6" x14ac:dyDescent="0.35">
      <c r="A38" s="2">
        <v>37</v>
      </c>
      <c r="B38" s="11">
        <v>110</v>
      </c>
      <c r="C38" s="30">
        <v>17</v>
      </c>
      <c r="D38" s="30">
        <v>6</v>
      </c>
      <c r="E38" s="30">
        <v>1</v>
      </c>
      <c r="F38" s="30">
        <v>170</v>
      </c>
    </row>
    <row r="39" spans="1:6" x14ac:dyDescent="0.35">
      <c r="A39" s="2">
        <v>38</v>
      </c>
      <c r="B39" s="11">
        <v>140</v>
      </c>
      <c r="C39" s="30">
        <v>20</v>
      </c>
      <c r="D39" s="30">
        <v>9</v>
      </c>
      <c r="E39" s="30">
        <v>2</v>
      </c>
      <c r="F39" s="30">
        <v>170</v>
      </c>
    </row>
    <row r="40" spans="1:6" x14ac:dyDescent="0.35">
      <c r="A40" s="2">
        <v>39</v>
      </c>
      <c r="B40" s="11">
        <v>110</v>
      </c>
      <c r="C40" s="30">
        <v>21</v>
      </c>
      <c r="D40" s="30">
        <v>3</v>
      </c>
      <c r="E40" s="30">
        <v>0</v>
      </c>
      <c r="F40" s="30">
        <v>260</v>
      </c>
    </row>
    <row r="41" spans="1:6" x14ac:dyDescent="0.35">
      <c r="A41" s="2">
        <v>40</v>
      </c>
      <c r="B41" s="11">
        <v>100</v>
      </c>
      <c r="C41" s="30">
        <v>12</v>
      </c>
      <c r="D41" s="30">
        <v>6</v>
      </c>
      <c r="E41" s="30">
        <v>2</v>
      </c>
      <c r="F41" s="30">
        <v>150</v>
      </c>
    </row>
    <row r="42" spans="1:6" x14ac:dyDescent="0.35">
      <c r="A42" s="2">
        <v>41</v>
      </c>
      <c r="B42" s="11">
        <v>110</v>
      </c>
      <c r="C42" s="30">
        <v>12</v>
      </c>
      <c r="D42" s="30">
        <v>12</v>
      </c>
      <c r="E42" s="30">
        <v>0</v>
      </c>
      <c r="F42" s="30">
        <v>180</v>
      </c>
    </row>
    <row r="43" spans="1:6" x14ac:dyDescent="0.35">
      <c r="A43" s="2">
        <v>42</v>
      </c>
      <c r="B43" s="11">
        <v>160</v>
      </c>
      <c r="C43" s="30">
        <v>17</v>
      </c>
      <c r="D43" s="30">
        <v>13</v>
      </c>
      <c r="E43" s="30">
        <v>3</v>
      </c>
      <c r="F43" s="30">
        <v>150</v>
      </c>
    </row>
    <row r="44" spans="1:6" x14ac:dyDescent="0.35">
      <c r="A44" s="2">
        <v>43</v>
      </c>
      <c r="B44" s="11">
        <v>100</v>
      </c>
      <c r="C44" s="30">
        <v>15</v>
      </c>
      <c r="D44" s="30">
        <v>6</v>
      </c>
      <c r="E44" s="30">
        <v>2</v>
      </c>
      <c r="F44" s="30">
        <v>220</v>
      </c>
    </row>
    <row r="45" spans="1:6" x14ac:dyDescent="0.35">
      <c r="A45" s="2">
        <v>44</v>
      </c>
      <c r="B45" s="11">
        <v>120</v>
      </c>
      <c r="C45" s="30">
        <v>15</v>
      </c>
      <c r="D45" s="30">
        <v>9</v>
      </c>
      <c r="E45" s="30">
        <v>0</v>
      </c>
      <c r="F45" s="30">
        <v>190</v>
      </c>
    </row>
    <row r="46" spans="1:6" x14ac:dyDescent="0.35">
      <c r="A46" s="2">
        <v>45</v>
      </c>
      <c r="B46" s="11">
        <v>130</v>
      </c>
      <c r="C46" s="31">
        <v>13.5</v>
      </c>
      <c r="D46" s="30">
        <v>10</v>
      </c>
      <c r="E46" s="31">
        <v>1.5</v>
      </c>
      <c r="F46" s="30">
        <v>170</v>
      </c>
    </row>
    <row r="47" spans="1:6" x14ac:dyDescent="0.35">
      <c r="A47" s="2">
        <v>46</v>
      </c>
      <c r="B47" s="11">
        <v>120</v>
      </c>
      <c r="C47" s="30">
        <v>11</v>
      </c>
      <c r="D47" s="30">
        <v>14</v>
      </c>
      <c r="E47" s="30">
        <v>6</v>
      </c>
      <c r="F47" s="30">
        <v>200</v>
      </c>
    </row>
    <row r="48" spans="1:6" x14ac:dyDescent="0.35">
      <c r="A48" s="2">
        <v>47</v>
      </c>
      <c r="B48" s="11">
        <v>100</v>
      </c>
      <c r="C48" s="30">
        <v>20</v>
      </c>
      <c r="D48" s="30">
        <v>3</v>
      </c>
      <c r="E48" s="30">
        <v>1</v>
      </c>
      <c r="F48" s="30">
        <v>320</v>
      </c>
    </row>
    <row r="49" spans="1:6" x14ac:dyDescent="0.35">
      <c r="A49" s="2">
        <v>48</v>
      </c>
      <c r="B49" s="11">
        <v>50</v>
      </c>
      <c r="C49" s="30">
        <v>13</v>
      </c>
      <c r="D49" s="30">
        <v>0</v>
      </c>
      <c r="E49" s="30">
        <v>0</v>
      </c>
      <c r="F49" s="30">
        <v>0</v>
      </c>
    </row>
    <row r="50" spans="1:6" x14ac:dyDescent="0.35">
      <c r="A50" s="2">
        <v>49</v>
      </c>
      <c r="B50" s="11">
        <v>50</v>
      </c>
      <c r="C50" s="30">
        <v>10</v>
      </c>
      <c r="D50" s="30">
        <v>0</v>
      </c>
      <c r="E50" s="30">
        <v>1</v>
      </c>
      <c r="F50" s="30">
        <v>0</v>
      </c>
    </row>
    <row r="51" spans="1:6" x14ac:dyDescent="0.35">
      <c r="A51" s="2">
        <v>50</v>
      </c>
      <c r="B51" s="11">
        <v>100</v>
      </c>
      <c r="C51" s="30">
        <v>14</v>
      </c>
      <c r="D51" s="30">
        <v>6</v>
      </c>
      <c r="E51" s="30">
        <v>2</v>
      </c>
      <c r="F51" s="30">
        <v>135</v>
      </c>
    </row>
    <row r="52" spans="1:6" x14ac:dyDescent="0.35">
      <c r="A52" s="2">
        <v>51</v>
      </c>
      <c r="B52" s="11">
        <v>120</v>
      </c>
      <c r="C52" s="30">
        <v>14</v>
      </c>
      <c r="D52" s="30">
        <v>12</v>
      </c>
      <c r="E52" s="30">
        <v>5</v>
      </c>
      <c r="F52" s="30">
        <v>210</v>
      </c>
    </row>
    <row r="53" spans="1:6" x14ac:dyDescent="0.35">
      <c r="A53" s="2">
        <v>52</v>
      </c>
      <c r="B53" s="11">
        <v>90</v>
      </c>
      <c r="C53" s="30">
        <v>15</v>
      </c>
      <c r="D53" s="30">
        <v>6</v>
      </c>
      <c r="E53" s="30">
        <v>2</v>
      </c>
      <c r="F53" s="30">
        <v>0</v>
      </c>
    </row>
    <row r="54" spans="1:6" x14ac:dyDescent="0.35">
      <c r="A54" s="2">
        <v>53</v>
      </c>
      <c r="B54" s="11">
        <v>110</v>
      </c>
      <c r="C54" s="30">
        <v>23</v>
      </c>
      <c r="D54" s="30">
        <v>2</v>
      </c>
      <c r="E54" s="30">
        <v>0</v>
      </c>
      <c r="F54" s="30">
        <v>240</v>
      </c>
    </row>
    <row r="55" spans="1:6" x14ac:dyDescent="0.35">
      <c r="A55" s="2">
        <v>54</v>
      </c>
      <c r="B55" s="11">
        <v>110</v>
      </c>
      <c r="C55" s="30">
        <v>22</v>
      </c>
      <c r="D55" s="30">
        <v>3</v>
      </c>
      <c r="E55" s="30">
        <v>0</v>
      </c>
      <c r="F55" s="30">
        <v>290</v>
      </c>
    </row>
    <row r="56" spans="1:6" x14ac:dyDescent="0.35">
      <c r="A56" s="2">
        <v>55</v>
      </c>
      <c r="B56" s="11">
        <v>90</v>
      </c>
      <c r="C56" s="30">
        <v>20</v>
      </c>
      <c r="D56" s="30">
        <v>0</v>
      </c>
      <c r="E56" s="30">
        <v>3</v>
      </c>
      <c r="F56" s="30">
        <v>0</v>
      </c>
    </row>
    <row r="57" spans="1:6" x14ac:dyDescent="0.35">
      <c r="A57" s="2">
        <v>56</v>
      </c>
      <c r="B57" s="11">
        <v>80</v>
      </c>
      <c r="C57" s="30">
        <v>16</v>
      </c>
      <c r="D57" s="30">
        <v>0</v>
      </c>
      <c r="E57" s="30">
        <v>3</v>
      </c>
      <c r="F57" s="30">
        <v>0</v>
      </c>
    </row>
    <row r="58" spans="1:6" x14ac:dyDescent="0.35">
      <c r="A58" s="2">
        <v>57</v>
      </c>
      <c r="B58" s="11">
        <v>90</v>
      </c>
      <c r="C58" s="30">
        <v>19</v>
      </c>
      <c r="D58" s="30">
        <v>0</v>
      </c>
      <c r="E58" s="30">
        <v>4</v>
      </c>
      <c r="F58" s="30">
        <v>0</v>
      </c>
    </row>
    <row r="59" spans="1:6" x14ac:dyDescent="0.35">
      <c r="A59" s="2">
        <v>58</v>
      </c>
      <c r="B59" s="11">
        <v>110</v>
      </c>
      <c r="C59" s="30">
        <v>9</v>
      </c>
      <c r="D59" s="30">
        <v>15</v>
      </c>
      <c r="E59" s="30">
        <v>1</v>
      </c>
      <c r="F59" s="30">
        <v>70</v>
      </c>
    </row>
    <row r="60" spans="1:6" x14ac:dyDescent="0.35">
      <c r="A60" s="2">
        <v>59</v>
      </c>
      <c r="B60" s="11">
        <v>110</v>
      </c>
      <c r="C60" s="30">
        <v>16</v>
      </c>
      <c r="D60" s="30">
        <v>3</v>
      </c>
      <c r="E60" s="30">
        <v>1</v>
      </c>
      <c r="F60" s="30">
        <v>230</v>
      </c>
    </row>
    <row r="61" spans="1:6" x14ac:dyDescent="0.35">
      <c r="A61" s="2">
        <v>60</v>
      </c>
      <c r="B61" s="11">
        <v>90</v>
      </c>
      <c r="C61" s="30">
        <v>15</v>
      </c>
      <c r="D61" s="30">
        <v>5</v>
      </c>
      <c r="E61" s="30">
        <v>3</v>
      </c>
      <c r="F61" s="30">
        <v>15</v>
      </c>
    </row>
    <row r="62" spans="1:6" x14ac:dyDescent="0.35">
      <c r="A62" s="2">
        <v>61</v>
      </c>
      <c r="B62" s="11">
        <v>110</v>
      </c>
      <c r="C62" s="30">
        <v>21</v>
      </c>
      <c r="D62" s="30">
        <v>3</v>
      </c>
      <c r="E62" s="30">
        <v>0</v>
      </c>
      <c r="F62" s="30">
        <v>200</v>
      </c>
    </row>
    <row r="63" spans="1:6" x14ac:dyDescent="0.35">
      <c r="A63" s="2">
        <v>62</v>
      </c>
      <c r="B63" s="11">
        <v>140</v>
      </c>
      <c r="C63" s="30">
        <v>15</v>
      </c>
      <c r="D63" s="30">
        <v>14</v>
      </c>
      <c r="E63" s="30">
        <v>4</v>
      </c>
      <c r="F63" s="30">
        <v>190</v>
      </c>
    </row>
    <row r="64" spans="1:6" x14ac:dyDescent="0.35">
      <c r="A64" s="2">
        <v>63</v>
      </c>
      <c r="B64" s="11">
        <v>100</v>
      </c>
      <c r="C64" s="30">
        <v>16</v>
      </c>
      <c r="D64" s="30">
        <v>3</v>
      </c>
      <c r="E64" s="30">
        <v>3</v>
      </c>
      <c r="F64" s="30">
        <v>200</v>
      </c>
    </row>
    <row r="65" spans="1:6" x14ac:dyDescent="0.35">
      <c r="A65" s="2">
        <v>64</v>
      </c>
      <c r="B65" s="11">
        <v>110</v>
      </c>
      <c r="C65" s="30">
        <v>13</v>
      </c>
      <c r="D65" s="30">
        <v>12</v>
      </c>
      <c r="E65" s="30">
        <v>0</v>
      </c>
      <c r="F65" s="30">
        <v>140</v>
      </c>
    </row>
    <row r="66" spans="1:6" x14ac:dyDescent="0.35">
      <c r="A66" s="2">
        <v>65</v>
      </c>
      <c r="B66" s="11">
        <v>100</v>
      </c>
      <c r="C66" s="30">
        <v>17</v>
      </c>
      <c r="D66" s="30">
        <v>3</v>
      </c>
      <c r="E66" s="30">
        <v>3</v>
      </c>
      <c r="F66" s="30">
        <v>230</v>
      </c>
    </row>
    <row r="67" spans="1:6" x14ac:dyDescent="0.35">
      <c r="A67" s="2">
        <v>66</v>
      </c>
      <c r="B67" s="11">
        <v>100</v>
      </c>
      <c r="C67" s="30">
        <v>17</v>
      </c>
      <c r="D67" s="30">
        <v>3</v>
      </c>
      <c r="E67" s="30">
        <v>3</v>
      </c>
      <c r="F67" s="30">
        <v>200</v>
      </c>
    </row>
    <row r="68" spans="1:6" x14ac:dyDescent="0.35">
      <c r="A68" s="2">
        <v>67</v>
      </c>
      <c r="B68" s="11">
        <v>110</v>
      </c>
      <c r="C68" s="30">
        <v>18</v>
      </c>
      <c r="D68" s="30">
        <v>8</v>
      </c>
      <c r="E68" s="30">
        <v>1</v>
      </c>
      <c r="F68" s="30">
        <v>200</v>
      </c>
    </row>
    <row r="1000" spans="648:648" x14ac:dyDescent="0.35">
      <c r="XX1000" s="47">
        <v>166765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3C45-5ECF-4AE7-A70C-63C3389252F5}">
  <sheetPr codeName="Sheet16">
    <tabColor rgb="FF007800"/>
  </sheetPr>
  <dimension ref="A1:XX996"/>
  <sheetViews>
    <sheetView zoomScaleNormal="100" workbookViewId="0">
      <selection activeCell="A3" activeCellId="1" sqref="A2:XFD2 A3:XFD3"/>
    </sheetView>
  </sheetViews>
  <sheetFormatPr defaultRowHeight="15.5" x14ac:dyDescent="0.35"/>
  <cols>
    <col min="1" max="1" width="8.83203125" customWidth="1"/>
    <col min="3" max="3" width="9.4140625" bestFit="1" customWidth="1"/>
  </cols>
  <sheetData>
    <row r="1" spans="1:8" x14ac:dyDescent="0.35">
      <c r="A1" t="s">
        <v>288</v>
      </c>
    </row>
    <row r="2" spans="1:8" x14ac:dyDescent="0.35">
      <c r="A2" t="s">
        <v>88</v>
      </c>
    </row>
    <row r="3" spans="1:8" x14ac:dyDescent="0.35">
      <c r="A3" t="s">
        <v>89</v>
      </c>
    </row>
    <row r="4" spans="1:8" ht="38" customHeight="1" x14ac:dyDescent="0.35"/>
    <row r="5" spans="1:8" ht="15.65" customHeight="1" x14ac:dyDescent="0.35">
      <c r="A5" s="30"/>
    </row>
    <row r="8" spans="1:8" x14ac:dyDescent="0.35">
      <c r="A8" s="2" t="s">
        <v>90</v>
      </c>
    </row>
    <row r="9" spans="1:8" ht="16" thickBot="1" x14ac:dyDescent="0.4"/>
    <row r="10" spans="1:8" ht="31.25" customHeight="1" x14ac:dyDescent="0.35">
      <c r="A10" s="49" t="s">
        <v>91</v>
      </c>
      <c r="B10" s="50" t="s">
        <v>92</v>
      </c>
      <c r="C10" s="50" t="s">
        <v>93</v>
      </c>
      <c r="D10" s="50" t="s">
        <v>94</v>
      </c>
      <c r="E10" s="50" t="s">
        <v>95</v>
      </c>
      <c r="F10" s="50" t="s">
        <v>96</v>
      </c>
      <c r="G10" s="50" t="s">
        <v>97</v>
      </c>
      <c r="H10" s="50" t="s">
        <v>98</v>
      </c>
    </row>
    <row r="11" spans="1:8" x14ac:dyDescent="0.35">
      <c r="A11" s="51" t="s">
        <v>65</v>
      </c>
      <c r="B11" s="53">
        <v>67</v>
      </c>
      <c r="C11" s="53">
        <v>0</v>
      </c>
      <c r="D11" s="53">
        <v>67</v>
      </c>
      <c r="E11" s="56">
        <v>50</v>
      </c>
      <c r="F11" s="56">
        <v>160</v>
      </c>
      <c r="G11" s="56">
        <v>105.52238805970147</v>
      </c>
      <c r="H11" s="56">
        <v>18.771640609719263</v>
      </c>
    </row>
    <row r="12" spans="1:8" x14ac:dyDescent="0.35">
      <c r="A12" s="48" t="s">
        <v>66</v>
      </c>
      <c r="B12" s="54">
        <v>67</v>
      </c>
      <c r="C12" s="54">
        <v>0</v>
      </c>
      <c r="D12" s="54">
        <v>67</v>
      </c>
      <c r="E12" s="57">
        <v>5</v>
      </c>
      <c r="F12" s="57">
        <v>23</v>
      </c>
      <c r="G12" s="57">
        <v>14.76865671641791</v>
      </c>
      <c r="H12" s="57">
        <v>3.859588962069465</v>
      </c>
    </row>
    <row r="13" spans="1:8" x14ac:dyDescent="0.35">
      <c r="A13" s="48" t="s">
        <v>67</v>
      </c>
      <c r="B13" s="54">
        <v>67</v>
      </c>
      <c r="C13" s="54">
        <v>0</v>
      </c>
      <c r="D13" s="54">
        <v>67</v>
      </c>
      <c r="E13" s="57">
        <v>0</v>
      </c>
      <c r="F13" s="57">
        <v>15</v>
      </c>
      <c r="G13" s="57">
        <v>6.9552238805970132</v>
      </c>
      <c r="H13" s="57">
        <v>4.4087819929362873</v>
      </c>
    </row>
    <row r="14" spans="1:8" x14ac:dyDescent="0.35">
      <c r="A14" s="48" t="s">
        <v>68</v>
      </c>
      <c r="B14" s="54">
        <v>67</v>
      </c>
      <c r="C14" s="54">
        <v>0</v>
      </c>
      <c r="D14" s="54">
        <v>67</v>
      </c>
      <c r="E14" s="57">
        <v>0</v>
      </c>
      <c r="F14" s="57">
        <v>14</v>
      </c>
      <c r="G14" s="57">
        <v>2.1865671641791042</v>
      </c>
      <c r="H14" s="57">
        <v>2.5058051099813219</v>
      </c>
    </row>
    <row r="15" spans="1:8" ht="16" thickBot="1" x14ac:dyDescent="0.4">
      <c r="A15" s="52" t="s">
        <v>69</v>
      </c>
      <c r="B15" s="55">
        <v>67</v>
      </c>
      <c r="C15" s="55">
        <v>0</v>
      </c>
      <c r="D15" s="55">
        <v>67</v>
      </c>
      <c r="E15" s="58">
        <v>0</v>
      </c>
      <c r="F15" s="58">
        <v>320</v>
      </c>
      <c r="G15" s="58">
        <v>167.31343283582089</v>
      </c>
      <c r="H15" s="58">
        <v>80.581825335498095</v>
      </c>
    </row>
    <row r="18" spans="1:6" x14ac:dyDescent="0.35">
      <c r="A18" s="6" t="s">
        <v>99</v>
      </c>
    </row>
    <row r="19" spans="1:6" ht="16" thickBot="1" x14ac:dyDescent="0.4"/>
    <row r="20" spans="1:6" x14ac:dyDescent="0.35">
      <c r="A20" s="49"/>
      <c r="B20" s="50" t="s">
        <v>66</v>
      </c>
      <c r="C20" s="50" t="s">
        <v>67</v>
      </c>
      <c r="D20" s="50" t="s">
        <v>68</v>
      </c>
      <c r="E20" s="50" t="s">
        <v>69</v>
      </c>
      <c r="F20" s="59" t="s">
        <v>65</v>
      </c>
    </row>
    <row r="21" spans="1:6" x14ac:dyDescent="0.35">
      <c r="A21" s="60" t="s">
        <v>66</v>
      </c>
      <c r="B21" s="66">
        <v>1</v>
      </c>
      <c r="C21" s="62">
        <v>-0.46764485986629534</v>
      </c>
      <c r="D21" s="62">
        <v>-0.4251191633169179</v>
      </c>
      <c r="E21" s="62">
        <v>0.24788804652384527</v>
      </c>
      <c r="F21" s="63">
        <v>0.26153521011316305</v>
      </c>
    </row>
    <row r="22" spans="1:6" x14ac:dyDescent="0.35">
      <c r="A22" s="48" t="s">
        <v>67</v>
      </c>
      <c r="B22" s="57">
        <v>-0.46764485986629534</v>
      </c>
      <c r="C22" s="67">
        <v>1</v>
      </c>
      <c r="D22" s="57">
        <v>-0.15352411777914363</v>
      </c>
      <c r="E22" s="57">
        <v>0.11821816442408707</v>
      </c>
      <c r="F22" s="64">
        <v>0.5943737230508368</v>
      </c>
    </row>
    <row r="23" spans="1:6" x14ac:dyDescent="0.35">
      <c r="A23" s="48" t="s">
        <v>68</v>
      </c>
      <c r="B23" s="57">
        <v>-0.4251191633169179</v>
      </c>
      <c r="C23" s="57">
        <v>-0.15352411777914363</v>
      </c>
      <c r="D23" s="67">
        <v>1</v>
      </c>
      <c r="E23" s="57">
        <v>-0.10590764166188599</v>
      </c>
      <c r="F23" s="64">
        <v>-0.36528431935394329</v>
      </c>
    </row>
    <row r="24" spans="1:6" x14ac:dyDescent="0.35">
      <c r="A24" s="48" t="s">
        <v>69</v>
      </c>
      <c r="B24" s="57">
        <v>0.24788804652384527</v>
      </c>
      <c r="C24" s="57">
        <v>0.11821816442408707</v>
      </c>
      <c r="D24" s="57">
        <v>-0.10590764166188599</v>
      </c>
      <c r="E24" s="67">
        <v>1</v>
      </c>
      <c r="F24" s="64">
        <v>0.37956619450191059</v>
      </c>
    </row>
    <row r="25" spans="1:6" ht="16" thickBot="1" x14ac:dyDescent="0.4">
      <c r="A25" s="61" t="s">
        <v>65</v>
      </c>
      <c r="B25" s="65">
        <v>0.26153521011316305</v>
      </c>
      <c r="C25" s="65">
        <v>0.5943737230508368</v>
      </c>
      <c r="D25" s="65">
        <v>-0.36528431935394329</v>
      </c>
      <c r="E25" s="65">
        <v>0.37956619450191059</v>
      </c>
      <c r="F25" s="68">
        <v>1</v>
      </c>
    </row>
    <row r="28" spans="1:6" x14ac:dyDescent="0.35">
      <c r="A28" s="6" t="s">
        <v>251</v>
      </c>
    </row>
    <row r="30" spans="1:6" x14ac:dyDescent="0.35">
      <c r="A30" s="2" t="s">
        <v>252</v>
      </c>
    </row>
    <row r="31" spans="1:6" ht="16" thickBot="1" x14ac:dyDescent="0.4"/>
    <row r="32" spans="1:6" x14ac:dyDescent="0.35">
      <c r="A32" s="69" t="s">
        <v>92</v>
      </c>
      <c r="B32" s="70">
        <v>67</v>
      </c>
    </row>
    <row r="33" spans="1:2" x14ac:dyDescent="0.35">
      <c r="A33" s="48" t="s">
        <v>102</v>
      </c>
      <c r="B33" s="54">
        <v>67</v>
      </c>
    </row>
    <row r="34" spans="1:2" x14ac:dyDescent="0.35">
      <c r="A34" s="48" t="s">
        <v>103</v>
      </c>
      <c r="B34" s="54">
        <v>62</v>
      </c>
    </row>
    <row r="35" spans="1:2" x14ac:dyDescent="0.35">
      <c r="A35" s="48" t="s">
        <v>104</v>
      </c>
      <c r="B35" s="57">
        <v>0.74231836630885495</v>
      </c>
    </row>
    <row r="36" spans="1:2" x14ac:dyDescent="0.35">
      <c r="A36" s="48" t="s">
        <v>105</v>
      </c>
      <c r="B36" s="57">
        <v>0.72569374478039395</v>
      </c>
    </row>
    <row r="37" spans="1:2" x14ac:dyDescent="0.35">
      <c r="A37" s="48" t="s">
        <v>106</v>
      </c>
      <c r="B37" s="57">
        <v>96.658527110626466</v>
      </c>
    </row>
    <row r="38" spans="1:2" x14ac:dyDescent="0.35">
      <c r="A38" s="48" t="s">
        <v>107</v>
      </c>
      <c r="B38" s="57">
        <v>9.8315068585963186</v>
      </c>
    </row>
    <row r="39" spans="1:2" x14ac:dyDescent="0.35">
      <c r="A39" s="48" t="s">
        <v>108</v>
      </c>
      <c r="B39" s="57">
        <v>7.3086333197735165</v>
      </c>
    </row>
    <row r="40" spans="1:2" x14ac:dyDescent="0.35">
      <c r="A40" s="48" t="s">
        <v>109</v>
      </c>
      <c r="B40" s="57">
        <v>1.766514560085817</v>
      </c>
    </row>
    <row r="41" spans="1:2" x14ac:dyDescent="0.35">
      <c r="A41" s="48" t="s">
        <v>110</v>
      </c>
      <c r="B41" s="57">
        <v>5</v>
      </c>
    </row>
    <row r="42" spans="1:2" x14ac:dyDescent="0.35">
      <c r="A42" s="48" t="s">
        <v>111</v>
      </c>
      <c r="B42" s="57">
        <v>311.07295500586969</v>
      </c>
    </row>
    <row r="43" spans="1:2" x14ac:dyDescent="0.35">
      <c r="A43" s="48" t="s">
        <v>112</v>
      </c>
      <c r="B43" s="57">
        <v>312.05656156324676</v>
      </c>
    </row>
    <row r="44" spans="1:2" x14ac:dyDescent="0.35">
      <c r="A44" s="48" t="s">
        <v>113</v>
      </c>
      <c r="B44" s="57">
        <v>322.09641810282449</v>
      </c>
    </row>
    <row r="45" spans="1:2" ht="16" thickBot="1" x14ac:dyDescent="0.4">
      <c r="A45" s="52" t="s">
        <v>114</v>
      </c>
      <c r="B45" s="58">
        <v>0.2992431875122975</v>
      </c>
    </row>
    <row r="48" spans="1:2" x14ac:dyDescent="0.35">
      <c r="A48" s="2" t="s">
        <v>253</v>
      </c>
    </row>
    <row r="49" spans="1:8" ht="16" thickBot="1" x14ac:dyDescent="0.4"/>
    <row r="50" spans="1:8" ht="46.5" x14ac:dyDescent="0.35">
      <c r="A50" s="49" t="s">
        <v>116</v>
      </c>
      <c r="B50" s="50" t="s">
        <v>103</v>
      </c>
      <c r="C50" s="50" t="s">
        <v>117</v>
      </c>
      <c r="D50" s="50" t="s">
        <v>118</v>
      </c>
      <c r="E50" s="50" t="s">
        <v>119</v>
      </c>
      <c r="F50" s="50" t="s">
        <v>120</v>
      </c>
      <c r="G50" s="50" t="s">
        <v>121</v>
      </c>
    </row>
    <row r="51" spans="1:8" x14ac:dyDescent="0.35">
      <c r="A51" s="60" t="s">
        <v>122</v>
      </c>
      <c r="B51" s="62">
        <v>4</v>
      </c>
      <c r="C51" s="62">
        <v>17263.887737051609</v>
      </c>
      <c r="D51" s="62">
        <v>4315.9719342629023</v>
      </c>
      <c r="E51" s="62">
        <v>44.651745306683985</v>
      </c>
      <c r="F51" s="74">
        <v>1.3304954505971922E-17</v>
      </c>
      <c r="G51" s="77" t="s">
        <v>125</v>
      </c>
    </row>
    <row r="52" spans="1:8" x14ac:dyDescent="0.35">
      <c r="A52" s="48" t="s">
        <v>123</v>
      </c>
      <c r="B52" s="57">
        <v>62</v>
      </c>
      <c r="C52" s="57">
        <v>5992.8286808588409</v>
      </c>
      <c r="D52" s="57">
        <v>96.658527110626466</v>
      </c>
      <c r="E52" s="57"/>
      <c r="F52" s="75"/>
      <c r="G52" s="78" t="s">
        <v>126</v>
      </c>
    </row>
    <row r="53" spans="1:8" ht="16" thickBot="1" x14ac:dyDescent="0.4">
      <c r="A53" s="52" t="s">
        <v>124</v>
      </c>
      <c r="B53" s="58">
        <v>66</v>
      </c>
      <c r="C53" s="58">
        <v>23256.716417910451</v>
      </c>
      <c r="D53" s="58"/>
      <c r="E53" s="58"/>
      <c r="F53" s="76"/>
      <c r="G53" s="79" t="s">
        <v>126</v>
      </c>
    </row>
    <row r="54" spans="1:8" x14ac:dyDescent="0.35">
      <c r="A54" s="80" t="s">
        <v>127</v>
      </c>
    </row>
    <row r="55" spans="1:8" x14ac:dyDescent="0.35">
      <c r="A55" s="80" t="s">
        <v>128</v>
      </c>
    </row>
    <row r="58" spans="1:8" x14ac:dyDescent="0.35">
      <c r="A58" s="2" t="s">
        <v>254</v>
      </c>
    </row>
    <row r="59" spans="1:8" ht="16" thickBot="1" x14ac:dyDescent="0.4"/>
    <row r="60" spans="1:8" ht="46.5" x14ac:dyDescent="0.35">
      <c r="A60" s="49" t="s">
        <v>116</v>
      </c>
      <c r="B60" s="50" t="s">
        <v>130</v>
      </c>
      <c r="C60" s="50" t="s">
        <v>131</v>
      </c>
      <c r="D60" s="50" t="s">
        <v>132</v>
      </c>
      <c r="E60" s="50" t="s">
        <v>133</v>
      </c>
      <c r="F60" s="50" t="s">
        <v>134</v>
      </c>
      <c r="G60" s="50" t="s">
        <v>135</v>
      </c>
      <c r="H60" s="50" t="s">
        <v>121</v>
      </c>
    </row>
    <row r="61" spans="1:8" x14ac:dyDescent="0.35">
      <c r="A61" s="60" t="s">
        <v>16</v>
      </c>
      <c r="B61" s="62">
        <v>21.891183257750217</v>
      </c>
      <c r="C61" s="62">
        <v>8.9665343227933132</v>
      </c>
      <c r="D61" s="62">
        <v>2.4414319367631143</v>
      </c>
      <c r="E61" s="74">
        <v>1.7496797869473533E-2</v>
      </c>
      <c r="F61" s="62">
        <v>3.9673365399898834</v>
      </c>
      <c r="G61" s="62">
        <v>39.815029975510555</v>
      </c>
      <c r="H61" s="77" t="s">
        <v>220</v>
      </c>
    </row>
    <row r="62" spans="1:8" x14ac:dyDescent="0.35">
      <c r="A62" s="48" t="s">
        <v>66</v>
      </c>
      <c r="B62" s="57">
        <v>3.4333564368044276</v>
      </c>
      <c r="C62" s="57">
        <v>0.46225293254787136</v>
      </c>
      <c r="D62" s="57">
        <v>7.4274411151493691</v>
      </c>
      <c r="E62" s="75">
        <v>3.9031977649983673E-10</v>
      </c>
      <c r="F62" s="57">
        <v>2.5093259909763734</v>
      </c>
      <c r="G62" s="57">
        <v>4.3573868826324818</v>
      </c>
      <c r="H62" s="78" t="s">
        <v>125</v>
      </c>
    </row>
    <row r="63" spans="1:8" x14ac:dyDescent="0.35">
      <c r="A63" s="48" t="s">
        <v>67</v>
      </c>
      <c r="B63" s="57">
        <v>3.9412358822267444</v>
      </c>
      <c r="C63" s="57">
        <v>0.36309904393071463</v>
      </c>
      <c r="D63" s="57">
        <v>10.854437509834915</v>
      </c>
      <c r="E63" s="75">
        <v>6.6613381477509392E-16</v>
      </c>
      <c r="F63" s="57">
        <v>3.2154112355474243</v>
      </c>
      <c r="G63" s="57">
        <v>4.6670605289060649</v>
      </c>
      <c r="H63" s="78" t="s">
        <v>125</v>
      </c>
    </row>
    <row r="64" spans="1:8" x14ac:dyDescent="0.35">
      <c r="A64" s="48" t="s">
        <v>68</v>
      </c>
      <c r="B64" s="57">
        <v>0.6591661545372639</v>
      </c>
      <c r="C64" s="57">
        <v>0.60009514017235932</v>
      </c>
      <c r="D64" s="57">
        <v>1.0984360818985106</v>
      </c>
      <c r="E64" s="72">
        <v>0.27626153044095991</v>
      </c>
      <c r="F64" s="57">
        <v>-0.54040693817705543</v>
      </c>
      <c r="G64" s="57">
        <v>1.8587392472515831</v>
      </c>
      <c r="H64" s="78" t="s">
        <v>137</v>
      </c>
    </row>
    <row r="65" spans="1:8" ht="16" thickBot="1" x14ac:dyDescent="0.4">
      <c r="A65" s="52" t="s">
        <v>69</v>
      </c>
      <c r="B65" s="58">
        <v>2.4335483029025981E-2</v>
      </c>
      <c r="C65" s="58">
        <v>1.6273284922965012E-2</v>
      </c>
      <c r="D65" s="58">
        <v>1.4954253639769755</v>
      </c>
      <c r="E65" s="73">
        <v>0.13987645366028501</v>
      </c>
      <c r="F65" s="58">
        <v>-8.1943500205394967E-3</v>
      </c>
      <c r="G65" s="58">
        <v>5.6865316078591459E-2</v>
      </c>
      <c r="H65" s="79" t="s">
        <v>137</v>
      </c>
    </row>
    <row r="66" spans="1:8" x14ac:dyDescent="0.35">
      <c r="A66" s="80" t="s">
        <v>128</v>
      </c>
    </row>
    <row r="69" spans="1:8" x14ac:dyDescent="0.35">
      <c r="A69" s="2" t="s">
        <v>255</v>
      </c>
    </row>
    <row r="71" spans="1:8" x14ac:dyDescent="0.35">
      <c r="A71" t="s">
        <v>256</v>
      </c>
    </row>
    <row r="74" spans="1:8" x14ac:dyDescent="0.35">
      <c r="A74" s="2" t="s">
        <v>257</v>
      </c>
    </row>
    <row r="75" spans="1:8" ht="16" thickBot="1" x14ac:dyDescent="0.4"/>
    <row r="76" spans="1:8" ht="46.5" x14ac:dyDescent="0.35">
      <c r="A76" s="49" t="s">
        <v>116</v>
      </c>
      <c r="B76" s="50" t="s">
        <v>130</v>
      </c>
      <c r="C76" s="50" t="s">
        <v>131</v>
      </c>
      <c r="D76" s="50" t="s">
        <v>132</v>
      </c>
      <c r="E76" s="50" t="s">
        <v>133</v>
      </c>
      <c r="F76" s="50" t="s">
        <v>134</v>
      </c>
      <c r="G76" s="50" t="s">
        <v>135</v>
      </c>
      <c r="H76" s="50" t="s">
        <v>121</v>
      </c>
    </row>
    <row r="77" spans="1:8" x14ac:dyDescent="0.35">
      <c r="A77" s="60" t="s">
        <v>66</v>
      </c>
      <c r="B77" s="62">
        <v>0.7059236260617231</v>
      </c>
      <c r="C77" s="62">
        <v>9.5042641889396748E-2</v>
      </c>
      <c r="D77" s="62">
        <v>7.4274411151493691</v>
      </c>
      <c r="E77" s="74">
        <v>3.9031977649983673E-10</v>
      </c>
      <c r="F77" s="62">
        <v>0.51593609202127566</v>
      </c>
      <c r="G77" s="62">
        <v>0.89591116010217053</v>
      </c>
      <c r="H77" s="77" t="s">
        <v>125</v>
      </c>
    </row>
    <row r="78" spans="1:8" x14ac:dyDescent="0.35">
      <c r="A78" s="48" t="s">
        <v>67</v>
      </c>
      <c r="B78" s="57">
        <v>0.9256542967522482</v>
      </c>
      <c r="C78" s="57">
        <v>8.5278882108219586E-2</v>
      </c>
      <c r="D78" s="57">
        <v>10.854437509834915</v>
      </c>
      <c r="E78" s="75">
        <v>6.6613381477509392E-16</v>
      </c>
      <c r="F78" s="57">
        <v>0.75518424041352383</v>
      </c>
      <c r="G78" s="57">
        <v>1.0961243530909726</v>
      </c>
      <c r="H78" s="78" t="s">
        <v>125</v>
      </c>
    </row>
    <row r="79" spans="1:8" x14ac:dyDescent="0.35">
      <c r="A79" s="48" t="s">
        <v>68</v>
      </c>
      <c r="B79" s="57">
        <v>8.799134570640578E-2</v>
      </c>
      <c r="C79" s="57">
        <v>8.0106022695761822E-2</v>
      </c>
      <c r="D79" s="57">
        <v>1.0984360818985106</v>
      </c>
      <c r="E79" s="72">
        <v>0.27626153044095991</v>
      </c>
      <c r="F79" s="57">
        <v>-7.213831200520078E-2</v>
      </c>
      <c r="G79" s="57">
        <v>0.24812100341801235</v>
      </c>
      <c r="H79" s="78" t="s">
        <v>137</v>
      </c>
    </row>
    <row r="80" spans="1:8" ht="16" thickBot="1" x14ac:dyDescent="0.4">
      <c r="A80" s="52" t="s">
        <v>69</v>
      </c>
      <c r="B80" s="58">
        <v>0.10446596989954182</v>
      </c>
      <c r="C80" s="58">
        <v>6.9857026914216677E-2</v>
      </c>
      <c r="D80" s="58">
        <v>1.4954253639769752</v>
      </c>
      <c r="E80" s="73">
        <v>0.13987645366028501</v>
      </c>
      <c r="F80" s="58">
        <v>-3.5176237166567231E-2</v>
      </c>
      <c r="G80" s="58">
        <v>0.24410817696565087</v>
      </c>
      <c r="H80" s="79" t="s">
        <v>137</v>
      </c>
    </row>
    <row r="81" spans="1:1" x14ac:dyDescent="0.35">
      <c r="A81" s="80" t="s">
        <v>128</v>
      </c>
    </row>
    <row r="100" spans="1:12" x14ac:dyDescent="0.35">
      <c r="F100" t="s">
        <v>141</v>
      </c>
    </row>
    <row r="103" spans="1:12" x14ac:dyDescent="0.35">
      <c r="A103" s="2" t="s">
        <v>258</v>
      </c>
    </row>
    <row r="104" spans="1:12" ht="16" thickBot="1" x14ac:dyDescent="0.4"/>
    <row r="105" spans="1:12" ht="77.5" x14ac:dyDescent="0.35">
      <c r="A105" s="49" t="s">
        <v>143</v>
      </c>
      <c r="B105" s="50" t="s">
        <v>144</v>
      </c>
      <c r="C105" s="50" t="s">
        <v>65</v>
      </c>
      <c r="D105" s="50" t="s">
        <v>284</v>
      </c>
      <c r="E105" s="50" t="s">
        <v>188</v>
      </c>
      <c r="F105" s="50" t="s">
        <v>189</v>
      </c>
      <c r="G105" s="50" t="s">
        <v>190</v>
      </c>
      <c r="H105" s="50" t="s">
        <v>191</v>
      </c>
      <c r="I105" s="50" t="s">
        <v>192</v>
      </c>
      <c r="J105" s="50" t="s">
        <v>193</v>
      </c>
      <c r="K105" s="50" t="s">
        <v>194</v>
      </c>
      <c r="L105" s="50" t="s">
        <v>195</v>
      </c>
    </row>
    <row r="106" spans="1:12" x14ac:dyDescent="0.35">
      <c r="A106" s="60" t="s">
        <v>145</v>
      </c>
      <c r="B106" s="81">
        <v>1</v>
      </c>
      <c r="C106" s="62">
        <v>70</v>
      </c>
      <c r="D106" s="62">
        <v>72.460655074278847</v>
      </c>
      <c r="E106" s="62">
        <v>-2.4606550742788471</v>
      </c>
      <c r="F106" s="62">
        <v>-0.25028259753766413</v>
      </c>
      <c r="G106" s="62">
        <v>4.3744052682910066</v>
      </c>
      <c r="H106" s="62">
        <v>63.716343539007141</v>
      </c>
      <c r="I106" s="62">
        <v>81.204966609550553</v>
      </c>
      <c r="J106" s="62">
        <v>10.760759664720636</v>
      </c>
      <c r="K106" s="62">
        <v>50.950203002867454</v>
      </c>
      <c r="L106" s="62">
        <v>93.97110714569024</v>
      </c>
    </row>
    <row r="107" spans="1:12" x14ac:dyDescent="0.35">
      <c r="A107" s="48" t="s">
        <v>146</v>
      </c>
      <c r="B107" s="54">
        <v>1</v>
      </c>
      <c r="C107" s="57">
        <v>70</v>
      </c>
      <c r="D107" s="57">
        <v>77.890578704897052</v>
      </c>
      <c r="E107" s="57">
        <v>-7.8905787048970524</v>
      </c>
      <c r="F107" s="57">
        <v>-0.80258080662353526</v>
      </c>
      <c r="G107" s="57">
        <v>4.5131759435747885</v>
      </c>
      <c r="H107" s="57">
        <v>68.868868542333658</v>
      </c>
      <c r="I107" s="57">
        <v>86.912288867460447</v>
      </c>
      <c r="J107" s="57">
        <v>10.817914965846636</v>
      </c>
      <c r="K107" s="57">
        <v>56.265874814487361</v>
      </c>
      <c r="L107" s="57">
        <v>99.515282595306743</v>
      </c>
    </row>
    <row r="108" spans="1:12" x14ac:dyDescent="0.35">
      <c r="A108" s="48" t="s">
        <v>147</v>
      </c>
      <c r="B108" s="54">
        <v>1</v>
      </c>
      <c r="C108" s="57">
        <v>50</v>
      </c>
      <c r="D108" s="57">
        <v>61.993328539770971</v>
      </c>
      <c r="E108" s="57">
        <v>-11.993328539770971</v>
      </c>
      <c r="F108" s="57">
        <v>-1.219887115196836</v>
      </c>
      <c r="G108" s="57">
        <v>5.9524466462987773</v>
      </c>
      <c r="H108" s="57">
        <v>50.094557237162626</v>
      </c>
      <c r="I108" s="57">
        <v>73.892099842379324</v>
      </c>
      <c r="J108" s="57">
        <v>11.493047819776093</v>
      </c>
      <c r="K108" s="57">
        <v>39.019053304143263</v>
      </c>
      <c r="L108" s="57">
        <v>84.967603775398686</v>
      </c>
    </row>
    <row r="109" spans="1:12" x14ac:dyDescent="0.35">
      <c r="A109" s="48" t="s">
        <v>148</v>
      </c>
      <c r="B109" s="54">
        <v>1</v>
      </c>
      <c r="C109" s="57">
        <v>110</v>
      </c>
      <c r="D109" s="57">
        <v>107.01432319116861</v>
      </c>
      <c r="E109" s="57">
        <v>2.9856768088313856</v>
      </c>
      <c r="F109" s="57">
        <v>0.30368455739018446</v>
      </c>
      <c r="G109" s="57">
        <v>1.5788462823910863</v>
      </c>
      <c r="H109" s="57">
        <v>103.8582544428958</v>
      </c>
      <c r="I109" s="57">
        <v>110.17039193944143</v>
      </c>
      <c r="J109" s="57">
        <v>9.9574737104371316</v>
      </c>
      <c r="K109" s="57">
        <v>87.109616862402419</v>
      </c>
      <c r="L109" s="57">
        <v>126.91902951993481</v>
      </c>
    </row>
    <row r="110" spans="1:12" x14ac:dyDescent="0.35">
      <c r="A110" s="48" t="s">
        <v>149</v>
      </c>
      <c r="B110" s="54">
        <v>1</v>
      </c>
      <c r="C110" s="57">
        <v>110</v>
      </c>
      <c r="D110" s="57">
        <v>102.72292084349472</v>
      </c>
      <c r="E110" s="57">
        <v>7.2770791565052804</v>
      </c>
      <c r="F110" s="57">
        <v>0.74017943141060438</v>
      </c>
      <c r="G110" s="57">
        <v>2.1632078753469961</v>
      </c>
      <c r="H110" s="57">
        <v>98.398729915255146</v>
      </c>
      <c r="I110" s="57">
        <v>107.04711177173429</v>
      </c>
      <c r="J110" s="57">
        <v>10.066677476833641</v>
      </c>
      <c r="K110" s="57">
        <v>82.59991929614921</v>
      </c>
      <c r="L110" s="57">
        <v>122.84592239084023</v>
      </c>
    </row>
    <row r="111" spans="1:12" x14ac:dyDescent="0.35">
      <c r="A111" s="48" t="s">
        <v>150</v>
      </c>
      <c r="B111" s="54">
        <v>1</v>
      </c>
      <c r="C111" s="57">
        <v>110</v>
      </c>
      <c r="D111" s="57">
        <v>118.53650794693885</v>
      </c>
      <c r="E111" s="57">
        <v>-8.5365079469388547</v>
      </c>
      <c r="F111" s="57">
        <v>-0.86828072946669788</v>
      </c>
      <c r="G111" s="57">
        <v>2.4780354926955668</v>
      </c>
      <c r="H111" s="57">
        <v>113.58298557884422</v>
      </c>
      <c r="I111" s="57">
        <v>123.49003031503349</v>
      </c>
      <c r="J111" s="57">
        <v>10.138993392525977</v>
      </c>
      <c r="K111" s="57">
        <v>98.26894894389622</v>
      </c>
      <c r="L111" s="57">
        <v>138.80406694998149</v>
      </c>
    </row>
    <row r="112" spans="1:12" x14ac:dyDescent="0.35">
      <c r="A112" s="48" t="s">
        <v>151</v>
      </c>
      <c r="B112" s="54">
        <v>1</v>
      </c>
      <c r="C112" s="57">
        <v>130</v>
      </c>
      <c r="D112" s="57">
        <v>121.65026992321386</v>
      </c>
      <c r="E112" s="57">
        <v>8.3497300767861447</v>
      </c>
      <c r="F112" s="57">
        <v>0.84928284106168717</v>
      </c>
      <c r="G112" s="57">
        <v>1.98005533418896</v>
      </c>
      <c r="H112" s="57">
        <v>117.69219570802137</v>
      </c>
      <c r="I112" s="57">
        <v>125.60834413840634</v>
      </c>
      <c r="J112" s="57">
        <v>10.028915506527943</v>
      </c>
      <c r="K112" s="57">
        <v>101.60275347893646</v>
      </c>
      <c r="L112" s="57">
        <v>141.69778636749123</v>
      </c>
    </row>
    <row r="113" spans="1:12" x14ac:dyDescent="0.35">
      <c r="A113" s="48" t="s">
        <v>152</v>
      </c>
      <c r="B113" s="54">
        <v>1</v>
      </c>
      <c r="C113" s="57">
        <v>90</v>
      </c>
      <c r="D113" s="57">
        <v>104.54270632713136</v>
      </c>
      <c r="E113" s="57">
        <v>-14.542706327131356</v>
      </c>
      <c r="F113" s="57">
        <v>-1.4791940377293977</v>
      </c>
      <c r="G113" s="57">
        <v>1.6411661796105972</v>
      </c>
      <c r="H113" s="57">
        <v>101.26206187937233</v>
      </c>
      <c r="I113" s="57">
        <v>107.82335077489039</v>
      </c>
      <c r="J113" s="57">
        <v>9.9675450106695838</v>
      </c>
      <c r="K113" s="57">
        <v>84.617867756061003</v>
      </c>
      <c r="L113" s="57">
        <v>124.46754489820171</v>
      </c>
    </row>
    <row r="114" spans="1:12" x14ac:dyDescent="0.35">
      <c r="A114" s="48" t="s">
        <v>153</v>
      </c>
      <c r="B114" s="54">
        <v>1</v>
      </c>
      <c r="C114" s="57">
        <v>90</v>
      </c>
      <c r="D114" s="57">
        <v>94.637278556123263</v>
      </c>
      <c r="E114" s="57">
        <v>-4.6372785561232632</v>
      </c>
      <c r="F114" s="57">
        <v>-0.47167526024442452</v>
      </c>
      <c r="G114" s="57">
        <v>2.0944737666249873</v>
      </c>
      <c r="H114" s="57">
        <v>90.450485153467625</v>
      </c>
      <c r="I114" s="57">
        <v>98.824071958778902</v>
      </c>
      <c r="J114" s="57">
        <v>10.0521314888787</v>
      </c>
      <c r="K114" s="57">
        <v>74.543354024386772</v>
      </c>
      <c r="L114" s="57">
        <v>114.73120308785975</v>
      </c>
    </row>
    <row r="115" spans="1:12" x14ac:dyDescent="0.35">
      <c r="A115" s="48" t="s">
        <v>154</v>
      </c>
      <c r="B115" s="54">
        <v>1</v>
      </c>
      <c r="C115" s="57">
        <v>120</v>
      </c>
      <c r="D115" s="57">
        <v>115.74009735251001</v>
      </c>
      <c r="E115" s="57">
        <v>4.2599026474899944</v>
      </c>
      <c r="F115" s="57">
        <v>0.43329091956695198</v>
      </c>
      <c r="G115" s="57">
        <v>2.4032439269780719</v>
      </c>
      <c r="H115" s="57">
        <v>110.93608119399892</v>
      </c>
      <c r="I115" s="57">
        <v>120.5441135110211</v>
      </c>
      <c r="J115" s="57">
        <v>10.120973692445972</v>
      </c>
      <c r="K115" s="57">
        <v>95.508559216672779</v>
      </c>
      <c r="L115" s="57">
        <v>135.97163548834723</v>
      </c>
    </row>
    <row r="116" spans="1:12" x14ac:dyDescent="0.35">
      <c r="A116" s="48" t="s">
        <v>155</v>
      </c>
      <c r="B116" s="54">
        <v>1</v>
      </c>
      <c r="C116" s="57">
        <v>110</v>
      </c>
      <c r="D116" s="57">
        <v>92.575100953144315</v>
      </c>
      <c r="E116" s="57">
        <v>17.424899046855685</v>
      </c>
      <c r="F116" s="57">
        <v>1.7723528343592596</v>
      </c>
      <c r="G116" s="57">
        <v>3.10275904458741</v>
      </c>
      <c r="H116" s="57">
        <v>86.372773998798351</v>
      </c>
      <c r="I116" s="57">
        <v>98.777427907490278</v>
      </c>
      <c r="J116" s="57">
        <v>10.309492751798967</v>
      </c>
      <c r="K116" s="57">
        <v>71.966718587242639</v>
      </c>
      <c r="L116" s="57">
        <v>113.18348331904599</v>
      </c>
    </row>
    <row r="117" spans="1:12" x14ac:dyDescent="0.35">
      <c r="A117" s="48" t="s">
        <v>156</v>
      </c>
      <c r="B117" s="54">
        <v>1</v>
      </c>
      <c r="C117" s="57">
        <v>120</v>
      </c>
      <c r="D117" s="57">
        <v>107.10639131234393</v>
      </c>
      <c r="E117" s="57">
        <v>12.893608687656069</v>
      </c>
      <c r="F117" s="57">
        <v>1.3114580372165796</v>
      </c>
      <c r="G117" s="57">
        <v>2.186691652976624</v>
      </c>
      <c r="H117" s="57">
        <v>102.7352569815104</v>
      </c>
      <c r="I117" s="57">
        <v>111.47752564317746</v>
      </c>
      <c r="J117" s="57">
        <v>10.071749971868051</v>
      </c>
      <c r="K117" s="57">
        <v>86.973249991904339</v>
      </c>
      <c r="L117" s="57">
        <v>127.23953263278352</v>
      </c>
    </row>
    <row r="118" spans="1:12" x14ac:dyDescent="0.35">
      <c r="A118" s="48" t="s">
        <v>157</v>
      </c>
      <c r="B118" s="54">
        <v>1</v>
      </c>
      <c r="C118" s="57">
        <v>110</v>
      </c>
      <c r="D118" s="57">
        <v>98.838768044933161</v>
      </c>
      <c r="E118" s="57">
        <v>11.161231955066839</v>
      </c>
      <c r="F118" s="57">
        <v>1.135251403024538</v>
      </c>
      <c r="G118" s="57">
        <v>1.4619920257334311</v>
      </c>
      <c r="H118" s="57">
        <v>95.916287627363033</v>
      </c>
      <c r="I118" s="57">
        <v>101.76124846250329</v>
      </c>
      <c r="J118" s="57">
        <v>9.939615072724628</v>
      </c>
      <c r="K118" s="57">
        <v>78.969760624287261</v>
      </c>
      <c r="L118" s="57">
        <v>118.70777546557906</v>
      </c>
    </row>
    <row r="119" spans="1:12" x14ac:dyDescent="0.35">
      <c r="A119" s="48" t="s">
        <v>158</v>
      </c>
      <c r="B119" s="54">
        <v>1</v>
      </c>
      <c r="C119" s="57">
        <v>110</v>
      </c>
      <c r="D119" s="57">
        <v>118.70791391357571</v>
      </c>
      <c r="E119" s="57">
        <v>-8.7079139135757089</v>
      </c>
      <c r="F119" s="57">
        <v>-0.88571508303041258</v>
      </c>
      <c r="G119" s="57">
        <v>2.3149516392521732</v>
      </c>
      <c r="H119" s="57">
        <v>114.08039152340235</v>
      </c>
      <c r="I119" s="57">
        <v>123.33543630374906</v>
      </c>
      <c r="J119" s="57">
        <v>10.100372676426488</v>
      </c>
      <c r="K119" s="57">
        <v>98.51755662198336</v>
      </c>
      <c r="L119" s="57">
        <v>138.89827120516807</v>
      </c>
    </row>
    <row r="120" spans="1:12" x14ac:dyDescent="0.35">
      <c r="A120" s="48" t="s">
        <v>159</v>
      </c>
      <c r="B120" s="54">
        <v>1</v>
      </c>
      <c r="C120" s="57">
        <v>110</v>
      </c>
      <c r="D120" s="57">
        <v>116.06266776225513</v>
      </c>
      <c r="E120" s="57">
        <v>-6.0626677622551313</v>
      </c>
      <c r="F120" s="57">
        <v>-0.61665702414214874</v>
      </c>
      <c r="G120" s="57">
        <v>2.8574998590745744</v>
      </c>
      <c r="H120" s="57">
        <v>110.35060693403997</v>
      </c>
      <c r="I120" s="57">
        <v>121.77472859047029</v>
      </c>
      <c r="J120" s="57">
        <v>10.238351066223393</v>
      </c>
      <c r="K120" s="57">
        <v>95.596495599492727</v>
      </c>
      <c r="L120" s="57">
        <v>136.52883992501754</v>
      </c>
    </row>
    <row r="121" spans="1:12" x14ac:dyDescent="0.35">
      <c r="A121" s="48" t="s">
        <v>160</v>
      </c>
      <c r="B121" s="54">
        <v>1</v>
      </c>
      <c r="C121" s="57">
        <v>100</v>
      </c>
      <c r="D121" s="57">
        <v>109.59059642805147</v>
      </c>
      <c r="E121" s="57">
        <v>-9.5905964280514695</v>
      </c>
      <c r="F121" s="57">
        <v>-0.97549608274603339</v>
      </c>
      <c r="G121" s="57">
        <v>2.8464816427709887</v>
      </c>
      <c r="H121" s="57">
        <v>103.90056070039569</v>
      </c>
      <c r="I121" s="57">
        <v>115.28063215570725</v>
      </c>
      <c r="J121" s="57">
        <v>10.235281376359845</v>
      </c>
      <c r="K121" s="57">
        <v>89.130560487892424</v>
      </c>
      <c r="L121" s="57">
        <v>130.05063236821053</v>
      </c>
    </row>
    <row r="122" spans="1:12" x14ac:dyDescent="0.35">
      <c r="A122" s="48" t="s">
        <v>161</v>
      </c>
      <c r="B122" s="54">
        <v>1</v>
      </c>
      <c r="C122" s="57">
        <v>110</v>
      </c>
      <c r="D122" s="57">
        <v>116.6690071500783</v>
      </c>
      <c r="E122" s="57">
        <v>-6.6690071500783006</v>
      </c>
      <c r="F122" s="57">
        <v>-0.67833011215845906</v>
      </c>
      <c r="G122" s="57">
        <v>2.3521914423296026</v>
      </c>
      <c r="H122" s="57">
        <v>111.96704345425326</v>
      </c>
      <c r="I122" s="57">
        <v>121.37097084590334</v>
      </c>
      <c r="J122" s="57">
        <v>10.108972830708128</v>
      </c>
      <c r="K122" s="57">
        <v>96.461458395034867</v>
      </c>
      <c r="L122" s="57">
        <v>136.87655590512173</v>
      </c>
    </row>
    <row r="123" spans="1:12" x14ac:dyDescent="0.35">
      <c r="A123" s="48" t="s">
        <v>162</v>
      </c>
      <c r="B123" s="54">
        <v>1</v>
      </c>
      <c r="C123" s="57">
        <v>110</v>
      </c>
      <c r="D123" s="57">
        <v>118.70791391357571</v>
      </c>
      <c r="E123" s="57">
        <v>-8.7079139135757089</v>
      </c>
      <c r="F123" s="57">
        <v>-0.88571508303041258</v>
      </c>
      <c r="G123" s="57">
        <v>2.3149516392521732</v>
      </c>
      <c r="H123" s="57">
        <v>114.08039152340235</v>
      </c>
      <c r="I123" s="57">
        <v>123.33543630374906</v>
      </c>
      <c r="J123" s="57">
        <v>10.100372676426488</v>
      </c>
      <c r="K123" s="57">
        <v>98.51755662198336</v>
      </c>
      <c r="L123" s="57">
        <v>138.89827120516807</v>
      </c>
    </row>
    <row r="124" spans="1:12" x14ac:dyDescent="0.35">
      <c r="A124" s="48" t="s">
        <v>163</v>
      </c>
      <c r="B124" s="54">
        <v>1</v>
      </c>
      <c r="C124" s="57">
        <v>110</v>
      </c>
      <c r="D124" s="57">
        <v>89.857031043594404</v>
      </c>
      <c r="E124" s="57">
        <v>20.142968956405596</v>
      </c>
      <c r="F124" s="57">
        <v>2.0488180750027452</v>
      </c>
      <c r="G124" s="57">
        <v>2.0800435497182721</v>
      </c>
      <c r="H124" s="57">
        <v>85.699083233519886</v>
      </c>
      <c r="I124" s="57">
        <v>94.014978853668921</v>
      </c>
      <c r="J124" s="57">
        <v>10.049134703015531</v>
      </c>
      <c r="K124" s="57">
        <v>69.76909700144104</v>
      </c>
      <c r="L124" s="57">
        <v>109.94496508574777</v>
      </c>
    </row>
    <row r="125" spans="1:12" x14ac:dyDescent="0.35">
      <c r="A125" s="48" t="s">
        <v>164</v>
      </c>
      <c r="B125" s="54">
        <v>1</v>
      </c>
      <c r="C125" s="57">
        <v>100</v>
      </c>
      <c r="D125" s="57">
        <v>96.597673227502526</v>
      </c>
      <c r="E125" s="57">
        <v>3.4023267724974744</v>
      </c>
      <c r="F125" s="57">
        <v>0.34606361175678796</v>
      </c>
      <c r="G125" s="57">
        <v>3.0183193700158295</v>
      </c>
      <c r="H125" s="57">
        <v>90.564138777532662</v>
      </c>
      <c r="I125" s="57">
        <v>102.63120767747239</v>
      </c>
      <c r="J125" s="57">
        <v>10.284394922893579</v>
      </c>
      <c r="K125" s="57">
        <v>76.039460706722082</v>
      </c>
      <c r="L125" s="57">
        <v>117.15588574828297</v>
      </c>
    </row>
    <row r="126" spans="1:12" x14ac:dyDescent="0.35">
      <c r="A126" s="48" t="s">
        <v>165</v>
      </c>
      <c r="B126" s="54">
        <v>1</v>
      </c>
      <c r="C126" s="57">
        <v>110</v>
      </c>
      <c r="D126" s="57">
        <v>111.8283484982464</v>
      </c>
      <c r="E126" s="57">
        <v>-1.8283484982463989</v>
      </c>
      <c r="F126" s="57">
        <v>-0.18596828792808665</v>
      </c>
      <c r="G126" s="57">
        <v>2.3398274511930639</v>
      </c>
      <c r="H126" s="57">
        <v>107.15110006854013</v>
      </c>
      <c r="I126" s="57">
        <v>116.50559692795267</v>
      </c>
      <c r="J126" s="57">
        <v>10.10610308734198</v>
      </c>
      <c r="K126" s="57">
        <v>91.626536278453088</v>
      </c>
      <c r="L126" s="57">
        <v>132.03016071803972</v>
      </c>
    </row>
    <row r="127" spans="1:12" x14ac:dyDescent="0.35">
      <c r="A127" s="48" t="s">
        <v>166</v>
      </c>
      <c r="B127" s="54">
        <v>1</v>
      </c>
      <c r="C127" s="57">
        <v>100</v>
      </c>
      <c r="D127" s="57">
        <v>103.79576281800455</v>
      </c>
      <c r="E127" s="57">
        <v>-3.7957628180045475</v>
      </c>
      <c r="F127" s="57">
        <v>-0.38608149011111842</v>
      </c>
      <c r="G127" s="57">
        <v>1.8132820693515148</v>
      </c>
      <c r="H127" s="57">
        <v>100.17106360902467</v>
      </c>
      <c r="I127" s="57">
        <v>107.42046202698442</v>
      </c>
      <c r="J127" s="57">
        <v>9.9973255910597505</v>
      </c>
      <c r="K127" s="57">
        <v>83.811393714973548</v>
      </c>
      <c r="L127" s="57">
        <v>123.78013192103555</v>
      </c>
    </row>
    <row r="128" spans="1:12" x14ac:dyDescent="0.35">
      <c r="A128" s="48" t="s">
        <v>167</v>
      </c>
      <c r="B128" s="54">
        <v>1</v>
      </c>
      <c r="C128" s="57">
        <v>100</v>
      </c>
      <c r="D128" s="57">
        <v>108.68068646141583</v>
      </c>
      <c r="E128" s="57">
        <v>-8.6806864614158314</v>
      </c>
      <c r="F128" s="57">
        <v>-0.8829456751917687</v>
      </c>
      <c r="G128" s="57">
        <v>1.5937256940968487</v>
      </c>
      <c r="H128" s="57">
        <v>105.49487419295299</v>
      </c>
      <c r="I128" s="57">
        <v>111.86649872987867</v>
      </c>
      <c r="J128" s="57">
        <v>9.959843808948559</v>
      </c>
      <c r="K128" s="57">
        <v>88.771242373232724</v>
      </c>
      <c r="L128" s="57">
        <v>128.59013054959894</v>
      </c>
    </row>
    <row r="129" spans="1:12" x14ac:dyDescent="0.35">
      <c r="A129" s="48" t="s">
        <v>168</v>
      </c>
      <c r="B129" s="54">
        <v>1</v>
      </c>
      <c r="C129" s="57">
        <v>110</v>
      </c>
      <c r="D129" s="57">
        <v>114.59527206471211</v>
      </c>
      <c r="E129" s="57">
        <v>-4.5952720647121055</v>
      </c>
      <c r="F129" s="57">
        <v>-0.46740262004640354</v>
      </c>
      <c r="G129" s="57">
        <v>2.3038760521746755</v>
      </c>
      <c r="H129" s="57">
        <v>109.98988945764108</v>
      </c>
      <c r="I129" s="57">
        <v>119.20065467178313</v>
      </c>
      <c r="J129" s="57">
        <v>10.097839965775375</v>
      </c>
      <c r="K129" s="57">
        <v>94.409977589572208</v>
      </c>
      <c r="L129" s="57">
        <v>134.780566539852</v>
      </c>
    </row>
    <row r="130" spans="1:12" x14ac:dyDescent="0.35">
      <c r="A130" s="48" t="s">
        <v>169</v>
      </c>
      <c r="B130" s="54">
        <v>1</v>
      </c>
      <c r="C130" s="57">
        <v>110</v>
      </c>
      <c r="D130" s="57">
        <v>118.83803083784885</v>
      </c>
      <c r="E130" s="57">
        <v>-8.8380308378488479</v>
      </c>
      <c r="F130" s="57">
        <v>-0.89894977087069716</v>
      </c>
      <c r="G130" s="57">
        <v>1.7171535569945342</v>
      </c>
      <c r="H130" s="57">
        <v>115.40548978704531</v>
      </c>
      <c r="I130" s="57">
        <v>122.27057188865238</v>
      </c>
      <c r="J130" s="57">
        <v>9.9803378424242446</v>
      </c>
      <c r="K130" s="57">
        <v>98.887619760478742</v>
      </c>
      <c r="L130" s="57">
        <v>138.78844191521895</v>
      </c>
    </row>
    <row r="131" spans="1:12" x14ac:dyDescent="0.35">
      <c r="A131" s="48" t="s">
        <v>170</v>
      </c>
      <c r="B131" s="54">
        <v>1</v>
      </c>
      <c r="C131" s="57">
        <v>100</v>
      </c>
      <c r="D131" s="57">
        <v>99.524323012211198</v>
      </c>
      <c r="E131" s="57">
        <v>0.47567698778880185</v>
      </c>
      <c r="F131" s="57">
        <v>4.8382917759233098E-2</v>
      </c>
      <c r="G131" s="57">
        <v>2.9531267804244985</v>
      </c>
      <c r="H131" s="57">
        <v>93.621106691956015</v>
      </c>
      <c r="I131" s="57">
        <v>105.42753933246638</v>
      </c>
      <c r="J131" s="57">
        <v>10.265451032072914</v>
      </c>
      <c r="K131" s="57">
        <v>79.003978789603039</v>
      </c>
      <c r="L131" s="57">
        <v>120.04466723481936</v>
      </c>
    </row>
    <row r="132" spans="1:12" x14ac:dyDescent="0.35">
      <c r="A132" s="48" t="s">
        <v>171</v>
      </c>
      <c r="B132" s="54">
        <v>1</v>
      </c>
      <c r="C132" s="57">
        <v>120</v>
      </c>
      <c r="D132" s="57">
        <v>109.69332737900126</v>
      </c>
      <c r="E132" s="57">
        <v>10.306672620998739</v>
      </c>
      <c r="F132" s="57">
        <v>1.0483309190784882</v>
      </c>
      <c r="G132" s="57">
        <v>2.1462405883881637</v>
      </c>
      <c r="H132" s="57">
        <v>105.40305357411373</v>
      </c>
      <c r="I132" s="57">
        <v>113.98360118388879</v>
      </c>
      <c r="J132" s="57">
        <v>10.063045054747159</v>
      </c>
      <c r="K132" s="57">
        <v>89.577586939944467</v>
      </c>
      <c r="L132" s="57">
        <v>129.80906781805805</v>
      </c>
    </row>
    <row r="133" spans="1:12" x14ac:dyDescent="0.35">
      <c r="A133" s="48" t="s">
        <v>172</v>
      </c>
      <c r="B133" s="54">
        <v>1</v>
      </c>
      <c r="C133" s="57">
        <v>120</v>
      </c>
      <c r="D133" s="57">
        <v>126.38935065938568</v>
      </c>
      <c r="E133" s="57">
        <v>-6.3893506593856841</v>
      </c>
      <c r="F133" s="57">
        <v>-0.64988518558567288</v>
      </c>
      <c r="G133" s="57">
        <v>2.9852565719163446</v>
      </c>
      <c r="H133" s="57">
        <v>120.4219078010901</v>
      </c>
      <c r="I133" s="57">
        <v>132.35679351768127</v>
      </c>
      <c r="J133" s="57">
        <v>10.274740089695515</v>
      </c>
      <c r="K133" s="57">
        <v>105.85043787516987</v>
      </c>
      <c r="L133" s="57">
        <v>146.92826344360151</v>
      </c>
    </row>
    <row r="134" spans="1:12" x14ac:dyDescent="0.35">
      <c r="A134" s="48" t="s">
        <v>173</v>
      </c>
      <c r="B134" s="54">
        <v>1</v>
      </c>
      <c r="C134" s="57">
        <v>110</v>
      </c>
      <c r="D134" s="57">
        <v>117.10493773184722</v>
      </c>
      <c r="E134" s="57">
        <v>-7.1049377318472153</v>
      </c>
      <c r="F134" s="57">
        <v>-0.7226702716110005</v>
      </c>
      <c r="G134" s="57">
        <v>2.1613051989307639</v>
      </c>
      <c r="H134" s="57">
        <v>112.78455019956982</v>
      </c>
      <c r="I134" s="57">
        <v>121.42532526412461</v>
      </c>
      <c r="J134" s="57">
        <v>10.066268786077174</v>
      </c>
      <c r="K134" s="57">
        <v>96.982753145683148</v>
      </c>
      <c r="L134" s="57">
        <v>137.22712231801128</v>
      </c>
    </row>
    <row r="135" spans="1:12" x14ac:dyDescent="0.35">
      <c r="A135" s="48" t="s">
        <v>174</v>
      </c>
      <c r="B135" s="54">
        <v>1</v>
      </c>
      <c r="C135" s="57">
        <v>110</v>
      </c>
      <c r="D135" s="57">
        <v>115.67658799798461</v>
      </c>
      <c r="E135" s="57">
        <v>-5.6765879979846119</v>
      </c>
      <c r="F135" s="57">
        <v>-0.57738738116438437</v>
      </c>
      <c r="G135" s="57">
        <v>2.4158212451649224</v>
      </c>
      <c r="H135" s="57">
        <v>110.84743013865734</v>
      </c>
      <c r="I135" s="57">
        <v>120.50574585731188</v>
      </c>
      <c r="J135" s="57">
        <v>10.123967572015266</v>
      </c>
      <c r="K135" s="57">
        <v>95.439065182162935</v>
      </c>
      <c r="L135" s="57">
        <v>135.9141108138063</v>
      </c>
    </row>
    <row r="136" spans="1:12" x14ac:dyDescent="0.35">
      <c r="A136" s="48" t="s">
        <v>175</v>
      </c>
      <c r="B136" s="54">
        <v>1</v>
      </c>
      <c r="C136" s="57">
        <v>100</v>
      </c>
      <c r="D136" s="57">
        <v>98.482175308625784</v>
      </c>
      <c r="E136" s="57">
        <v>1.5178246913742157</v>
      </c>
      <c r="F136" s="57">
        <v>0.1543837290869694</v>
      </c>
      <c r="G136" s="57">
        <v>1.3936262109440893</v>
      </c>
      <c r="H136" s="57">
        <v>95.696356207558281</v>
      </c>
      <c r="I136" s="57">
        <v>101.26799440969329</v>
      </c>
      <c r="J136" s="57">
        <v>9.9297895811772801</v>
      </c>
      <c r="K136" s="57">
        <v>78.63280876572388</v>
      </c>
      <c r="L136" s="57">
        <v>118.33154185152769</v>
      </c>
    </row>
    <row r="137" spans="1:12" x14ac:dyDescent="0.35">
      <c r="A137" s="48" t="s">
        <v>176</v>
      </c>
      <c r="B137" s="54">
        <v>1</v>
      </c>
      <c r="C137" s="57">
        <v>110</v>
      </c>
      <c r="D137" s="57">
        <v>98.196480908651935</v>
      </c>
      <c r="E137" s="57">
        <v>11.803519091348065</v>
      </c>
      <c r="F137" s="57">
        <v>1.2005808734220116</v>
      </c>
      <c r="G137" s="57">
        <v>1.6893501773216979</v>
      </c>
      <c r="H137" s="57">
        <v>94.819518021891639</v>
      </c>
      <c r="I137" s="57">
        <v>101.57344379541223</v>
      </c>
      <c r="J137" s="57">
        <v>9.9755917685239766</v>
      </c>
      <c r="K137" s="57">
        <v>78.255557097826198</v>
      </c>
      <c r="L137" s="57">
        <v>118.13740471947767</v>
      </c>
    </row>
    <row r="138" spans="1:12" x14ac:dyDescent="0.35">
      <c r="A138" s="48" t="s">
        <v>177</v>
      </c>
      <c r="B138" s="54">
        <v>1</v>
      </c>
      <c r="C138" s="57">
        <v>120</v>
      </c>
      <c r="D138" s="57">
        <v>86.092420155903497</v>
      </c>
      <c r="E138" s="57">
        <v>33.907579844096503</v>
      </c>
      <c r="F138" s="57">
        <v>3.4488690626756697</v>
      </c>
      <c r="G138" s="57">
        <v>2.0686154609123633</v>
      </c>
      <c r="H138" s="57">
        <v>81.957316769846116</v>
      </c>
      <c r="I138" s="57">
        <v>90.227523541960878</v>
      </c>
      <c r="J138" s="57">
        <v>10.046775454629815</v>
      </c>
      <c r="K138" s="57">
        <v>66.00920218407478</v>
      </c>
      <c r="L138" s="57">
        <v>106.17563812773221</v>
      </c>
    </row>
    <row r="139" spans="1:12" x14ac:dyDescent="0.35">
      <c r="A139" s="48" t="s">
        <v>178</v>
      </c>
      <c r="B139" s="54">
        <v>1</v>
      </c>
      <c r="C139" s="57">
        <v>110</v>
      </c>
      <c r="D139" s="57">
        <v>117.69215502273106</v>
      </c>
      <c r="E139" s="57">
        <v>-7.6921550227310576</v>
      </c>
      <c r="F139" s="57">
        <v>-0.78239837833254544</v>
      </c>
      <c r="G139" s="57">
        <v>1.8813748618930115</v>
      </c>
      <c r="H139" s="57">
        <v>113.93134026094552</v>
      </c>
      <c r="I139" s="57">
        <v>121.4529697845166</v>
      </c>
      <c r="J139" s="57">
        <v>10.009900023556151</v>
      </c>
      <c r="K139" s="57">
        <v>97.682649987296898</v>
      </c>
      <c r="L139" s="57">
        <v>137.7016600581652</v>
      </c>
    </row>
    <row r="140" spans="1:12" x14ac:dyDescent="0.35">
      <c r="A140" s="48" t="s">
        <v>179</v>
      </c>
      <c r="B140" s="54">
        <v>1</v>
      </c>
      <c r="C140" s="57">
        <v>120</v>
      </c>
      <c r="D140" s="57">
        <v>112.45802762482052</v>
      </c>
      <c r="E140" s="57">
        <v>7.5419723751794834</v>
      </c>
      <c r="F140" s="57">
        <v>0.76712272936930848</v>
      </c>
      <c r="G140" s="57">
        <v>2.088463788946064</v>
      </c>
      <c r="H140" s="57">
        <v>108.28324799636304</v>
      </c>
      <c r="I140" s="57">
        <v>116.63280725327799</v>
      </c>
      <c r="J140" s="57">
        <v>10.050880961804562</v>
      </c>
      <c r="K140" s="57">
        <v>92.366602861086506</v>
      </c>
      <c r="L140" s="57">
        <v>132.54945238855453</v>
      </c>
    </row>
    <row r="141" spans="1:12" x14ac:dyDescent="0.35">
      <c r="A141" s="48" t="s">
        <v>180</v>
      </c>
      <c r="B141" s="54">
        <v>1</v>
      </c>
      <c r="C141" s="57">
        <v>110</v>
      </c>
      <c r="D141" s="57">
        <v>107.85976109233096</v>
      </c>
      <c r="E141" s="57">
        <v>2.140238907669044</v>
      </c>
      <c r="F141" s="57">
        <v>0.21769184911849962</v>
      </c>
      <c r="G141" s="57">
        <v>2.4091065967174199</v>
      </c>
      <c r="H141" s="57">
        <v>103.04402562399714</v>
      </c>
      <c r="I141" s="57">
        <v>112.67549656066477</v>
      </c>
      <c r="J141" s="57">
        <v>10.122367396265256</v>
      </c>
      <c r="K141" s="57">
        <v>87.625436982255792</v>
      </c>
      <c r="L141" s="57">
        <v>128.09408520240612</v>
      </c>
    </row>
    <row r="142" spans="1:12" x14ac:dyDescent="0.35">
      <c r="A142" s="48" t="s">
        <v>181</v>
      </c>
      <c r="B142" s="54">
        <v>1</v>
      </c>
      <c r="C142" s="57">
        <v>110</v>
      </c>
      <c r="D142" s="57">
        <v>108.70185624625763</v>
      </c>
      <c r="E142" s="57">
        <v>1.2981437537423659</v>
      </c>
      <c r="F142" s="57">
        <v>0.1320391443970072</v>
      </c>
      <c r="G142" s="57">
        <v>1.4298699795606633</v>
      </c>
      <c r="H142" s="57">
        <v>105.84358688405567</v>
      </c>
      <c r="I142" s="57">
        <v>111.5601256084596</v>
      </c>
      <c r="J142" s="57">
        <v>9.9349411306295767</v>
      </c>
      <c r="K142" s="57">
        <v>88.842191902732011</v>
      </c>
      <c r="L142" s="57">
        <v>128.56152058978327</v>
      </c>
    </row>
    <row r="143" spans="1:12" x14ac:dyDescent="0.35">
      <c r="A143" s="48" t="s">
        <v>182</v>
      </c>
      <c r="B143" s="54">
        <v>1</v>
      </c>
      <c r="C143" s="57">
        <v>140</v>
      </c>
      <c r="D143" s="57">
        <v>131.48479935788842</v>
      </c>
      <c r="E143" s="57">
        <v>8.51520064211158</v>
      </c>
      <c r="F143" s="57">
        <v>0.86611348235659247</v>
      </c>
      <c r="G143" s="57">
        <v>3.1094166839467157</v>
      </c>
      <c r="H143" s="57">
        <v>125.26916397209253</v>
      </c>
      <c r="I143" s="57">
        <v>137.70043474368433</v>
      </c>
      <c r="J143" s="57">
        <v>10.311498398634054</v>
      </c>
      <c r="K143" s="57">
        <v>110.87240776109017</v>
      </c>
      <c r="L143" s="57">
        <v>152.09719095468665</v>
      </c>
    </row>
    <row r="144" spans="1:12" x14ac:dyDescent="0.35">
      <c r="A144" s="48" t="s">
        <v>183</v>
      </c>
      <c r="B144" s="54">
        <v>1</v>
      </c>
      <c r="C144" s="57">
        <v>110</v>
      </c>
      <c r="D144" s="57">
        <v>112.14260166487017</v>
      </c>
      <c r="E144" s="57">
        <v>-2.1426016648701705</v>
      </c>
      <c r="F144" s="57">
        <v>-0.21793217415057348</v>
      </c>
      <c r="G144" s="57">
        <v>2.5745832824072243</v>
      </c>
      <c r="H144" s="57">
        <v>106.99608301510945</v>
      </c>
      <c r="I144" s="57">
        <v>117.28912031463089</v>
      </c>
      <c r="J144" s="57">
        <v>10.163021508817012</v>
      </c>
      <c r="K144" s="57">
        <v>91.8270111417538</v>
      </c>
      <c r="L144" s="57">
        <v>132.45819218798653</v>
      </c>
    </row>
    <row r="145" spans="1:12" x14ac:dyDescent="0.35">
      <c r="A145" s="48" t="s">
        <v>184</v>
      </c>
      <c r="B145" s="54">
        <v>1</v>
      </c>
      <c r="C145" s="57">
        <v>100</v>
      </c>
      <c r="D145" s="57">
        <v>91.707530556192253</v>
      </c>
      <c r="E145" s="57">
        <v>8.2924694438077466</v>
      </c>
      <c r="F145" s="57">
        <v>0.84345864403858983</v>
      </c>
      <c r="G145" s="57">
        <v>1.9321228830873072</v>
      </c>
      <c r="H145" s="57">
        <v>87.845271945493536</v>
      </c>
      <c r="I145" s="57">
        <v>95.56978916689097</v>
      </c>
      <c r="J145" s="57">
        <v>10.019562163386984</v>
      </c>
      <c r="K145" s="57">
        <v>71.678711178442668</v>
      </c>
      <c r="L145" s="57">
        <v>111.73634993394184</v>
      </c>
    </row>
    <row r="146" spans="1:12" x14ac:dyDescent="0.35">
      <c r="A146" s="48" t="s">
        <v>185</v>
      </c>
      <c r="B146" s="54">
        <v>1</v>
      </c>
      <c r="C146" s="57">
        <v>110</v>
      </c>
      <c r="D146" s="57">
        <v>114.76667803134896</v>
      </c>
      <c r="E146" s="57">
        <v>-4.7666780313489596</v>
      </c>
      <c r="F146" s="57">
        <v>-0.48483697361011824</v>
      </c>
      <c r="G146" s="57">
        <v>2.2299216346835888</v>
      </c>
      <c r="H146" s="57">
        <v>110.30912819840137</v>
      </c>
      <c r="I146" s="57">
        <v>119.22422786429655</v>
      </c>
      <c r="J146" s="57">
        <v>10.081224013355541</v>
      </c>
      <c r="K146" s="57">
        <v>94.614598371824684</v>
      </c>
      <c r="L146" s="57">
        <v>134.91875769087324</v>
      </c>
    </row>
    <row r="147" spans="1:12" x14ac:dyDescent="0.35">
      <c r="A147" s="48" t="s">
        <v>186</v>
      </c>
      <c r="B147" s="54">
        <v>1</v>
      </c>
      <c r="C147" s="57">
        <v>160</v>
      </c>
      <c r="D147" s="57">
        <v>137.12213007033887</v>
      </c>
      <c r="E147" s="57">
        <v>22.877869929661131</v>
      </c>
      <c r="F147" s="57">
        <v>2.3269952672267666</v>
      </c>
      <c r="G147" s="57">
        <v>3.5663152325560792</v>
      </c>
      <c r="H147" s="57">
        <v>129.99316749969927</v>
      </c>
      <c r="I147" s="57">
        <v>144.25109264097847</v>
      </c>
      <c r="J147" s="57">
        <v>10.458352233912759</v>
      </c>
      <c r="K147" s="57">
        <v>116.21618183965148</v>
      </c>
      <c r="L147" s="57">
        <v>158.02807830102626</v>
      </c>
    </row>
    <row r="148" spans="1:12" x14ac:dyDescent="0.35">
      <c r="A148" s="48" t="s">
        <v>259</v>
      </c>
      <c r="B148" s="54">
        <v>1</v>
      </c>
      <c r="C148" s="57">
        <v>100</v>
      </c>
      <c r="D148" s="57">
        <v>103.71108367863735</v>
      </c>
      <c r="E148" s="57">
        <v>-3.7110836786373511</v>
      </c>
      <c r="F148" s="57">
        <v>-0.37746845239623794</v>
      </c>
      <c r="G148" s="57">
        <v>1.5614247343230709</v>
      </c>
      <c r="H148" s="57">
        <v>100.5898401087351</v>
      </c>
      <c r="I148" s="57">
        <v>106.8323272485396</v>
      </c>
      <c r="J148" s="57">
        <v>9.9547262298660097</v>
      </c>
      <c r="K148" s="57">
        <v>83.811869485276432</v>
      </c>
      <c r="L148" s="57">
        <v>123.61029787199827</v>
      </c>
    </row>
    <row r="149" spans="1:12" x14ac:dyDescent="0.35">
      <c r="A149" s="48" t="s">
        <v>260</v>
      </c>
      <c r="B149" s="54">
        <v>1</v>
      </c>
      <c r="C149" s="57">
        <v>120</v>
      </c>
      <c r="D149" s="57">
        <v>113.48639452537228</v>
      </c>
      <c r="E149" s="57">
        <v>6.5136054746277239</v>
      </c>
      <c r="F149" s="57">
        <v>0.66252361599406906</v>
      </c>
      <c r="G149" s="57">
        <v>1.6884409491052401</v>
      </c>
      <c r="H149" s="57">
        <v>110.11124915991917</v>
      </c>
      <c r="I149" s="57">
        <v>116.86153989082538</v>
      </c>
      <c r="J149" s="57">
        <v>9.9754378324583755</v>
      </c>
      <c r="K149" s="57">
        <v>93.54577842835711</v>
      </c>
      <c r="L149" s="57">
        <v>133.42701062238743</v>
      </c>
    </row>
    <row r="150" spans="1:12" x14ac:dyDescent="0.35">
      <c r="A150" s="48" t="s">
        <v>261</v>
      </c>
      <c r="B150" s="54">
        <v>1</v>
      </c>
      <c r="C150" s="57">
        <v>130</v>
      </c>
      <c r="D150" s="57">
        <v>112.77963532361774</v>
      </c>
      <c r="E150" s="57">
        <v>17.22036467638226</v>
      </c>
      <c r="F150" s="57">
        <v>1.7515488646916204</v>
      </c>
      <c r="G150" s="57">
        <v>1.4856484744400744</v>
      </c>
      <c r="H150" s="57">
        <v>109.80986633888888</v>
      </c>
      <c r="I150" s="57">
        <v>115.7494043083466</v>
      </c>
      <c r="J150" s="57">
        <v>9.9431221706379826</v>
      </c>
      <c r="K150" s="57">
        <v>92.903617314135602</v>
      </c>
      <c r="L150" s="57">
        <v>132.65565333309988</v>
      </c>
    </row>
    <row r="151" spans="1:12" x14ac:dyDescent="0.35">
      <c r="A151" s="48" t="s">
        <v>262</v>
      </c>
      <c r="B151" s="54">
        <v>1</v>
      </c>
      <c r="C151" s="57">
        <v>120</v>
      </c>
      <c r="D151" s="57">
        <v>123.65749994680213</v>
      </c>
      <c r="E151" s="57">
        <v>-3.6574999468021332</v>
      </c>
      <c r="F151" s="57">
        <v>-0.37201824698969171</v>
      </c>
      <c r="G151" s="57">
        <v>3.3338222331588532</v>
      </c>
      <c r="H151" s="57">
        <v>116.99328425986708</v>
      </c>
      <c r="I151" s="57">
        <v>130.32171563373717</v>
      </c>
      <c r="J151" s="57">
        <v>10.381372635298799</v>
      </c>
      <c r="K151" s="57">
        <v>102.90543174113665</v>
      </c>
      <c r="L151" s="57">
        <v>144.40956815246761</v>
      </c>
    </row>
    <row r="152" spans="1:12" x14ac:dyDescent="0.35">
      <c r="A152" s="48" t="s">
        <v>263</v>
      </c>
      <c r="B152" s="54">
        <v>1</v>
      </c>
      <c r="C152" s="57">
        <v>100</v>
      </c>
      <c r="D152" s="57">
        <v>110.82854036434458</v>
      </c>
      <c r="E152" s="57">
        <v>-10.828540364344576</v>
      </c>
      <c r="F152" s="57">
        <v>-1.1014120744752862</v>
      </c>
      <c r="G152" s="57">
        <v>2.9816384377933134</v>
      </c>
      <c r="H152" s="57">
        <v>104.86833005310572</v>
      </c>
      <c r="I152" s="57">
        <v>116.78875067558343</v>
      </c>
      <c r="J152" s="57">
        <v>10.273689448506461</v>
      </c>
      <c r="K152" s="57">
        <v>90.291727781940295</v>
      </c>
      <c r="L152" s="57">
        <v>131.36535294674886</v>
      </c>
    </row>
    <row r="153" spans="1:12" x14ac:dyDescent="0.35">
      <c r="A153" s="48" t="s">
        <v>264</v>
      </c>
      <c r="B153" s="54">
        <v>1</v>
      </c>
      <c r="C153" s="57">
        <v>50</v>
      </c>
      <c r="D153" s="57">
        <v>66.52481693620777</v>
      </c>
      <c r="E153" s="57">
        <v>-16.52481693620777</v>
      </c>
      <c r="F153" s="57">
        <v>-1.6808020554610161</v>
      </c>
      <c r="G153" s="57">
        <v>4.21361527026305</v>
      </c>
      <c r="H153" s="57">
        <v>58.101920027217702</v>
      </c>
      <c r="I153" s="57">
        <v>74.947713845197839</v>
      </c>
      <c r="J153" s="57">
        <v>10.696405038910054</v>
      </c>
      <c r="K153" s="57">
        <v>45.143007928781032</v>
      </c>
      <c r="L153" s="57">
        <v>87.906625943634509</v>
      </c>
    </row>
    <row r="154" spans="1:12" x14ac:dyDescent="0.35">
      <c r="A154" s="48" t="s">
        <v>265</v>
      </c>
      <c r="B154" s="54">
        <v>1</v>
      </c>
      <c r="C154" s="57">
        <v>50</v>
      </c>
      <c r="D154" s="57">
        <v>56.88391378033176</v>
      </c>
      <c r="E154" s="57">
        <v>-6.8839137803317598</v>
      </c>
      <c r="F154" s="57">
        <v>-0.70018908386487178</v>
      </c>
      <c r="G154" s="57">
        <v>4.7041694084364076</v>
      </c>
      <c r="H154" s="57">
        <v>47.480413121570599</v>
      </c>
      <c r="I154" s="57">
        <v>66.287414439092913</v>
      </c>
      <c r="J154" s="57">
        <v>10.898978710590063</v>
      </c>
      <c r="K154" s="57">
        <v>35.097165773115947</v>
      </c>
      <c r="L154" s="57">
        <v>78.670661787547573</v>
      </c>
    </row>
    <row r="155" spans="1:12" x14ac:dyDescent="0.35">
      <c r="A155" s="48" t="s">
        <v>266</v>
      </c>
      <c r="B155" s="54">
        <v>1</v>
      </c>
      <c r="C155" s="57">
        <v>100</v>
      </c>
      <c r="D155" s="57">
        <v>98.209211184365714</v>
      </c>
      <c r="E155" s="57">
        <v>1.7907888156342864</v>
      </c>
      <c r="F155" s="57">
        <v>0.18214794958602756</v>
      </c>
      <c r="G155" s="57">
        <v>1.39836250651255</v>
      </c>
      <c r="H155" s="57">
        <v>95.413924363360607</v>
      </c>
      <c r="I155" s="57">
        <v>101.00449800537082</v>
      </c>
      <c r="J155" s="57">
        <v>9.9304554180685241</v>
      </c>
      <c r="K155" s="57">
        <v>78.358513652483225</v>
      </c>
      <c r="L155" s="57">
        <v>118.0599087162482</v>
      </c>
    </row>
    <row r="156" spans="1:12" x14ac:dyDescent="0.35">
      <c r="A156" s="48" t="s">
        <v>267</v>
      </c>
      <c r="B156" s="54">
        <v>1</v>
      </c>
      <c r="C156" s="57">
        <v>120</v>
      </c>
      <c r="D156" s="57">
        <v>125.65928616851491</v>
      </c>
      <c r="E156" s="57">
        <v>-5.6592861685149103</v>
      </c>
      <c r="F156" s="57">
        <v>-0.57562754620535428</v>
      </c>
      <c r="G156" s="57">
        <v>2.9399449191697253</v>
      </c>
      <c r="H156" s="57">
        <v>119.7824200134495</v>
      </c>
      <c r="I156" s="57">
        <v>131.53615232358032</v>
      </c>
      <c r="J156" s="57">
        <v>10.261666689109441</v>
      </c>
      <c r="K156" s="57">
        <v>105.14650673970141</v>
      </c>
      <c r="L156" s="57">
        <v>146.17206559732841</v>
      </c>
    </row>
    <row r="157" spans="1:12" x14ac:dyDescent="0.35">
      <c r="A157" s="48" t="s">
        <v>268</v>
      </c>
      <c r="B157" s="54">
        <v>1</v>
      </c>
      <c r="C157" s="57">
        <v>90</v>
      </c>
      <c r="D157" s="57">
        <v>98.357277412251634</v>
      </c>
      <c r="E157" s="57">
        <v>-8.3572774122516336</v>
      </c>
      <c r="F157" s="57">
        <v>-0.85005050929139403</v>
      </c>
      <c r="G157" s="57">
        <v>2.9197200843545517</v>
      </c>
      <c r="H157" s="57">
        <v>92.52084012591844</v>
      </c>
      <c r="I157" s="57">
        <v>104.19371469858483</v>
      </c>
      <c r="J157" s="57">
        <v>10.255890623520212</v>
      </c>
      <c r="K157" s="57">
        <v>77.856044174031524</v>
      </c>
      <c r="L157" s="57">
        <v>118.85851065047174</v>
      </c>
    </row>
    <row r="158" spans="1:12" x14ac:dyDescent="0.35">
      <c r="A158" s="48" t="s">
        <v>269</v>
      </c>
      <c r="B158" s="54">
        <v>1</v>
      </c>
      <c r="C158" s="57">
        <v>110</v>
      </c>
      <c r="D158" s="57">
        <v>114.58136899567177</v>
      </c>
      <c r="E158" s="57">
        <v>-4.5813689956717667</v>
      </c>
      <c r="F158" s="57">
        <v>-0.46598848595278974</v>
      </c>
      <c r="G158" s="57">
        <v>2.9036568020532028</v>
      </c>
      <c r="H158" s="57">
        <v>108.77704175312903</v>
      </c>
      <c r="I158" s="57">
        <v>120.38569623821451</v>
      </c>
      <c r="J158" s="57">
        <v>10.251329178927788</v>
      </c>
      <c r="K158" s="57">
        <v>94.089253955268433</v>
      </c>
      <c r="L158" s="57">
        <v>135.07348403607512</v>
      </c>
    </row>
    <row r="159" spans="1:12" x14ac:dyDescent="0.35">
      <c r="A159" s="48" t="s">
        <v>270</v>
      </c>
      <c r="B159" s="54">
        <v>1</v>
      </c>
      <c r="C159" s="57">
        <v>110</v>
      </c>
      <c r="D159" s="57">
        <v>116.30602259254539</v>
      </c>
      <c r="E159" s="57">
        <v>-6.3060225925453892</v>
      </c>
      <c r="F159" s="57">
        <v>-0.64140957060225501</v>
      </c>
      <c r="G159" s="57">
        <v>2.9323855358607345</v>
      </c>
      <c r="H159" s="57">
        <v>110.44426742940098</v>
      </c>
      <c r="I159" s="57">
        <v>122.1677777556898</v>
      </c>
      <c r="J159" s="57">
        <v>10.259503498783541</v>
      </c>
      <c r="K159" s="57">
        <v>95.797567319579287</v>
      </c>
      <c r="L159" s="57">
        <v>136.81447786551149</v>
      </c>
    </row>
    <row r="160" spans="1:12" x14ac:dyDescent="0.35">
      <c r="A160" s="48" t="s">
        <v>271</v>
      </c>
      <c r="B160" s="54">
        <v>1</v>
      </c>
      <c r="C160" s="57">
        <v>90</v>
      </c>
      <c r="D160" s="57">
        <v>92.535810457450566</v>
      </c>
      <c r="E160" s="57">
        <v>-2.535810457450566</v>
      </c>
      <c r="F160" s="57">
        <v>-0.25792693774437475</v>
      </c>
      <c r="G160" s="57">
        <v>3.8294900161525058</v>
      </c>
      <c r="H160" s="57">
        <v>84.880768990400441</v>
      </c>
      <c r="I160" s="57">
        <v>100.19085192450069</v>
      </c>
      <c r="J160" s="57">
        <v>10.550996203887015</v>
      </c>
      <c r="K160" s="57">
        <v>71.444669569559792</v>
      </c>
      <c r="L160" s="57">
        <v>113.62695134534134</v>
      </c>
    </row>
    <row r="161" spans="1:12" x14ac:dyDescent="0.35">
      <c r="A161" s="48" t="s">
        <v>272</v>
      </c>
      <c r="B161" s="54">
        <v>1</v>
      </c>
      <c r="C161" s="57">
        <v>80</v>
      </c>
      <c r="D161" s="57">
        <v>78.802384710232857</v>
      </c>
      <c r="E161" s="57">
        <v>1.1976152897671426</v>
      </c>
      <c r="F161" s="57">
        <v>0.12181401152357338</v>
      </c>
      <c r="G161" s="57">
        <v>3.2325839544389101</v>
      </c>
      <c r="H161" s="57">
        <v>72.340541458892403</v>
      </c>
      <c r="I161" s="57">
        <v>85.264227961573312</v>
      </c>
      <c r="J161" s="57">
        <v>10.349305587000625</v>
      </c>
      <c r="K161" s="57">
        <v>58.114417620750743</v>
      </c>
      <c r="L161" s="57">
        <v>99.490351799714972</v>
      </c>
    </row>
    <row r="162" spans="1:12" x14ac:dyDescent="0.35">
      <c r="A162" s="48" t="s">
        <v>273</v>
      </c>
      <c r="B162" s="54">
        <v>1</v>
      </c>
      <c r="C162" s="57">
        <v>90</v>
      </c>
      <c r="D162" s="57">
        <v>89.761620175183396</v>
      </c>
      <c r="E162" s="57">
        <v>0.23837982481660447</v>
      </c>
      <c r="F162" s="57">
        <v>2.4246519709048838E-2</v>
      </c>
      <c r="G162" s="57">
        <v>3.7859696132210341</v>
      </c>
      <c r="H162" s="57">
        <v>82.193574754003066</v>
      </c>
      <c r="I162" s="57">
        <v>97.329665596363725</v>
      </c>
      <c r="J162" s="57">
        <v>10.535278497641128</v>
      </c>
      <c r="K162" s="57">
        <v>68.701898534391248</v>
      </c>
      <c r="L162" s="57">
        <v>110.82134181597554</v>
      </c>
    </row>
    <row r="163" spans="1:12" x14ac:dyDescent="0.35">
      <c r="A163" s="48" t="s">
        <v>274</v>
      </c>
      <c r="B163" s="54">
        <v>1</v>
      </c>
      <c r="C163" s="57">
        <v>110</v>
      </c>
      <c r="D163" s="57">
        <v>114.27257938896031</v>
      </c>
      <c r="E163" s="57">
        <v>-4.2725793889603096</v>
      </c>
      <c r="F163" s="57">
        <v>-0.43458031921368379</v>
      </c>
      <c r="G163" s="57">
        <v>3.1453176098938207</v>
      </c>
      <c r="H163" s="57">
        <v>107.98517907476105</v>
      </c>
      <c r="I163" s="57">
        <v>120.55997970315957</v>
      </c>
      <c r="J163" s="57">
        <v>10.322381022696975</v>
      </c>
      <c r="K163" s="57">
        <v>93.638433736629707</v>
      </c>
      <c r="L163" s="57">
        <v>134.90672504129091</v>
      </c>
    </row>
    <row r="164" spans="1:12" x14ac:dyDescent="0.35">
      <c r="A164" s="48" t="s">
        <v>275</v>
      </c>
      <c r="B164" s="54">
        <v>1</v>
      </c>
      <c r="C164" s="57">
        <v>110</v>
      </c>
      <c r="D164" s="57">
        <v>94.904921144514532</v>
      </c>
      <c r="E164" s="57">
        <v>15.095078855485468</v>
      </c>
      <c r="F164" s="57">
        <v>1.5353779509686116</v>
      </c>
      <c r="G164" s="57">
        <v>2.3402847295520055</v>
      </c>
      <c r="H164" s="57">
        <v>90.226758628393384</v>
      </c>
      <c r="I164" s="57">
        <v>99.58308366063568</v>
      </c>
      <c r="J164" s="57">
        <v>10.106208969044761</v>
      </c>
      <c r="K164" s="57">
        <v>74.702897270213185</v>
      </c>
      <c r="L164" s="57">
        <v>115.10694501881588</v>
      </c>
    </row>
    <row r="165" spans="1:12" x14ac:dyDescent="0.35">
      <c r="A165" s="48" t="s">
        <v>276</v>
      </c>
      <c r="B165" s="54">
        <v>1</v>
      </c>
      <c r="C165" s="57">
        <v>90</v>
      </c>
      <c r="D165" s="57">
        <v>95.440239929997531</v>
      </c>
      <c r="E165" s="57">
        <v>-5.4402399299975315</v>
      </c>
      <c r="F165" s="57">
        <v>-0.55334751917919678</v>
      </c>
      <c r="G165" s="57">
        <v>2.7279069608800817</v>
      </c>
      <c r="H165" s="57">
        <v>89.987231614082887</v>
      </c>
      <c r="I165" s="57">
        <v>100.89324824591218</v>
      </c>
      <c r="J165" s="57">
        <v>10.202940923961309</v>
      </c>
      <c r="K165" s="57">
        <v>75.044851633031101</v>
      </c>
      <c r="L165" s="57">
        <v>115.83562822696396</v>
      </c>
    </row>
    <row r="166" spans="1:12" x14ac:dyDescent="0.35">
      <c r="A166" s="48" t="s">
        <v>277</v>
      </c>
      <c r="B166" s="54">
        <v>1</v>
      </c>
      <c r="C166" s="57">
        <v>110</v>
      </c>
      <c r="D166" s="57">
        <v>110.68247268312862</v>
      </c>
      <c r="E166" s="57">
        <v>-0.68247268312862275</v>
      </c>
      <c r="F166" s="57">
        <v>-6.9416895389936381E-2</v>
      </c>
      <c r="G166" s="57">
        <v>2.334572985566814</v>
      </c>
      <c r="H166" s="57">
        <v>106.01572778054646</v>
      </c>
      <c r="I166" s="57">
        <v>115.34921758571079</v>
      </c>
      <c r="J166" s="57">
        <v>10.104887833893299</v>
      </c>
      <c r="K166" s="57">
        <v>90.4830897203652</v>
      </c>
      <c r="L166" s="57">
        <v>130.88185564589205</v>
      </c>
    </row>
    <row r="167" spans="1:12" x14ac:dyDescent="0.35">
      <c r="A167" s="48" t="s">
        <v>278</v>
      </c>
      <c r="B167" s="54">
        <v>1</v>
      </c>
      <c r="C167" s="57">
        <v>140</v>
      </c>
      <c r="D167" s="57">
        <v>135.82923855465506</v>
      </c>
      <c r="E167" s="57">
        <v>4.1707614453449366</v>
      </c>
      <c r="F167" s="57">
        <v>0.42422402845583856</v>
      </c>
      <c r="G167" s="57">
        <v>3.4109678056239843</v>
      </c>
      <c r="H167" s="57">
        <v>129.01081106569703</v>
      </c>
      <c r="I167" s="57">
        <v>142.6476660436131</v>
      </c>
      <c r="J167" s="57">
        <v>10.406403244235243</v>
      </c>
      <c r="K167" s="57">
        <v>115.02713487467165</v>
      </c>
      <c r="L167" s="57">
        <v>156.63134223463848</v>
      </c>
    </row>
    <row r="168" spans="1:12" x14ac:dyDescent="0.35">
      <c r="A168" s="48" t="s">
        <v>279</v>
      </c>
      <c r="B168" s="54">
        <v>1</v>
      </c>
      <c r="C168" s="57">
        <v>100</v>
      </c>
      <c r="D168" s="57">
        <v>95.493188962718293</v>
      </c>
      <c r="E168" s="57">
        <v>4.5068110372817074</v>
      </c>
      <c r="F168" s="57">
        <v>0.45840491209555662</v>
      </c>
      <c r="G168" s="57">
        <v>1.7773315302497408</v>
      </c>
      <c r="H168" s="57">
        <v>91.940353857424839</v>
      </c>
      <c r="I168" s="57">
        <v>99.046024068011747</v>
      </c>
      <c r="J168" s="57">
        <v>9.9908675538737057</v>
      </c>
      <c r="K168" s="57">
        <v>75.521729292078135</v>
      </c>
      <c r="L168" s="57">
        <v>115.46464863335845</v>
      </c>
    </row>
    <row r="169" spans="1:12" x14ac:dyDescent="0.35">
      <c r="A169" s="48" t="s">
        <v>280</v>
      </c>
      <c r="B169" s="54">
        <v>1</v>
      </c>
      <c r="C169" s="57">
        <v>110</v>
      </c>
      <c r="D169" s="57">
        <v>117.22661514699234</v>
      </c>
      <c r="E169" s="57">
        <v>-7.2266151469923443</v>
      </c>
      <c r="F169" s="57">
        <v>-0.73504654484105358</v>
      </c>
      <c r="G169" s="57">
        <v>2.1398733981762752</v>
      </c>
      <c r="H169" s="57">
        <v>112.9490691739819</v>
      </c>
      <c r="I169" s="57">
        <v>121.50416112000279</v>
      </c>
      <c r="J169" s="57">
        <v>10.061688986986676</v>
      </c>
      <c r="K169" s="57">
        <v>97.113585448763914</v>
      </c>
      <c r="L169" s="57">
        <v>137.33964484522076</v>
      </c>
    </row>
    <row r="170" spans="1:12" x14ac:dyDescent="0.35">
      <c r="A170" s="48" t="s">
        <v>281</v>
      </c>
      <c r="B170" s="54">
        <v>1</v>
      </c>
      <c r="C170" s="57">
        <v>100</v>
      </c>
      <c r="D170" s="57">
        <v>99.656609890393497</v>
      </c>
      <c r="E170" s="57">
        <v>0.34339010960650285</v>
      </c>
      <c r="F170" s="57">
        <v>3.4927515643876583E-2</v>
      </c>
      <c r="G170" s="57">
        <v>1.9721560982397819</v>
      </c>
      <c r="H170" s="57">
        <v>95.714326022869741</v>
      </c>
      <c r="I170" s="57">
        <v>103.59889375791725</v>
      </c>
      <c r="J170" s="57">
        <v>10.027358913814286</v>
      </c>
      <c r="K170" s="57">
        <v>79.612205030614319</v>
      </c>
      <c r="L170" s="57">
        <v>119.70101475017267</v>
      </c>
    </row>
    <row r="171" spans="1:12" x14ac:dyDescent="0.35">
      <c r="A171" s="48" t="s">
        <v>282</v>
      </c>
      <c r="B171" s="54">
        <v>1</v>
      </c>
      <c r="C171" s="57">
        <v>100</v>
      </c>
      <c r="D171" s="57">
        <v>98.926545399522723</v>
      </c>
      <c r="E171" s="57">
        <v>1.0734546004772767</v>
      </c>
      <c r="F171" s="57">
        <v>0.10918515502419512</v>
      </c>
      <c r="G171" s="57">
        <v>1.7701169528466207</v>
      </c>
      <c r="H171" s="57">
        <v>95.388132028965529</v>
      </c>
      <c r="I171" s="57">
        <v>102.46495877007992</v>
      </c>
      <c r="J171" s="57">
        <v>9.9895866349605011</v>
      </c>
      <c r="K171" s="57">
        <v>78.957646249305697</v>
      </c>
      <c r="L171" s="57">
        <v>118.89544454973975</v>
      </c>
    </row>
    <row r="172" spans="1:12" ht="16" thickBot="1" x14ac:dyDescent="0.4">
      <c r="A172" s="52" t="s">
        <v>283</v>
      </c>
      <c r="B172" s="55">
        <v>1</v>
      </c>
      <c r="C172" s="58">
        <v>110</v>
      </c>
      <c r="D172" s="58">
        <v>120.74774893838632</v>
      </c>
      <c r="E172" s="58">
        <v>-10.747748938386323</v>
      </c>
      <c r="F172" s="58">
        <v>-1.0931944708952601</v>
      </c>
      <c r="G172" s="58">
        <v>1.8086165494540949</v>
      </c>
      <c r="H172" s="58">
        <v>117.13237597079355</v>
      </c>
      <c r="I172" s="58">
        <v>124.3631219059791</v>
      </c>
      <c r="J172" s="58">
        <v>9.9964804273096881</v>
      </c>
      <c r="K172" s="58">
        <v>100.76506929361892</v>
      </c>
      <c r="L172" s="58">
        <v>140.73042858315372</v>
      </c>
    </row>
    <row r="191" spans="6:6" x14ac:dyDescent="0.35">
      <c r="F191" t="s">
        <v>141</v>
      </c>
    </row>
    <row r="210" spans="1:6" x14ac:dyDescent="0.35">
      <c r="F210" t="s">
        <v>141</v>
      </c>
    </row>
    <row r="213" spans="1:6" x14ac:dyDescent="0.35">
      <c r="A213" s="6" t="s">
        <v>196</v>
      </c>
    </row>
    <row r="215" spans="1:6" x14ac:dyDescent="0.35">
      <c r="A215" s="2" t="s">
        <v>285</v>
      </c>
    </row>
    <row r="216" spans="1:6" ht="16" thickBot="1" x14ac:dyDescent="0.4"/>
    <row r="217" spans="1:6" x14ac:dyDescent="0.35">
      <c r="A217" s="69" t="s">
        <v>198</v>
      </c>
      <c r="B217" s="82">
        <v>0.92805714287055774</v>
      </c>
      <c r="C217" s="83"/>
    </row>
    <row r="218" spans="1:6" x14ac:dyDescent="0.35">
      <c r="A218" s="48" t="s">
        <v>199</v>
      </c>
      <c r="B218" s="75">
        <v>8.1419746952438032E-4</v>
      </c>
      <c r="C218" s="84" t="s">
        <v>125</v>
      </c>
    </row>
    <row r="219" spans="1:6" ht="16" thickBot="1" x14ac:dyDescent="0.4">
      <c r="A219" s="52" t="s">
        <v>200</v>
      </c>
      <c r="B219" s="55">
        <v>0.05</v>
      </c>
      <c r="C219" s="85"/>
    </row>
    <row r="220" spans="1:6" x14ac:dyDescent="0.35">
      <c r="A220" s="80" t="s">
        <v>201</v>
      </c>
    </row>
    <row r="222" spans="1:6" x14ac:dyDescent="0.35">
      <c r="A222" s="2" t="s">
        <v>202</v>
      </c>
    </row>
    <row r="223" spans="1:6" x14ac:dyDescent="0.35">
      <c r="A223" s="2" t="s">
        <v>203</v>
      </c>
    </row>
    <row r="224" spans="1:6" x14ac:dyDescent="0.35">
      <c r="A224" s="2" t="s">
        <v>204</v>
      </c>
    </row>
    <row r="225" spans="1:9" ht="15.65" customHeight="1" x14ac:dyDescent="0.35">
      <c r="A225" s="102" t="s">
        <v>205</v>
      </c>
      <c r="B225" s="102"/>
      <c r="C225" s="102"/>
      <c r="D225" s="102"/>
      <c r="E225" s="102"/>
      <c r="F225" s="102"/>
      <c r="G225" s="102"/>
      <c r="H225" s="102"/>
      <c r="I225" s="102"/>
    </row>
    <row r="226" spans="1:9" x14ac:dyDescent="0.35">
      <c r="A226" s="102"/>
      <c r="B226" s="102"/>
      <c r="C226" s="102"/>
      <c r="D226" s="102"/>
      <c r="E226" s="102"/>
      <c r="F226" s="102"/>
      <c r="G226" s="102"/>
      <c r="H226" s="102"/>
      <c r="I226" s="102"/>
    </row>
    <row r="229" spans="1:9" x14ac:dyDescent="0.35">
      <c r="A229" s="2" t="s">
        <v>286</v>
      </c>
    </row>
    <row r="231" spans="1:9" x14ac:dyDescent="0.35">
      <c r="A231" s="103" t="s">
        <v>287</v>
      </c>
      <c r="B231" s="104"/>
      <c r="C231" s="104"/>
      <c r="D231" s="104"/>
      <c r="E231" s="104"/>
      <c r="F231" s="104"/>
      <c r="G231" s="104"/>
    </row>
    <row r="232" spans="1:9" x14ac:dyDescent="0.35">
      <c r="A232" s="104"/>
      <c r="B232" s="104"/>
      <c r="C232" s="104"/>
      <c r="D232" s="104"/>
      <c r="E232" s="104"/>
      <c r="F232" s="104"/>
      <c r="G232" s="104"/>
    </row>
    <row r="234" spans="1:9" x14ac:dyDescent="0.35">
      <c r="A234" s="103" t="s">
        <v>208</v>
      </c>
      <c r="B234" s="104"/>
      <c r="C234" s="104"/>
      <c r="D234" s="104"/>
      <c r="E234" s="104"/>
      <c r="F234" s="104"/>
      <c r="G234" s="104"/>
    </row>
    <row r="235" spans="1:9" x14ac:dyDescent="0.35">
      <c r="A235" s="104"/>
      <c r="B235" s="104"/>
      <c r="C235" s="104"/>
      <c r="D235" s="104"/>
      <c r="E235" s="104"/>
      <c r="F235" s="104"/>
      <c r="G235" s="104"/>
    </row>
    <row r="236" spans="1:9" x14ac:dyDescent="0.35">
      <c r="A236" s="104"/>
      <c r="B236" s="104"/>
      <c r="C236" s="104"/>
      <c r="D236" s="104"/>
      <c r="E236" s="104"/>
      <c r="F236" s="104"/>
      <c r="G236" s="104"/>
    </row>
    <row r="996" spans="648:648" x14ac:dyDescent="0.35">
      <c r="XX996" s="47">
        <v>166765</v>
      </c>
    </row>
  </sheetData>
  <mergeCells count="3">
    <mergeCell ref="A225:I226"/>
    <mergeCell ref="A231:G232"/>
    <mergeCell ref="A234:G236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D257077">
              <controlPr defaultSize="0" autoFill="0" autoPict="0" macro="[0]!GoToResultsNew211120250757243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5</xdr:col>
                    <xdr:colOff>6350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BB4C-75BC-4E76-9458-866A4082886A}">
  <sheetPr codeName="Sheet16_HID">
    <tabColor rgb="FF007800"/>
  </sheetPr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53.6743851287315+(A1-1)*1.60684305732863</f>
        <v>53.674385128731501</v>
      </c>
      <c r="D1">
        <f t="shared" ref="D1:D32" si="1">0+1*C1-19.6529021798461*(1.01492537313433+(C1-105.522388059701)^2/17263.8877370516)^0.5</f>
        <v>32.410720702244198</v>
      </c>
      <c r="E1">
        <v>1</v>
      </c>
      <c r="G1">
        <f t="shared" ref="G1:G32" si="2">45.5071310242654+(E1-1)*1.72520905884263</f>
        <v>45.507131024265398</v>
      </c>
      <c r="H1">
        <f t="shared" ref="H1:H32" si="3">0+1*G1+19.6529021798461*(1.01492537313433+(G1-105.522388059701)^2/17263.8877370516)^0.5</f>
        <v>67.246112230205895</v>
      </c>
    </row>
    <row r="2" spans="1:8" x14ac:dyDescent="0.35">
      <c r="A2">
        <v>2</v>
      </c>
      <c r="C2">
        <f t="shared" si="0"/>
        <v>55.281228186060133</v>
      </c>
      <c r="D2">
        <f t="shared" si="1"/>
        <v>34.104037403101039</v>
      </c>
      <c r="E2">
        <v>2</v>
      </c>
      <c r="G2">
        <f t="shared" si="2"/>
        <v>47.232340083108028</v>
      </c>
      <c r="H2">
        <f t="shared" si="3"/>
        <v>68.866041635872932</v>
      </c>
    </row>
    <row r="3" spans="1:8" x14ac:dyDescent="0.35">
      <c r="A3">
        <v>3</v>
      </c>
      <c r="C3">
        <f t="shared" si="0"/>
        <v>56.888071243388758</v>
      </c>
      <c r="D3">
        <f t="shared" si="1"/>
        <v>35.794969924342595</v>
      </c>
      <c r="E3">
        <v>3</v>
      </c>
      <c r="G3">
        <f t="shared" si="2"/>
        <v>48.957549141950658</v>
      </c>
      <c r="H3">
        <f t="shared" si="3"/>
        <v>70.488549085573496</v>
      </c>
    </row>
    <row r="4" spans="1:8" x14ac:dyDescent="0.35">
      <c r="A4">
        <v>4</v>
      </c>
      <c r="C4">
        <f t="shared" si="0"/>
        <v>58.49491430071739</v>
      </c>
      <c r="D4">
        <f t="shared" si="1"/>
        <v>37.483489640895769</v>
      </c>
      <c r="E4">
        <v>4</v>
      </c>
      <c r="G4">
        <f t="shared" si="2"/>
        <v>50.682758200793288</v>
      </c>
      <c r="H4">
        <f t="shared" si="3"/>
        <v>72.113671642986688</v>
      </c>
    </row>
    <row r="5" spans="1:8" x14ac:dyDescent="0.35">
      <c r="A5">
        <v>5</v>
      </c>
      <c r="C5">
        <f t="shared" si="0"/>
        <v>60.101757358046022</v>
      </c>
      <c r="D5">
        <f t="shared" si="1"/>
        <v>39.169568308706573</v>
      </c>
      <c r="E5">
        <v>5</v>
      </c>
      <c r="G5">
        <f t="shared" si="2"/>
        <v>52.407967259635917</v>
      </c>
      <c r="H5">
        <f t="shared" si="3"/>
        <v>73.741446114656242</v>
      </c>
    </row>
    <row r="6" spans="1:8" x14ac:dyDescent="0.35">
      <c r="A6">
        <v>6</v>
      </c>
      <c r="C6">
        <f t="shared" si="0"/>
        <v>61.708600415374647</v>
      </c>
      <c r="D6">
        <f t="shared" si="1"/>
        <v>40.853178105065837</v>
      </c>
      <c r="E6">
        <v>6</v>
      </c>
      <c r="G6">
        <f t="shared" si="2"/>
        <v>54.133176318478547</v>
      </c>
      <c r="H6">
        <f t="shared" si="3"/>
        <v>75.371908998295581</v>
      </c>
    </row>
    <row r="7" spans="1:8" x14ac:dyDescent="0.35">
      <c r="A7">
        <v>7</v>
      </c>
      <c r="C7">
        <f t="shared" si="0"/>
        <v>63.315443472703279</v>
      </c>
      <c r="D7">
        <f t="shared" si="1"/>
        <v>42.534291669507191</v>
      </c>
      <c r="E7">
        <v>7</v>
      </c>
      <c r="G7">
        <f t="shared" si="2"/>
        <v>55.858385377321177</v>
      </c>
      <c r="H7">
        <f t="shared" si="3"/>
        <v>77.005096429590552</v>
      </c>
    </row>
    <row r="8" spans="1:8" x14ac:dyDescent="0.35">
      <c r="A8">
        <v>8</v>
      </c>
      <c r="C8">
        <f t="shared" si="0"/>
        <v>64.922286530031911</v>
      </c>
      <c r="D8">
        <f t="shared" si="1"/>
        <v>44.212882145169779</v>
      </c>
      <c r="E8">
        <v>8</v>
      </c>
      <c r="G8">
        <f t="shared" si="2"/>
        <v>57.583594436163807</v>
      </c>
      <c r="H8">
        <f t="shared" si="3"/>
        <v>78.641044127613398</v>
      </c>
    </row>
    <row r="9" spans="1:8" x14ac:dyDescent="0.35">
      <c r="A9">
        <v>9</v>
      </c>
      <c r="C9">
        <f t="shared" si="0"/>
        <v>66.529129587360543</v>
      </c>
      <c r="D9">
        <f t="shared" si="1"/>
        <v>45.888923220511217</v>
      </c>
      <c r="E9">
        <v>9</v>
      </c>
      <c r="G9">
        <f t="shared" si="2"/>
        <v>59.308803495006437</v>
      </c>
      <c r="H9">
        <f t="shared" si="3"/>
        <v>80.279787338975311</v>
      </c>
    </row>
    <row r="10" spans="1:8" x14ac:dyDescent="0.35">
      <c r="A10">
        <v>10</v>
      </c>
      <c r="C10">
        <f t="shared" si="0"/>
        <v>68.135972644689176</v>
      </c>
      <c r="D10">
        <f t="shared" si="1"/>
        <v>47.562389171248739</v>
      </c>
      <c r="E10">
        <v>10</v>
      </c>
      <c r="G10">
        <f t="shared" si="2"/>
        <v>61.034012553849067</v>
      </c>
      <c r="H10">
        <f t="shared" si="3"/>
        <v>81.921360780859402</v>
      </c>
    </row>
    <row r="11" spans="1:8" x14ac:dyDescent="0.35">
      <c r="A11">
        <v>11</v>
      </c>
      <c r="C11">
        <f t="shared" si="0"/>
        <v>69.742815702017793</v>
      </c>
      <c r="D11">
        <f t="shared" si="1"/>
        <v>49.23325490239975</v>
      </c>
      <c r="E11">
        <v>11</v>
      </c>
      <c r="G11">
        <f t="shared" si="2"/>
        <v>62.759221612691704</v>
      </c>
      <c r="H11">
        <f t="shared" si="3"/>
        <v>83.565798583089673</v>
      </c>
    </row>
    <row r="12" spans="1:8" x14ac:dyDescent="0.35">
      <c r="A12">
        <v>12</v>
      </c>
      <c r="C12">
        <f t="shared" si="0"/>
        <v>71.349658759346426</v>
      </c>
      <c r="D12">
        <f t="shared" si="1"/>
        <v>50.901495990286946</v>
      </c>
      <c r="E12">
        <v>12</v>
      </c>
      <c r="G12">
        <f t="shared" si="2"/>
        <v>64.484430671534327</v>
      </c>
      <c r="H12">
        <f t="shared" si="3"/>
        <v>85.213134229405796</v>
      </c>
    </row>
    <row r="13" spans="1:8" x14ac:dyDescent="0.35">
      <c r="A13">
        <v>13</v>
      </c>
      <c r="C13">
        <f t="shared" si="0"/>
        <v>72.956501816675058</v>
      </c>
      <c r="D13">
        <f t="shared" si="1"/>
        <v>52.567088724366961</v>
      </c>
      <c r="E13">
        <v>13</v>
      </c>
      <c r="G13">
        <f t="shared" si="2"/>
        <v>66.209639730376963</v>
      </c>
      <c r="H13">
        <f t="shared" si="3"/>
        <v>86.863400498126907</v>
      </c>
    </row>
    <row r="14" spans="1:8" x14ac:dyDescent="0.35">
      <c r="A14">
        <v>14</v>
      </c>
      <c r="C14">
        <f t="shared" si="0"/>
        <v>74.56334487400369</v>
      </c>
      <c r="D14">
        <f t="shared" si="1"/>
        <v>54.23001014873708</v>
      </c>
      <c r="E14">
        <v>14</v>
      </c>
      <c r="G14">
        <f t="shared" si="2"/>
        <v>67.934848789219586</v>
      </c>
      <c r="H14">
        <f t="shared" si="3"/>
        <v>88.516629402400127</v>
      </c>
    </row>
    <row r="15" spans="1:8" x14ac:dyDescent="0.35">
      <c r="A15">
        <v>15</v>
      </c>
      <c r="C15">
        <f t="shared" si="0"/>
        <v>76.170187931332322</v>
      </c>
      <c r="D15">
        <f t="shared" si="1"/>
        <v>55.890238103169665</v>
      </c>
      <c r="E15">
        <v>15</v>
      </c>
      <c r="G15">
        <f t="shared" si="2"/>
        <v>69.660057848062223</v>
      </c>
      <c r="H15">
        <f t="shared" si="3"/>
        <v>90.172852130242745</v>
      </c>
    </row>
    <row r="16" spans="1:8" x14ac:dyDescent="0.35">
      <c r="A16">
        <v>16</v>
      </c>
      <c r="C16">
        <f t="shared" si="0"/>
        <v>77.777030988660954</v>
      </c>
      <c r="D16">
        <f t="shared" si="1"/>
        <v>57.547751263520723</v>
      </c>
      <c r="E16">
        <v>16</v>
      </c>
      <c r="G16">
        <f t="shared" si="2"/>
        <v>71.385266906904846</v>
      </c>
      <c r="H16">
        <f t="shared" si="3"/>
        <v>91.832098984596868</v>
      </c>
    </row>
    <row r="17" spans="1:8" x14ac:dyDescent="0.35">
      <c r="A17">
        <v>17</v>
      </c>
      <c r="C17">
        <f t="shared" si="0"/>
        <v>79.383874045989586</v>
      </c>
      <c r="D17">
        <f t="shared" si="1"/>
        <v>59.202529181356347</v>
      </c>
      <c r="E17">
        <v>17</v>
      </c>
      <c r="G17">
        <f t="shared" si="2"/>
        <v>73.110475965747483</v>
      </c>
      <c r="H17">
        <f t="shared" si="3"/>
        <v>93.494399323627547</v>
      </c>
    </row>
    <row r="18" spans="1:8" x14ac:dyDescent="0.35">
      <c r="A18">
        <v>18</v>
      </c>
      <c r="C18">
        <f t="shared" si="0"/>
        <v>80.990717103318218</v>
      </c>
      <c r="D18">
        <f t="shared" si="1"/>
        <v>60.854552322639137</v>
      </c>
      <c r="E18">
        <v>18</v>
      </c>
      <c r="G18">
        <f t="shared" si="2"/>
        <v>74.835685024590106</v>
      </c>
      <c r="H18">
        <f t="shared" si="3"/>
        <v>95.159781501502337</v>
      </c>
    </row>
    <row r="19" spans="1:8" x14ac:dyDescent="0.35">
      <c r="A19">
        <v>19</v>
      </c>
      <c r="C19">
        <f t="shared" si="0"/>
        <v>82.59756016064685</v>
      </c>
      <c r="D19">
        <f t="shared" si="1"/>
        <v>62.503802105315927</v>
      </c>
      <c r="E19">
        <v>19</v>
      </c>
      <c r="G19">
        <f t="shared" si="2"/>
        <v>76.560894083432743</v>
      </c>
      <c r="H19">
        <f t="shared" si="3"/>
        <v>96.828272809900028</v>
      </c>
    </row>
    <row r="20" spans="1:8" x14ac:dyDescent="0.35">
      <c r="A20">
        <v>20</v>
      </c>
      <c r="C20">
        <f t="shared" si="0"/>
        <v>84.204403217975468</v>
      </c>
      <c r="D20">
        <f t="shared" si="1"/>
        <v>64.150260935648731</v>
      </c>
      <c r="E20">
        <v>20</v>
      </c>
      <c r="G20">
        <f t="shared" si="2"/>
        <v>78.28610314227538</v>
      </c>
      <c r="H20">
        <f t="shared" si="3"/>
        <v>98.499899420500711</v>
      </c>
    </row>
    <row r="21" spans="1:8" x14ac:dyDescent="0.35">
      <c r="A21">
        <v>21</v>
      </c>
      <c r="C21">
        <f t="shared" si="0"/>
        <v>85.8112462753041</v>
      </c>
      <c r="D21">
        <f t="shared" si="1"/>
        <v>65.793912243132183</v>
      </c>
      <c r="E21">
        <v>21</v>
      </c>
      <c r="G21">
        <f t="shared" si="2"/>
        <v>80.011312201118002</v>
      </c>
      <c r="H21">
        <f t="shared" si="3"/>
        <v>100.17468632871501</v>
      </c>
    </row>
    <row r="22" spans="1:8" x14ac:dyDescent="0.35">
      <c r="A22">
        <v>22</v>
      </c>
      <c r="C22">
        <f t="shared" si="0"/>
        <v>87.418089332632732</v>
      </c>
      <c r="D22">
        <f t="shared" si="1"/>
        <v>67.434740513843522</v>
      </c>
      <c r="E22">
        <v>22</v>
      </c>
      <c r="G22">
        <f t="shared" si="2"/>
        <v>81.736521259960625</v>
      </c>
      <c r="H22">
        <f t="shared" si="3"/>
        <v>101.85265729891245</v>
      </c>
    </row>
    <row r="23" spans="1:8" x14ac:dyDescent="0.35">
      <c r="A23">
        <v>23</v>
      </c>
      <c r="C23">
        <f t="shared" si="0"/>
        <v>89.024932389961364</v>
      </c>
      <c r="D23">
        <f t="shared" si="1"/>
        <v>69.072731322074787</v>
      </c>
      <c r="E23">
        <v>23</v>
      </c>
      <c r="G23">
        <f t="shared" si="2"/>
        <v>83.461730318803262</v>
      </c>
      <c r="H23">
        <f t="shared" si="3"/>
        <v>103.53383481140938</v>
      </c>
    </row>
    <row r="24" spans="1:8" x14ac:dyDescent="0.35">
      <c r="A24">
        <v>24</v>
      </c>
      <c r="C24">
        <f t="shared" si="0"/>
        <v>90.631775447289996</v>
      </c>
      <c r="D24">
        <f t="shared" si="1"/>
        <v>70.707871360102232</v>
      </c>
      <c r="E24">
        <v>24</v>
      </c>
      <c r="G24">
        <f t="shared" si="2"/>
        <v>85.186939377645899</v>
      </c>
      <c r="H24">
        <f t="shared" si="3"/>
        <v>105.21824001147634</v>
      </c>
    </row>
    <row r="25" spans="1:8" x14ac:dyDescent="0.35">
      <c r="A25">
        <v>25</v>
      </c>
      <c r="C25">
        <f t="shared" si="0"/>
        <v>92.238618504618614</v>
      </c>
      <c r="D25">
        <f t="shared" si="1"/>
        <v>72.34014846595349</v>
      </c>
      <c r="E25">
        <v>25</v>
      </c>
      <c r="G25">
        <f t="shared" si="2"/>
        <v>86.912148436488522</v>
      </c>
      <c r="H25">
        <f t="shared" si="3"/>
        <v>106.90589266062042</v>
      </c>
    </row>
    <row r="26" spans="1:8" x14ac:dyDescent="0.35">
      <c r="A26">
        <v>26</v>
      </c>
      <c r="C26">
        <f t="shared" si="0"/>
        <v>93.845461561947246</v>
      </c>
      <c r="D26">
        <f t="shared" si="1"/>
        <v>73.969551649041023</v>
      </c>
      <c r="E26">
        <v>26</v>
      </c>
      <c r="G26">
        <f t="shared" si="2"/>
        <v>88.637357495331145</v>
      </c>
      <c r="H26">
        <f t="shared" si="3"/>
        <v>108.59681109039317</v>
      </c>
    </row>
    <row r="27" spans="1:8" x14ac:dyDescent="0.35">
      <c r="A27">
        <v>27</v>
      </c>
      <c r="C27">
        <f t="shared" si="0"/>
        <v>95.452304619275878</v>
      </c>
      <c r="D27">
        <f t="shared" si="1"/>
        <v>75.596071113537988</v>
      </c>
      <c r="E27">
        <v>27</v>
      </c>
      <c r="G27">
        <f t="shared" si="2"/>
        <v>90.362566554173782</v>
      </c>
      <c r="H27">
        <f t="shared" si="3"/>
        <v>110.29101215896637</v>
      </c>
    </row>
    <row r="28" spans="1:8" x14ac:dyDescent="0.35">
      <c r="A28">
        <v>28</v>
      </c>
      <c r="C28">
        <f t="shared" si="0"/>
        <v>97.05914767660451</v>
      </c>
      <c r="D28">
        <f t="shared" si="1"/>
        <v>77.219698279382698</v>
      </c>
      <c r="E28">
        <v>28</v>
      </c>
      <c r="G28">
        <f t="shared" si="2"/>
        <v>92.087775613016419</v>
      </c>
      <c r="H28">
        <f t="shared" si="3"/>
        <v>111.98851121070813</v>
      </c>
    </row>
    <row r="29" spans="1:8" x14ac:dyDescent="0.35">
      <c r="A29">
        <v>29</v>
      </c>
      <c r="C29">
        <f t="shared" si="0"/>
        <v>98.665990733933143</v>
      </c>
      <c r="D29">
        <f t="shared" si="1"/>
        <v>78.840425800807623</v>
      </c>
      <c r="E29">
        <v>29</v>
      </c>
      <c r="G29">
        <f t="shared" si="2"/>
        <v>93.812984671859041</v>
      </c>
      <c r="H29">
        <f t="shared" si="3"/>
        <v>113.68932203897991</v>
      </c>
    </row>
    <row r="30" spans="1:8" x14ac:dyDescent="0.35">
      <c r="A30">
        <v>30</v>
      </c>
      <c r="C30">
        <f t="shared" si="0"/>
        <v>100.27283379126177</v>
      </c>
      <c r="D30">
        <f t="shared" si="1"/>
        <v>80.458247582300956</v>
      </c>
      <c r="E30">
        <v>30</v>
      </c>
      <c r="G30">
        <f t="shared" si="2"/>
        <v>95.538193730701664</v>
      </c>
      <c r="H30">
        <f t="shared" si="3"/>
        <v>115.39345685236017</v>
      </c>
    </row>
    <row r="31" spans="1:8" x14ac:dyDescent="0.35">
      <c r="A31">
        <v>31</v>
      </c>
      <c r="C31">
        <f t="shared" si="0"/>
        <v>101.87967684859041</v>
      </c>
      <c r="D31">
        <f t="shared" si="1"/>
        <v>82.073158791919809</v>
      </c>
      <c r="E31">
        <v>31</v>
      </c>
      <c r="G31">
        <f t="shared" si="2"/>
        <v>97.263402789544301</v>
      </c>
      <c r="H31">
        <f t="shared" si="3"/>
        <v>117.10092624448428</v>
      </c>
    </row>
    <row r="32" spans="1:8" x14ac:dyDescent="0.35">
      <c r="A32">
        <v>32</v>
      </c>
      <c r="C32">
        <f t="shared" si="0"/>
        <v>103.48651990591904</v>
      </c>
      <c r="D32">
        <f t="shared" si="1"/>
        <v>83.685155871888213</v>
      </c>
      <c r="E32">
        <v>32</v>
      </c>
      <c r="G32">
        <f t="shared" si="2"/>
        <v>98.988611848386938</v>
      </c>
      <c r="H32">
        <f t="shared" si="3"/>
        <v>118.81173916767263</v>
      </c>
    </row>
    <row r="33" spans="1:8" x14ac:dyDescent="0.35">
      <c r="A33">
        <v>33</v>
      </c>
      <c r="C33">
        <f t="shared" ref="C33:C64" si="4">53.6743851287315+(A33-1)*1.60684305732863</f>
        <v>105.09336296324767</v>
      </c>
      <c r="D33">
        <f t="shared" ref="D33:D64" si="5">0+1*C33-19.6529021798461*(1.01492537313433+(C33-105.522388059701)^2/17263.8877370516)^0.5</f>
        <v>85.294236546425282</v>
      </c>
      <c r="E33">
        <v>33</v>
      </c>
      <c r="G33">
        <f t="shared" ref="G33:G64" si="6">45.5071310242654+(E33-1)*1.72520905884263</f>
        <v>100.71382090722956</v>
      </c>
      <c r="H33">
        <f t="shared" ref="H33:H64" si="7">0+1*G33+19.6529021798461*(1.01492537313433+(G33-105.522388059701)^2/17263.8877370516)^0.5</f>
        <v>120.52590291049822</v>
      </c>
    </row>
    <row r="34" spans="1:8" x14ac:dyDescent="0.35">
      <c r="A34">
        <v>34</v>
      </c>
      <c r="C34">
        <f t="shared" si="4"/>
        <v>106.7002060205763</v>
      </c>
      <c r="D34">
        <f t="shared" si="5"/>
        <v>86.900399826763874</v>
      </c>
      <c r="E34">
        <v>34</v>
      </c>
      <c r="G34">
        <f t="shared" si="6"/>
        <v>102.43902996607218</v>
      </c>
      <c r="H34">
        <f t="shared" si="7"/>
        <v>122.24342307942429</v>
      </c>
    </row>
    <row r="35" spans="1:8" x14ac:dyDescent="0.35">
      <c r="A35">
        <v>35</v>
      </c>
      <c r="C35">
        <f t="shared" si="4"/>
        <v>108.30704907790492</v>
      </c>
      <c r="D35">
        <f t="shared" si="5"/>
        <v>88.503646013333807</v>
      </c>
      <c r="E35">
        <v>35</v>
      </c>
      <c r="G35">
        <f t="shared" si="6"/>
        <v>104.16423902491482</v>
      </c>
      <c r="H35">
        <f t="shared" si="7"/>
        <v>123.9643035846189</v>
      </c>
    </row>
    <row r="36" spans="1:8" x14ac:dyDescent="0.35">
      <c r="A36">
        <v>36</v>
      </c>
      <c r="C36">
        <f t="shared" si="4"/>
        <v>109.91389213523355</v>
      </c>
      <c r="D36">
        <f t="shared" si="5"/>
        <v>90.103976695098268</v>
      </c>
      <c r="E36">
        <v>36</v>
      </c>
      <c r="G36">
        <f t="shared" si="6"/>
        <v>105.88944808375746</v>
      </c>
      <c r="H36">
        <f t="shared" si="7"/>
        <v>125.68854663003036</v>
      </c>
    </row>
    <row r="37" spans="1:8" x14ac:dyDescent="0.35">
      <c r="A37">
        <v>37</v>
      </c>
      <c r="C37">
        <f t="shared" si="4"/>
        <v>111.52073519256219</v>
      </c>
      <c r="D37">
        <f t="shared" si="5"/>
        <v>91.701394746047086</v>
      </c>
      <c r="E37">
        <v>37</v>
      </c>
      <c r="G37">
        <f t="shared" si="6"/>
        <v>107.61465714260008</v>
      </c>
      <c r="H37">
        <f t="shared" si="7"/>
        <v>127.41615270778195</v>
      </c>
    </row>
    <row r="38" spans="1:8" x14ac:dyDescent="0.35">
      <c r="A38">
        <v>38</v>
      </c>
      <c r="C38">
        <f t="shared" si="4"/>
        <v>113.12757824989082</v>
      </c>
      <c r="D38">
        <f t="shared" si="5"/>
        <v>93.295904318864686</v>
      </c>
      <c r="E38">
        <v>38</v>
      </c>
      <c r="G38">
        <f t="shared" si="6"/>
        <v>109.3398662014427</v>
      </c>
      <c r="H38">
        <f t="shared" si="7"/>
        <v>129.14712059691919</v>
      </c>
    </row>
    <row r="39" spans="1:8" x14ac:dyDescent="0.35">
      <c r="A39">
        <v>39</v>
      </c>
      <c r="C39">
        <f t="shared" si="4"/>
        <v>114.73442130721943</v>
      </c>
      <c r="D39">
        <f t="shared" si="5"/>
        <v>94.887510835805315</v>
      </c>
      <c r="E39">
        <v>39</v>
      </c>
      <c r="G39">
        <f t="shared" si="6"/>
        <v>111.06507526028534</v>
      </c>
      <c r="H39">
        <f t="shared" si="7"/>
        <v>130.88144736651719</v>
      </c>
    </row>
    <row r="40" spans="1:8" x14ac:dyDescent="0.35">
      <c r="A40">
        <v>40</v>
      </c>
      <c r="C40">
        <f t="shared" si="4"/>
        <v>116.34126436454807</v>
      </c>
      <c r="D40">
        <f t="shared" si="5"/>
        <v>96.476220976822304</v>
      </c>
      <c r="E40">
        <v>40</v>
      </c>
      <c r="G40">
        <f t="shared" si="6"/>
        <v>112.79028431912798</v>
      </c>
      <c r="H40">
        <f t="shared" si="7"/>
        <v>132.61912838312929</v>
      </c>
    </row>
    <row r="41" spans="1:8" x14ac:dyDescent="0.35">
      <c r="A41">
        <v>41</v>
      </c>
      <c r="C41">
        <f t="shared" si="4"/>
        <v>117.9481074218767</v>
      </c>
      <c r="D41">
        <f t="shared" si="5"/>
        <v>98.062042665011404</v>
      </c>
      <c r="E41">
        <v>41</v>
      </c>
      <c r="G41">
        <f t="shared" si="6"/>
        <v>114.51549337797061</v>
      </c>
      <c r="H41">
        <f t="shared" si="7"/>
        <v>134.36015732253341</v>
      </c>
    </row>
    <row r="42" spans="1:8" x14ac:dyDescent="0.35">
      <c r="A42">
        <v>42</v>
      </c>
      <c r="C42">
        <f t="shared" si="4"/>
        <v>119.55495047920533</v>
      </c>
      <c r="D42">
        <f t="shared" si="5"/>
        <v>99.644985049442113</v>
      </c>
      <c r="E42">
        <v>42</v>
      </c>
      <c r="G42">
        <f t="shared" si="6"/>
        <v>116.24070243681322</v>
      </c>
      <c r="H42">
        <f t="shared" si="7"/>
        <v>136.1045261857065</v>
      </c>
    </row>
    <row r="43" spans="1:8" x14ac:dyDescent="0.35">
      <c r="A43">
        <v>43</v>
      </c>
      <c r="C43">
        <f t="shared" si="4"/>
        <v>121.16179353653396</v>
      </c>
      <c r="D43">
        <f t="shared" si="5"/>
        <v>101.22505848546288</v>
      </c>
      <c r="E43">
        <v>43</v>
      </c>
      <c r="G43">
        <f t="shared" si="6"/>
        <v>117.96591149565586</v>
      </c>
      <c r="H43">
        <f t="shared" si="7"/>
        <v>137.85222531893334</v>
      </c>
    </row>
    <row r="44" spans="1:8" x14ac:dyDescent="0.35">
      <c r="A44">
        <v>44</v>
      </c>
      <c r="C44">
        <f t="shared" si="4"/>
        <v>122.7686365938626</v>
      </c>
      <c r="D44">
        <f t="shared" si="5"/>
        <v>102.80227451257798</v>
      </c>
      <c r="E44">
        <v>44</v>
      </c>
      <c r="G44">
        <f t="shared" si="6"/>
        <v>119.6911205544985</v>
      </c>
      <c r="H44">
        <f t="shared" si="7"/>
        <v>139.60324343793241</v>
      </c>
    </row>
    <row r="45" spans="1:8" x14ac:dyDescent="0.35">
      <c r="A45">
        <v>45</v>
      </c>
      <c r="C45">
        <f t="shared" si="4"/>
        <v>124.37547965119123</v>
      </c>
      <c r="D45">
        <f t="shared" si="5"/>
        <v>104.37664583000488</v>
      </c>
      <c r="E45">
        <v>45</v>
      </c>
      <c r="G45">
        <f t="shared" si="6"/>
        <v>121.41632961334113</v>
      </c>
      <c r="H45">
        <f t="shared" si="7"/>
        <v>141.35756765585955</v>
      </c>
    </row>
    <row r="46" spans="1:8" x14ac:dyDescent="0.35">
      <c r="A46">
        <v>46</v>
      </c>
      <c r="C46">
        <f t="shared" si="4"/>
        <v>125.98232270851986</v>
      </c>
      <c r="D46">
        <f t="shared" si="5"/>
        <v>105.94818627003049</v>
      </c>
      <c r="E46">
        <v>46</v>
      </c>
      <c r="G46">
        <f t="shared" si="6"/>
        <v>123.14153867218374</v>
      </c>
      <c r="H46">
        <f t="shared" si="7"/>
        <v>143.11518351502875</v>
      </c>
    </row>
    <row r="47" spans="1:8" x14ac:dyDescent="0.35">
      <c r="A47">
        <v>47</v>
      </c>
      <c r="C47">
        <f t="shared" si="4"/>
        <v>127.58916576584849</v>
      </c>
      <c r="D47">
        <f t="shared" si="5"/>
        <v>107.51691076929413</v>
      </c>
      <c r="E47">
        <v>47</v>
      </c>
      <c r="G47">
        <f t="shared" si="6"/>
        <v>124.86674773102638</v>
      </c>
      <c r="H47">
        <f t="shared" si="7"/>
        <v>144.87607502217111</v>
      </c>
    </row>
    <row r="48" spans="1:8" x14ac:dyDescent="0.35">
      <c r="A48">
        <v>48</v>
      </c>
      <c r="C48">
        <f t="shared" si="4"/>
        <v>129.19600882317712</v>
      </c>
      <c r="D48">
        <f t="shared" si="5"/>
        <v>109.08283533813233</v>
      </c>
      <c r="E48">
        <v>48</v>
      </c>
      <c r="G48">
        <f t="shared" si="6"/>
        <v>126.59195678986902</v>
      </c>
      <c r="H48">
        <f t="shared" si="7"/>
        <v>146.64022468703422</v>
      </c>
    </row>
    <row r="49" spans="1:8" x14ac:dyDescent="0.35">
      <c r="A49">
        <v>49</v>
      </c>
      <c r="C49">
        <f t="shared" si="4"/>
        <v>130.80285188050573</v>
      </c>
      <c r="D49">
        <f t="shared" si="5"/>
        <v>110.64597702812769</v>
      </c>
      <c r="E49">
        <v>49</v>
      </c>
      <c r="G49">
        <f t="shared" si="6"/>
        <v>128.31716584871165</v>
      </c>
      <c r="H49">
        <f t="shared" si="7"/>
        <v>148.40761356411051</v>
      </c>
    </row>
    <row r="50" spans="1:8" x14ac:dyDescent="0.35">
      <c r="A50">
        <v>50</v>
      </c>
      <c r="C50">
        <f t="shared" si="4"/>
        <v>132.40969493783439</v>
      </c>
      <c r="D50">
        <f t="shared" si="5"/>
        <v>112.2063538980097</v>
      </c>
      <c r="E50">
        <v>50</v>
      </c>
      <c r="G50">
        <f t="shared" si="6"/>
        <v>130.04237490755426</v>
      </c>
      <c r="H50">
        <f t="shared" si="7"/>
        <v>150.17822129726829</v>
      </c>
    </row>
    <row r="51" spans="1:8" x14ac:dyDescent="0.35">
      <c r="A51">
        <v>51</v>
      </c>
      <c r="C51">
        <f t="shared" si="4"/>
        <v>134.01653799516299</v>
      </c>
      <c r="D51">
        <f t="shared" si="5"/>
        <v>113.76398497805887</v>
      </c>
      <c r="E51">
        <v>51</v>
      </c>
      <c r="G51">
        <f t="shared" si="6"/>
        <v>131.7675839663969</v>
      </c>
      <c r="H51">
        <f t="shared" si="7"/>
        <v>151.95202616704887</v>
      </c>
    </row>
    <row r="52" spans="1:8" x14ac:dyDescent="0.35">
      <c r="A52">
        <v>52</v>
      </c>
      <c r="C52">
        <f t="shared" si="4"/>
        <v>135.62338105249165</v>
      </c>
      <c r="D52">
        <f t="shared" si="5"/>
        <v>115.31889023317105</v>
      </c>
      <c r="E52">
        <v>52</v>
      </c>
      <c r="G52">
        <f t="shared" si="6"/>
        <v>133.49279302523954</v>
      </c>
      <c r="H52">
        <f t="shared" si="7"/>
        <v>153.7290051403829</v>
      </c>
    </row>
    <row r="53" spans="1:8" x14ac:dyDescent="0.35">
      <c r="A53">
        <v>53</v>
      </c>
      <c r="C53">
        <f t="shared" si="4"/>
        <v>137.23022410982026</v>
      </c>
      <c r="D53">
        <f t="shared" si="5"/>
        <v>116.87109052473737</v>
      </c>
      <c r="E53">
        <v>53</v>
      </c>
      <c r="G53">
        <f t="shared" si="6"/>
        <v>135.21800208408217</v>
      </c>
      <c r="H53">
        <f t="shared" si="7"/>
        <v>155.50913392247415</v>
      </c>
    </row>
    <row r="54" spans="1:8" x14ac:dyDescent="0.35">
      <c r="A54">
        <v>54</v>
      </c>
      <c r="C54">
        <f t="shared" si="4"/>
        <v>138.83706716714892</v>
      </c>
      <c r="D54">
        <f t="shared" si="5"/>
        <v>118.42060757150064</v>
      </c>
      <c r="E54">
        <v>54</v>
      </c>
      <c r="G54">
        <f t="shared" si="6"/>
        <v>136.94321114292478</v>
      </c>
      <c r="H54">
        <f t="shared" si="7"/>
        <v>157.29238701059199</v>
      </c>
    </row>
    <row r="55" spans="1:8" x14ac:dyDescent="0.35">
      <c r="A55">
        <v>55</v>
      </c>
      <c r="C55">
        <f t="shared" si="4"/>
        <v>140.44391022447752</v>
      </c>
      <c r="D55">
        <f t="shared" si="5"/>
        <v>119.96746390954434</v>
      </c>
      <c r="E55">
        <v>55</v>
      </c>
      <c r="G55">
        <f t="shared" si="6"/>
        <v>138.66842020176742</v>
      </c>
      <c r="H55">
        <f t="shared" si="7"/>
        <v>159.07873774951295</v>
      </c>
    </row>
    <row r="56" spans="1:8" x14ac:dyDescent="0.35">
      <c r="A56">
        <v>56</v>
      </c>
      <c r="C56">
        <f t="shared" si="4"/>
        <v>142.05075328180615</v>
      </c>
      <c r="D56">
        <f t="shared" si="5"/>
        <v>121.51168285157352</v>
      </c>
      <c r="E56">
        <v>56</v>
      </c>
      <c r="G56">
        <f t="shared" si="6"/>
        <v>140.39362926061006</v>
      </c>
      <c r="H56">
        <f t="shared" si="7"/>
        <v>160.86815838835031</v>
      </c>
    </row>
    <row r="57" spans="1:8" x14ac:dyDescent="0.35">
      <c r="A57">
        <v>57</v>
      </c>
      <c r="C57">
        <f t="shared" si="4"/>
        <v>143.65759633913478</v>
      </c>
      <c r="D57">
        <f t="shared" si="5"/>
        <v>123.05328844564112</v>
      </c>
      <c r="E57">
        <v>57</v>
      </c>
      <c r="G57">
        <f t="shared" si="6"/>
        <v>142.11883831945269</v>
      </c>
      <c r="H57">
        <f t="shared" si="7"/>
        <v>162.66062013851291</v>
      </c>
    </row>
    <row r="58" spans="1:8" x14ac:dyDescent="0.35">
      <c r="A58">
        <v>58</v>
      </c>
      <c r="C58">
        <f t="shared" si="4"/>
        <v>145.26443939646342</v>
      </c>
      <c r="D58">
        <f t="shared" si="5"/>
        <v>124.59230543347284</v>
      </c>
      <c r="E58">
        <v>58</v>
      </c>
      <c r="G58">
        <f t="shared" si="6"/>
        <v>143.8440473782953</v>
      </c>
      <c r="H58">
        <f t="shared" si="7"/>
        <v>164.45609323253737</v>
      </c>
    </row>
    <row r="59" spans="1:8" x14ac:dyDescent="0.35">
      <c r="A59">
        <v>59</v>
      </c>
      <c r="C59">
        <f t="shared" si="4"/>
        <v>146.87128245379205</v>
      </c>
      <c r="D59">
        <f t="shared" si="5"/>
        <v>126.12875920853848</v>
      </c>
      <c r="E59">
        <v>59</v>
      </c>
      <c r="G59">
        <f t="shared" si="6"/>
        <v>145.56925643713794</v>
      </c>
      <c r="H59">
        <f t="shared" si="7"/>
        <v>166.25454698354307</v>
      </c>
    </row>
    <row r="60" spans="1:8" x14ac:dyDescent="0.35">
      <c r="A60">
        <v>60</v>
      </c>
      <c r="C60">
        <f t="shared" si="4"/>
        <v>148.47812551112068</v>
      </c>
      <c r="D60">
        <f t="shared" si="5"/>
        <v>127.66267577401305</v>
      </c>
      <c r="E60">
        <v>60</v>
      </c>
      <c r="G60">
        <f t="shared" si="6"/>
        <v>147.29446549598057</v>
      </c>
      <c r="H60">
        <f t="shared" si="7"/>
        <v>168.05594984506629</v>
      </c>
    </row>
    <row r="61" spans="1:8" x14ac:dyDescent="0.35">
      <c r="A61">
        <v>61</v>
      </c>
      <c r="C61">
        <f t="shared" si="4"/>
        <v>150.08496856844931</v>
      </c>
      <c r="D61">
        <f t="shared" si="5"/>
        <v>129.19408170076613</v>
      </c>
      <c r="E61">
        <v>61</v>
      </c>
      <c r="G61">
        <f t="shared" si="6"/>
        <v>149.01967455482321</v>
      </c>
      <c r="H61">
        <f t="shared" si="7"/>
        <v>169.86026947103855</v>
      </c>
    </row>
    <row r="62" spans="1:8" x14ac:dyDescent="0.35">
      <c r="A62">
        <v>62</v>
      </c>
      <c r="C62">
        <f t="shared" si="4"/>
        <v>151.69181162577792</v>
      </c>
      <c r="D62">
        <f t="shared" si="5"/>
        <v>130.72300408551149</v>
      </c>
      <c r="E62">
        <v>62</v>
      </c>
      <c r="G62">
        <f t="shared" si="6"/>
        <v>150.74488361366582</v>
      </c>
      <c r="H62">
        <f t="shared" si="7"/>
        <v>171.66747277568265</v>
      </c>
    </row>
    <row r="63" spans="1:8" x14ac:dyDescent="0.35">
      <c r="A63">
        <v>63</v>
      </c>
      <c r="C63">
        <f t="shared" si="4"/>
        <v>153.29865468310658</v>
      </c>
      <c r="D63">
        <f t="shared" si="5"/>
        <v>132.24947050924263</v>
      </c>
      <c r="E63">
        <v>63</v>
      </c>
      <c r="G63">
        <f t="shared" si="6"/>
        <v>152.47009267250846</v>
      </c>
      <c r="H63">
        <f t="shared" si="7"/>
        <v>173.47752599311247</v>
      </c>
    </row>
    <row r="64" spans="1:8" x14ac:dyDescent="0.35">
      <c r="A64">
        <v>64</v>
      </c>
      <c r="C64">
        <f t="shared" si="4"/>
        <v>154.90549774043518</v>
      </c>
      <c r="D64">
        <f t="shared" si="5"/>
        <v>133.77350899607256</v>
      </c>
      <c r="E64">
        <v>64</v>
      </c>
      <c r="G64">
        <f t="shared" si="6"/>
        <v>154.19530173135109</v>
      </c>
      <c r="H64">
        <f t="shared" si="7"/>
        <v>175.29039473643209</v>
      </c>
    </row>
    <row r="65" spans="1:8" x14ac:dyDescent="0.35">
      <c r="A65">
        <v>65</v>
      </c>
      <c r="C65">
        <f t="shared" ref="C65:C70" si="8">53.6743851287315+(A65-1)*1.60684305732863</f>
        <v>156.51234079776384</v>
      </c>
      <c r="D65">
        <f t="shared" ref="D65:D70" si="9">0+1*C65-19.6529021798461*(1.01492537313433+(C65-105.522388059701)^2/17263.8877370516)^0.5</f>
        <v>135.29514797259006</v>
      </c>
      <c r="E65">
        <v>65</v>
      </c>
      <c r="G65">
        <f t="shared" ref="G65:G70" si="10">45.5071310242654+(E65-1)*1.72520905884263</f>
        <v>155.92051079019373</v>
      </c>
      <c r="H65">
        <f t="shared" ref="H65:H70" si="11">0+1*G65+19.6529021798461*(1.01492537313433+(G65-105.522388059701)^2/17263.8877370516)^0.5</f>
        <v>177.10604405614498</v>
      </c>
    </row>
    <row r="66" spans="1:8" x14ac:dyDescent="0.35">
      <c r="A66">
        <v>66</v>
      </c>
      <c r="C66">
        <f t="shared" si="8"/>
        <v>158.11918385509244</v>
      </c>
      <c r="D66">
        <f t="shared" si="9"/>
        <v>136.81441622783453</v>
      </c>
      <c r="E66">
        <v>66</v>
      </c>
      <c r="G66">
        <f t="shared" si="10"/>
        <v>157.64571984903637</v>
      </c>
      <c r="H66">
        <f t="shared" si="11"/>
        <v>178.92443849769447</v>
      </c>
    </row>
    <row r="67" spans="1:8" x14ac:dyDescent="0.35">
      <c r="A67">
        <v>67</v>
      </c>
      <c r="C67">
        <f t="shared" si="8"/>
        <v>159.7260269124211</v>
      </c>
      <c r="D67">
        <f t="shared" si="9"/>
        <v>138.33134287398715</v>
      </c>
      <c r="E67">
        <v>67</v>
      </c>
      <c r="G67">
        <f t="shared" si="10"/>
        <v>159.37092890787898</v>
      </c>
      <c r="H67">
        <f t="shared" si="11"/>
        <v>180.74554215797286</v>
      </c>
    </row>
    <row r="68" spans="1:8" x14ac:dyDescent="0.35">
      <c r="A68">
        <v>68</v>
      </c>
      <c r="C68">
        <f t="shared" si="8"/>
        <v>161.33286996974971</v>
      </c>
      <c r="D68">
        <f t="shared" si="9"/>
        <v>139.84595730786413</v>
      </c>
      <c r="E68">
        <v>68</v>
      </c>
      <c r="G68">
        <f t="shared" si="10"/>
        <v>161.09613796672161</v>
      </c>
      <c r="H68">
        <f t="shared" si="11"/>
        <v>182.5693187406485</v>
      </c>
    </row>
    <row r="69" spans="1:8" x14ac:dyDescent="0.35">
      <c r="A69">
        <v>69</v>
      </c>
      <c r="C69">
        <f t="shared" si="8"/>
        <v>162.93971302707834</v>
      </c>
      <c r="D69">
        <f t="shared" si="9"/>
        <v>141.35828917329405</v>
      </c>
      <c r="E69">
        <v>69</v>
      </c>
      <c r="G69">
        <f t="shared" si="10"/>
        <v>162.82134702556425</v>
      </c>
      <c r="H69">
        <f t="shared" si="11"/>
        <v>184.39573161017549</v>
      </c>
    </row>
    <row r="70" spans="1:8" x14ac:dyDescent="0.35">
      <c r="A70">
        <v>70</v>
      </c>
      <c r="C70">
        <f t="shared" si="8"/>
        <v>164.54655608440697</v>
      </c>
      <c r="D70">
        <f t="shared" si="9"/>
        <v>142.86836832444894</v>
      </c>
      <c r="E70">
        <v>70</v>
      </c>
      <c r="G70">
        <f t="shared" si="10"/>
        <v>164.54655608440689</v>
      </c>
      <c r="H70">
        <f t="shared" si="11"/>
        <v>186.22474384436492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09AD-A290-4E9B-96B2-D7AD029DA83B}">
  <sheetPr codeName="Sheet17">
    <tabColor rgb="FF007800"/>
  </sheetPr>
  <dimension ref="A1:XX996"/>
  <sheetViews>
    <sheetView zoomScaleNormal="100" workbookViewId="0">
      <selection activeCell="A3" activeCellId="1" sqref="A2:XFD2 A3:XFD3"/>
    </sheetView>
  </sheetViews>
  <sheetFormatPr defaultRowHeight="15.5" x14ac:dyDescent="0.35"/>
  <cols>
    <col min="1" max="1" width="8.83203125" customWidth="1"/>
    <col min="3" max="3" width="9.4140625" bestFit="1" customWidth="1"/>
  </cols>
  <sheetData>
    <row r="1" spans="1:8" x14ac:dyDescent="0.35">
      <c r="A1" s="94" t="s">
        <v>291</v>
      </c>
    </row>
    <row r="2" spans="1:8" x14ac:dyDescent="0.35">
      <c r="A2" s="94" t="s">
        <v>88</v>
      </c>
    </row>
    <row r="3" spans="1:8" x14ac:dyDescent="0.35">
      <c r="A3" s="94" t="s">
        <v>89</v>
      </c>
    </row>
    <row r="4" spans="1:8" ht="38" customHeight="1" x14ac:dyDescent="0.35"/>
    <row r="5" spans="1:8" ht="15.65" customHeight="1" x14ac:dyDescent="0.35">
      <c r="A5" s="95"/>
    </row>
    <row r="8" spans="1:8" x14ac:dyDescent="0.35">
      <c r="A8" s="96" t="s">
        <v>90</v>
      </c>
    </row>
    <row r="9" spans="1:8" ht="16" thickBot="1" x14ac:dyDescent="0.4"/>
    <row r="10" spans="1:8" ht="31.25" customHeight="1" x14ac:dyDescent="0.35">
      <c r="A10" s="97" t="s">
        <v>91</v>
      </c>
      <c r="B10" s="50" t="s">
        <v>92</v>
      </c>
      <c r="C10" s="50" t="s">
        <v>93</v>
      </c>
      <c r="D10" s="50" t="s">
        <v>94</v>
      </c>
      <c r="E10" s="50" t="s">
        <v>95</v>
      </c>
      <c r="F10" s="50" t="s">
        <v>96</v>
      </c>
      <c r="G10" s="50" t="s">
        <v>97</v>
      </c>
      <c r="H10" s="50" t="s">
        <v>98</v>
      </c>
    </row>
    <row r="11" spans="1:8" x14ac:dyDescent="0.35">
      <c r="A11" s="98" t="s">
        <v>65</v>
      </c>
      <c r="B11" s="53">
        <v>67</v>
      </c>
      <c r="C11" s="53">
        <v>0</v>
      </c>
      <c r="D11" s="53">
        <v>67</v>
      </c>
      <c r="E11" s="56">
        <v>50</v>
      </c>
      <c r="F11" s="56">
        <v>160</v>
      </c>
      <c r="G11" s="56">
        <v>105.52238805970147</v>
      </c>
      <c r="H11" s="56">
        <v>18.771640609719263</v>
      </c>
    </row>
    <row r="12" spans="1:8" x14ac:dyDescent="0.35">
      <c r="A12" s="48" t="s">
        <v>66</v>
      </c>
      <c r="B12" s="54">
        <v>67</v>
      </c>
      <c r="C12" s="54">
        <v>0</v>
      </c>
      <c r="D12" s="54">
        <v>67</v>
      </c>
      <c r="E12" s="57">
        <v>5</v>
      </c>
      <c r="F12" s="57">
        <v>23</v>
      </c>
      <c r="G12" s="57">
        <v>14.76865671641791</v>
      </c>
      <c r="H12" s="57">
        <v>3.859588962069465</v>
      </c>
    </row>
    <row r="13" spans="1:8" ht="16" thickBot="1" x14ac:dyDescent="0.4">
      <c r="A13" s="52" t="s">
        <v>67</v>
      </c>
      <c r="B13" s="55">
        <v>67</v>
      </c>
      <c r="C13" s="55">
        <v>0</v>
      </c>
      <c r="D13" s="55">
        <v>67</v>
      </c>
      <c r="E13" s="58">
        <v>0</v>
      </c>
      <c r="F13" s="58">
        <v>15</v>
      </c>
      <c r="G13" s="58">
        <v>6.9552238805970132</v>
      </c>
      <c r="H13" s="58">
        <v>4.4087819929362873</v>
      </c>
    </row>
    <row r="16" spans="1:8" x14ac:dyDescent="0.35">
      <c r="A16" s="6" t="s">
        <v>99</v>
      </c>
    </row>
    <row r="17" spans="1:4" ht="16" thickBot="1" x14ac:dyDescent="0.4"/>
    <row r="18" spans="1:4" x14ac:dyDescent="0.35">
      <c r="A18" s="49"/>
      <c r="B18" s="50" t="s">
        <v>66</v>
      </c>
      <c r="C18" s="50" t="s">
        <v>67</v>
      </c>
      <c r="D18" s="59" t="s">
        <v>65</v>
      </c>
    </row>
    <row r="19" spans="1:4" x14ac:dyDescent="0.35">
      <c r="A19" s="60" t="s">
        <v>66</v>
      </c>
      <c r="B19" s="66">
        <v>1</v>
      </c>
      <c r="C19" s="62">
        <v>-0.46764485986629534</v>
      </c>
      <c r="D19" s="63">
        <v>0.26153521011316305</v>
      </c>
    </row>
    <row r="20" spans="1:4" x14ac:dyDescent="0.35">
      <c r="A20" s="48" t="s">
        <v>67</v>
      </c>
      <c r="B20" s="57">
        <v>-0.46764485986629534</v>
      </c>
      <c r="C20" s="67">
        <v>1</v>
      </c>
      <c r="D20" s="64">
        <v>0.5943737230508368</v>
      </c>
    </row>
    <row r="21" spans="1:4" ht="16" thickBot="1" x14ac:dyDescent="0.4">
      <c r="A21" s="61" t="s">
        <v>65</v>
      </c>
      <c r="B21" s="65">
        <v>0.26153521011316305</v>
      </c>
      <c r="C21" s="65">
        <v>0.5943737230508368</v>
      </c>
      <c r="D21" s="68">
        <v>1</v>
      </c>
    </row>
    <row r="24" spans="1:4" x14ac:dyDescent="0.35">
      <c r="A24" s="6" t="s">
        <v>251</v>
      </c>
    </row>
    <row r="26" spans="1:4" x14ac:dyDescent="0.35">
      <c r="A26" s="2" t="s">
        <v>252</v>
      </c>
    </row>
    <row r="27" spans="1:4" ht="16" thickBot="1" x14ac:dyDescent="0.4"/>
    <row r="28" spans="1:4" x14ac:dyDescent="0.35">
      <c r="A28" s="69" t="s">
        <v>92</v>
      </c>
      <c r="B28" s="70">
        <v>67</v>
      </c>
    </row>
    <row r="29" spans="1:4" x14ac:dyDescent="0.35">
      <c r="A29" s="48" t="s">
        <v>102</v>
      </c>
      <c r="B29" s="54">
        <v>67</v>
      </c>
    </row>
    <row r="30" spans="1:4" x14ac:dyDescent="0.35">
      <c r="A30" s="48" t="s">
        <v>103</v>
      </c>
      <c r="B30" s="54">
        <v>64</v>
      </c>
    </row>
    <row r="31" spans="1:4" x14ac:dyDescent="0.35">
      <c r="A31" s="48" t="s">
        <v>104</v>
      </c>
      <c r="B31" s="57">
        <v>0.72579705775701198</v>
      </c>
    </row>
    <row r="32" spans="1:4" x14ac:dyDescent="0.35">
      <c r="A32" s="48" t="s">
        <v>105</v>
      </c>
      <c r="B32" s="57">
        <v>0.71722821581191865</v>
      </c>
    </row>
    <row r="33" spans="1:7" x14ac:dyDescent="0.35">
      <c r="A33" s="48" t="s">
        <v>106</v>
      </c>
      <c r="B33" s="57">
        <v>99.641563573466428</v>
      </c>
    </row>
    <row r="34" spans="1:7" x14ac:dyDescent="0.35">
      <c r="A34" s="48" t="s">
        <v>107</v>
      </c>
      <c r="B34" s="57">
        <v>9.9820620902429997</v>
      </c>
    </row>
    <row r="35" spans="1:7" x14ac:dyDescent="0.35">
      <c r="A35" s="48" t="s">
        <v>108</v>
      </c>
      <c r="B35" s="57">
        <v>7.5082247003414224</v>
      </c>
    </row>
    <row r="36" spans="1:7" x14ac:dyDescent="0.35">
      <c r="A36" s="48" t="s">
        <v>109</v>
      </c>
      <c r="B36" s="57">
        <v>1.8171426751422959</v>
      </c>
    </row>
    <row r="37" spans="1:7" x14ac:dyDescent="0.35">
      <c r="A37" s="48" t="s">
        <v>110</v>
      </c>
      <c r="B37" s="57">
        <v>3</v>
      </c>
    </row>
    <row r="38" spans="1:7" x14ac:dyDescent="0.35">
      <c r="A38" s="48" t="s">
        <v>111</v>
      </c>
      <c r="B38" s="57">
        <v>311.23657971323837</v>
      </c>
    </row>
    <row r="39" spans="1:7" x14ac:dyDescent="0.35">
      <c r="A39" s="48" t="s">
        <v>112</v>
      </c>
      <c r="B39" s="57">
        <v>311.61753209419078</v>
      </c>
    </row>
    <row r="40" spans="1:7" x14ac:dyDescent="0.35">
      <c r="A40" s="48" t="s">
        <v>113</v>
      </c>
      <c r="B40" s="57">
        <v>317.85065757141126</v>
      </c>
    </row>
    <row r="41" spans="1:7" ht="16" thickBot="1" x14ac:dyDescent="0.4">
      <c r="A41" s="52" t="s">
        <v>114</v>
      </c>
      <c r="B41" s="58">
        <v>0.29990946807826813</v>
      </c>
    </row>
    <row r="44" spans="1:7" x14ac:dyDescent="0.35">
      <c r="A44" s="2" t="s">
        <v>253</v>
      </c>
    </row>
    <row r="45" spans="1:7" ht="16" thickBot="1" x14ac:dyDescent="0.4"/>
    <row r="46" spans="1:7" ht="46.5" x14ac:dyDescent="0.35">
      <c r="A46" s="49" t="s">
        <v>116</v>
      </c>
      <c r="B46" s="50" t="s">
        <v>103</v>
      </c>
      <c r="C46" s="50" t="s">
        <v>117</v>
      </c>
      <c r="D46" s="50" t="s">
        <v>118</v>
      </c>
      <c r="E46" s="50" t="s">
        <v>119</v>
      </c>
      <c r="F46" s="50" t="s">
        <v>120</v>
      </c>
      <c r="G46" s="50" t="s">
        <v>121</v>
      </c>
    </row>
    <row r="47" spans="1:7" x14ac:dyDescent="0.35">
      <c r="A47" s="60" t="s">
        <v>122</v>
      </c>
      <c r="B47" s="62">
        <v>2</v>
      </c>
      <c r="C47" s="62">
        <v>16879.656349208599</v>
      </c>
      <c r="D47" s="62">
        <v>8439.8281746042994</v>
      </c>
      <c r="E47" s="62">
        <v>84.701884152806926</v>
      </c>
      <c r="F47" s="74">
        <v>1.0430557870677967E-18</v>
      </c>
      <c r="G47" s="77" t="s">
        <v>125</v>
      </c>
    </row>
    <row r="48" spans="1:7" x14ac:dyDescent="0.35">
      <c r="A48" s="48" t="s">
        <v>123</v>
      </c>
      <c r="B48" s="57">
        <v>64</v>
      </c>
      <c r="C48" s="57">
        <v>6377.0600687018514</v>
      </c>
      <c r="D48" s="57">
        <v>99.641563573466428</v>
      </c>
      <c r="E48" s="57"/>
      <c r="F48" s="75"/>
      <c r="G48" s="78" t="s">
        <v>126</v>
      </c>
    </row>
    <row r="49" spans="1:8" ht="16" thickBot="1" x14ac:dyDescent="0.4">
      <c r="A49" s="52" t="s">
        <v>124</v>
      </c>
      <c r="B49" s="58">
        <v>66</v>
      </c>
      <c r="C49" s="58">
        <v>23256.716417910451</v>
      </c>
      <c r="D49" s="58"/>
      <c r="E49" s="58"/>
      <c r="F49" s="76"/>
      <c r="G49" s="79" t="s">
        <v>126</v>
      </c>
    </row>
    <row r="50" spans="1:8" x14ac:dyDescent="0.35">
      <c r="A50" s="80" t="s">
        <v>127</v>
      </c>
    </row>
    <row r="51" spans="1:8" x14ac:dyDescent="0.35">
      <c r="A51" s="80" t="s">
        <v>128</v>
      </c>
    </row>
    <row r="54" spans="1:8" x14ac:dyDescent="0.35">
      <c r="A54" s="2" t="s">
        <v>254</v>
      </c>
    </row>
    <row r="55" spans="1:8" ht="16" thickBot="1" x14ac:dyDescent="0.4"/>
    <row r="56" spans="1:8" ht="46.5" x14ac:dyDescent="0.35">
      <c r="A56" s="49" t="s">
        <v>116</v>
      </c>
      <c r="B56" s="50" t="s">
        <v>130</v>
      </c>
      <c r="C56" s="50" t="s">
        <v>131</v>
      </c>
      <c r="D56" s="50" t="s">
        <v>132</v>
      </c>
      <c r="E56" s="50" t="s">
        <v>133</v>
      </c>
      <c r="F56" s="50" t="s">
        <v>134</v>
      </c>
      <c r="G56" s="50" t="s">
        <v>135</v>
      </c>
      <c r="H56" s="50" t="s">
        <v>121</v>
      </c>
    </row>
    <row r="57" spans="1:8" x14ac:dyDescent="0.35">
      <c r="A57" s="60" t="s">
        <v>16</v>
      </c>
      <c r="B57" s="62">
        <v>28.760195321729466</v>
      </c>
      <c r="C57" s="62">
        <v>6.7452659084359539</v>
      </c>
      <c r="D57" s="62">
        <v>4.2637600521812757</v>
      </c>
      <c r="E57" s="74">
        <v>6.7500351970907011E-5</v>
      </c>
      <c r="F57" s="62">
        <v>15.284977590192394</v>
      </c>
      <c r="G57" s="62">
        <v>42.235413053266541</v>
      </c>
      <c r="H57" s="77" t="s">
        <v>125</v>
      </c>
    </row>
    <row r="58" spans="1:8" x14ac:dyDescent="0.35">
      <c r="A58" s="48" t="s">
        <v>66</v>
      </c>
      <c r="B58" s="57">
        <v>3.3583269215623344</v>
      </c>
      <c r="C58" s="57">
        <v>0.36016045693322302</v>
      </c>
      <c r="D58" s="57">
        <v>9.3245298225090778</v>
      </c>
      <c r="E58" s="75">
        <v>1.5409895581797173E-13</v>
      </c>
      <c r="F58" s="57">
        <v>2.6388236964344172</v>
      </c>
      <c r="G58" s="57">
        <v>4.0778301466902516</v>
      </c>
      <c r="H58" s="78" t="s">
        <v>125</v>
      </c>
    </row>
    <row r="59" spans="1:8" ht="16" thickBot="1" x14ac:dyDescent="0.4">
      <c r="A59" s="52" t="s">
        <v>67</v>
      </c>
      <c r="B59" s="58">
        <v>3.9055846020562126</v>
      </c>
      <c r="C59" s="58">
        <v>0.31529599929879121</v>
      </c>
      <c r="D59" s="58">
        <v>12.387041417404962</v>
      </c>
      <c r="E59" s="76">
        <v>0</v>
      </c>
      <c r="F59" s="58">
        <v>3.2757084343694554</v>
      </c>
      <c r="G59" s="58">
        <v>4.5354607697429694</v>
      </c>
      <c r="H59" s="79" t="s">
        <v>125</v>
      </c>
    </row>
    <row r="60" spans="1:8" x14ac:dyDescent="0.35">
      <c r="A60" s="80" t="s">
        <v>128</v>
      </c>
    </row>
    <row r="63" spans="1:8" x14ac:dyDescent="0.35">
      <c r="A63" s="2" t="s">
        <v>255</v>
      </c>
    </row>
    <row r="65" spans="1:8" x14ac:dyDescent="0.35">
      <c r="A65" t="s">
        <v>289</v>
      </c>
    </row>
    <row r="68" spans="1:8" x14ac:dyDescent="0.35">
      <c r="A68" s="2" t="s">
        <v>257</v>
      </c>
    </row>
    <row r="69" spans="1:8" ht="16" thickBot="1" x14ac:dyDescent="0.4"/>
    <row r="70" spans="1:8" ht="46.5" x14ac:dyDescent="0.35">
      <c r="A70" s="49" t="s">
        <v>116</v>
      </c>
      <c r="B70" s="50" t="s">
        <v>130</v>
      </c>
      <c r="C70" s="50" t="s">
        <v>131</v>
      </c>
      <c r="D70" s="50" t="s">
        <v>132</v>
      </c>
      <c r="E70" s="50" t="s">
        <v>133</v>
      </c>
      <c r="F70" s="50" t="s">
        <v>134</v>
      </c>
      <c r="G70" s="50" t="s">
        <v>135</v>
      </c>
      <c r="H70" s="50" t="s">
        <v>121</v>
      </c>
    </row>
    <row r="71" spans="1:8" x14ac:dyDescent="0.35">
      <c r="A71" s="60" t="s">
        <v>66</v>
      </c>
      <c r="B71" s="62">
        <v>0.69049699954151</v>
      </c>
      <c r="C71" s="62">
        <v>7.4051669380119867E-2</v>
      </c>
      <c r="D71" s="62">
        <v>9.3245298225090778</v>
      </c>
      <c r="E71" s="74">
        <v>1.5409895581797173E-13</v>
      </c>
      <c r="F71" s="62">
        <v>0.54256178366915464</v>
      </c>
      <c r="G71" s="62">
        <v>0.83843221541386537</v>
      </c>
      <c r="H71" s="77" t="s">
        <v>125</v>
      </c>
    </row>
    <row r="72" spans="1:8" ht="16" thickBot="1" x14ac:dyDescent="0.4">
      <c r="A72" s="52" t="s">
        <v>67</v>
      </c>
      <c r="B72" s="58">
        <v>0.91728109563952365</v>
      </c>
      <c r="C72" s="58">
        <v>7.4051669380119867E-2</v>
      </c>
      <c r="D72" s="58">
        <v>12.387041417404962</v>
      </c>
      <c r="E72" s="76">
        <v>0</v>
      </c>
      <c r="F72" s="58">
        <v>0.76934587976716828</v>
      </c>
      <c r="G72" s="58">
        <v>1.0652163115118789</v>
      </c>
      <c r="H72" s="79" t="s">
        <v>125</v>
      </c>
    </row>
    <row r="73" spans="1:8" x14ac:dyDescent="0.35">
      <c r="A73" s="80" t="s">
        <v>128</v>
      </c>
    </row>
    <row r="92" spans="1:6" x14ac:dyDescent="0.35">
      <c r="F92" t="s">
        <v>141</v>
      </c>
    </row>
    <row r="95" spans="1:6" x14ac:dyDescent="0.35">
      <c r="A95" s="2" t="s">
        <v>258</v>
      </c>
    </row>
    <row r="96" spans="1:6" ht="16" thickBot="1" x14ac:dyDescent="0.4"/>
    <row r="97" spans="1:12" ht="77.5" x14ac:dyDescent="0.35">
      <c r="A97" s="49" t="s">
        <v>143</v>
      </c>
      <c r="B97" s="50" t="s">
        <v>144</v>
      </c>
      <c r="C97" s="50" t="s">
        <v>65</v>
      </c>
      <c r="D97" s="50" t="s">
        <v>284</v>
      </c>
      <c r="E97" s="50" t="s">
        <v>188</v>
      </c>
      <c r="F97" s="50" t="s">
        <v>189</v>
      </c>
      <c r="G97" s="50" t="s">
        <v>190</v>
      </c>
      <c r="H97" s="50" t="s">
        <v>191</v>
      </c>
      <c r="I97" s="50" t="s">
        <v>192</v>
      </c>
      <c r="J97" s="50" t="s">
        <v>193</v>
      </c>
      <c r="K97" s="50" t="s">
        <v>194</v>
      </c>
      <c r="L97" s="50" t="s">
        <v>195</v>
      </c>
    </row>
    <row r="98" spans="1:12" x14ac:dyDescent="0.35">
      <c r="A98" s="60" t="s">
        <v>145</v>
      </c>
      <c r="B98" s="81">
        <v>1</v>
      </c>
      <c r="C98" s="62">
        <v>70</v>
      </c>
      <c r="D98" s="62">
        <v>68.985337541878422</v>
      </c>
      <c r="E98" s="62">
        <v>1.0146624581215775</v>
      </c>
      <c r="F98" s="62">
        <v>0.10164858212145993</v>
      </c>
      <c r="G98" s="62">
        <v>3.8661710873456259</v>
      </c>
      <c r="H98" s="62">
        <v>61.261772912024455</v>
      </c>
      <c r="I98" s="62">
        <v>76.70890217173239</v>
      </c>
      <c r="J98" s="62">
        <v>10.704617809622803</v>
      </c>
      <c r="K98" s="62">
        <v>47.600405105463366</v>
      </c>
      <c r="L98" s="62">
        <v>90.370269978293479</v>
      </c>
    </row>
    <row r="99" spans="1:12" x14ac:dyDescent="0.35">
      <c r="A99" s="48" t="s">
        <v>146</v>
      </c>
      <c r="B99" s="54">
        <v>1</v>
      </c>
      <c r="C99" s="57">
        <v>70</v>
      </c>
      <c r="D99" s="57">
        <v>71.79640678294686</v>
      </c>
      <c r="E99" s="57">
        <v>-1.7964067829468604</v>
      </c>
      <c r="F99" s="57">
        <v>-0.17996349518831026</v>
      </c>
      <c r="G99" s="57">
        <v>3.3628975487479775</v>
      </c>
      <c r="H99" s="57">
        <v>65.078246625382548</v>
      </c>
      <c r="I99" s="57">
        <v>78.514566940511173</v>
      </c>
      <c r="J99" s="57">
        <v>10.533311136430063</v>
      </c>
      <c r="K99" s="57">
        <v>50.753698767551356</v>
      </c>
      <c r="L99" s="57">
        <v>92.839114798342365</v>
      </c>
    </row>
    <row r="100" spans="1:12" x14ac:dyDescent="0.35">
      <c r="A100" s="48" t="s">
        <v>147</v>
      </c>
      <c r="B100" s="54">
        <v>1</v>
      </c>
      <c r="C100" s="57">
        <v>50</v>
      </c>
      <c r="D100" s="57">
        <v>55.626810694228141</v>
      </c>
      <c r="E100" s="57">
        <v>-5.6268106942281406</v>
      </c>
      <c r="F100" s="57">
        <v>-0.56369221543192816</v>
      </c>
      <c r="G100" s="57">
        <v>4.1520074463013339</v>
      </c>
      <c r="H100" s="57">
        <v>47.332222293806311</v>
      </c>
      <c r="I100" s="57">
        <v>63.921399094649971</v>
      </c>
      <c r="J100" s="57">
        <v>10.811139135521666</v>
      </c>
      <c r="K100" s="57">
        <v>34.02907744624774</v>
      </c>
      <c r="L100" s="57">
        <v>77.224543942208541</v>
      </c>
    </row>
    <row r="101" spans="1:12" x14ac:dyDescent="0.35">
      <c r="A101" s="48" t="s">
        <v>148</v>
      </c>
      <c r="B101" s="54">
        <v>1</v>
      </c>
      <c r="C101" s="57">
        <v>110</v>
      </c>
      <c r="D101" s="57">
        <v>107.02144904005185</v>
      </c>
      <c r="E101" s="57">
        <v>2.9785509599481514</v>
      </c>
      <c r="F101" s="57">
        <v>0.29839034590453473</v>
      </c>
      <c r="G101" s="57">
        <v>1.2597807735270221</v>
      </c>
      <c r="H101" s="57">
        <v>104.50474763083831</v>
      </c>
      <c r="I101" s="57">
        <v>109.53815044926539</v>
      </c>
      <c r="J101" s="57">
        <v>10.061243023146533</v>
      </c>
      <c r="K101" s="57">
        <v>86.921805493420408</v>
      </c>
      <c r="L101" s="57">
        <v>127.12109258668329</v>
      </c>
    </row>
    <row r="102" spans="1:12" x14ac:dyDescent="0.35">
      <c r="A102" s="48" t="s">
        <v>149</v>
      </c>
      <c r="B102" s="54">
        <v>1</v>
      </c>
      <c r="C102" s="57">
        <v>110</v>
      </c>
      <c r="D102" s="57">
        <v>103.0784740186961</v>
      </c>
      <c r="E102" s="57">
        <v>6.9215259813039012</v>
      </c>
      <c r="F102" s="57">
        <v>0.69339640634667765</v>
      </c>
      <c r="G102" s="57">
        <v>1.8417367200329195</v>
      </c>
      <c r="H102" s="57">
        <v>99.399181957641517</v>
      </c>
      <c r="I102" s="57">
        <v>106.75776607975068</v>
      </c>
      <c r="J102" s="57">
        <v>10.150544700624891</v>
      </c>
      <c r="K102" s="57">
        <v>82.800429862785876</v>
      </c>
      <c r="L102" s="57">
        <v>123.35651817460632</v>
      </c>
    </row>
    <row r="103" spans="1:12" x14ac:dyDescent="0.35">
      <c r="A103" s="48" t="s">
        <v>150</v>
      </c>
      <c r="B103" s="54">
        <v>1</v>
      </c>
      <c r="C103" s="57">
        <v>110</v>
      </c>
      <c r="D103" s="57">
        <v>120.37997588770212</v>
      </c>
      <c r="E103" s="57">
        <v>-10.379975887702116</v>
      </c>
      <c r="F103" s="57">
        <v>-1.0398628854300616</v>
      </c>
      <c r="G103" s="57">
        <v>2.3331131886628009</v>
      </c>
      <c r="H103" s="57">
        <v>115.71904648383197</v>
      </c>
      <c r="I103" s="57">
        <v>125.04090529157226</v>
      </c>
      <c r="J103" s="57">
        <v>10.251096562055141</v>
      </c>
      <c r="K103" s="57">
        <v>99.901056296415888</v>
      </c>
      <c r="L103" s="57">
        <v>140.85889547898833</v>
      </c>
    </row>
    <row r="104" spans="1:12" x14ac:dyDescent="0.35">
      <c r="A104" s="48" t="s">
        <v>151</v>
      </c>
      <c r="B104" s="54">
        <v>1</v>
      </c>
      <c r="C104" s="57">
        <v>130</v>
      </c>
      <c r="D104" s="57">
        <v>120.45475672630118</v>
      </c>
      <c r="E104" s="57">
        <v>9.5452432736988158</v>
      </c>
      <c r="F104" s="57">
        <v>0.95623962137330787</v>
      </c>
      <c r="G104" s="57">
        <v>1.8189833524998353</v>
      </c>
      <c r="H104" s="57">
        <v>116.82091974230302</v>
      </c>
      <c r="I104" s="57">
        <v>124.08859371029935</v>
      </c>
      <c r="J104" s="57">
        <v>10.146440952872981</v>
      </c>
      <c r="K104" s="57">
        <v>100.18491074896879</v>
      </c>
      <c r="L104" s="57">
        <v>140.72460270363359</v>
      </c>
    </row>
    <row r="105" spans="1:12" x14ac:dyDescent="0.35">
      <c r="A105" s="48" t="s">
        <v>152</v>
      </c>
      <c r="B105" s="54">
        <v>1</v>
      </c>
      <c r="C105" s="57">
        <v>90</v>
      </c>
      <c r="D105" s="57">
        <v>102.56860675750175</v>
      </c>
      <c r="E105" s="57">
        <v>-12.568606757501755</v>
      </c>
      <c r="F105" s="57">
        <v>-1.2591192725385851</v>
      </c>
      <c r="G105" s="57">
        <v>1.249546991665506</v>
      </c>
      <c r="H105" s="57">
        <v>100.07234967778878</v>
      </c>
      <c r="I105" s="57">
        <v>105.06486383721473</v>
      </c>
      <c r="J105" s="57">
        <v>10.059966762263519</v>
      </c>
      <c r="K105" s="57">
        <v>82.471512835082947</v>
      </c>
      <c r="L105" s="57">
        <v>122.66570067992056</v>
      </c>
    </row>
    <row r="106" spans="1:12" x14ac:dyDescent="0.35">
      <c r="A106" s="48" t="s">
        <v>153</v>
      </c>
      <c r="B106" s="54">
        <v>1</v>
      </c>
      <c r="C106" s="57">
        <v>90</v>
      </c>
      <c r="D106" s="57">
        <v>91.946368312320885</v>
      </c>
      <c r="E106" s="57">
        <v>-1.9463683123208853</v>
      </c>
      <c r="F106" s="57">
        <v>-0.19498659642914559</v>
      </c>
      <c r="G106" s="57">
        <v>1.6248939015951269</v>
      </c>
      <c r="H106" s="57">
        <v>88.700269579985189</v>
      </c>
      <c r="I106" s="57">
        <v>95.192467044656581</v>
      </c>
      <c r="J106" s="57">
        <v>10.113448658341399</v>
      </c>
      <c r="K106" s="57">
        <v>71.742432020138196</v>
      </c>
      <c r="L106" s="57">
        <v>112.15030460450357</v>
      </c>
    </row>
    <row r="107" spans="1:12" x14ac:dyDescent="0.35">
      <c r="A107" s="48" t="s">
        <v>154</v>
      </c>
      <c r="B107" s="54">
        <v>1</v>
      </c>
      <c r="C107" s="57">
        <v>120</v>
      </c>
      <c r="D107" s="57">
        <v>115.92713360515202</v>
      </c>
      <c r="E107" s="57">
        <v>4.0728663948479777</v>
      </c>
      <c r="F107" s="57">
        <v>0.40801853945879729</v>
      </c>
      <c r="G107" s="57">
        <v>1.8783163553337696</v>
      </c>
      <c r="H107" s="57">
        <v>112.17476532191283</v>
      </c>
      <c r="I107" s="57">
        <v>119.67950188839121</v>
      </c>
      <c r="J107" s="57">
        <v>10.157245488033691</v>
      </c>
      <c r="K107" s="57">
        <v>95.635703087527958</v>
      </c>
      <c r="L107" s="57">
        <v>136.21856412277609</v>
      </c>
    </row>
    <row r="108" spans="1:12" x14ac:dyDescent="0.35">
      <c r="A108" s="48" t="s">
        <v>155</v>
      </c>
      <c r="B108" s="54">
        <v>1</v>
      </c>
      <c r="C108" s="57">
        <v>110</v>
      </c>
      <c r="D108" s="57">
        <v>89.757337590345358</v>
      </c>
      <c r="E108" s="57">
        <v>20.242662409654642</v>
      </c>
      <c r="F108" s="57">
        <v>2.0279038766389661</v>
      </c>
      <c r="G108" s="57">
        <v>2.060900071158001</v>
      </c>
      <c r="H108" s="57">
        <v>85.640216403608676</v>
      </c>
      <c r="I108" s="57">
        <v>93.87445877708204</v>
      </c>
      <c r="J108" s="57">
        <v>10.19258910565738</v>
      </c>
      <c r="K108" s="57">
        <v>69.395300079703603</v>
      </c>
      <c r="L108" s="57">
        <v>110.11937510098711</v>
      </c>
    </row>
    <row r="109" spans="1:12" x14ac:dyDescent="0.35">
      <c r="A109" s="48" t="s">
        <v>156</v>
      </c>
      <c r="B109" s="54">
        <v>1</v>
      </c>
      <c r="C109" s="57">
        <v>120</v>
      </c>
      <c r="D109" s="57">
        <v>107.56870672054572</v>
      </c>
      <c r="E109" s="57">
        <v>12.43129327945428</v>
      </c>
      <c r="F109" s="57">
        <v>1.2453632493034972</v>
      </c>
      <c r="G109" s="57">
        <v>1.3872643655148522</v>
      </c>
      <c r="H109" s="57">
        <v>104.79732755917922</v>
      </c>
      <c r="I109" s="57">
        <v>110.34008588191222</v>
      </c>
      <c r="J109" s="57">
        <v>10.077999106632911</v>
      </c>
      <c r="K109" s="57">
        <v>87.43558904904333</v>
      </c>
      <c r="L109" s="57">
        <v>127.70182439204811</v>
      </c>
    </row>
    <row r="110" spans="1:12" x14ac:dyDescent="0.35">
      <c r="A110" s="48" t="s">
        <v>157</v>
      </c>
      <c r="B110" s="54">
        <v>1</v>
      </c>
      <c r="C110" s="57">
        <v>110</v>
      </c>
      <c r="D110" s="57">
        <v>99.757537516433302</v>
      </c>
      <c r="E110" s="57">
        <v>10.242462483566698</v>
      </c>
      <c r="F110" s="57">
        <v>1.0260868336591722</v>
      </c>
      <c r="G110" s="57">
        <v>1.3728601665642741</v>
      </c>
      <c r="H110" s="57">
        <v>97.014934050457057</v>
      </c>
      <c r="I110" s="57">
        <v>102.50014098240955</v>
      </c>
      <c r="J110" s="57">
        <v>10.076026429620226</v>
      </c>
      <c r="K110" s="57">
        <v>79.628360720297536</v>
      </c>
      <c r="L110" s="57">
        <v>119.88671431256907</v>
      </c>
    </row>
    <row r="111" spans="1:12" x14ac:dyDescent="0.35">
      <c r="A111" s="48" t="s">
        <v>158</v>
      </c>
      <c r="B111" s="54">
        <v>1</v>
      </c>
      <c r="C111" s="57">
        <v>110</v>
      </c>
      <c r="D111" s="57">
        <v>119.83271820720825</v>
      </c>
      <c r="E111" s="57">
        <v>-9.8327182072082451</v>
      </c>
      <c r="F111" s="57">
        <v>-0.98503877438503096</v>
      </c>
      <c r="G111" s="57">
        <v>2.0824135733867339</v>
      </c>
      <c r="H111" s="57">
        <v>115.67261885910101</v>
      </c>
      <c r="I111" s="57">
        <v>123.99281755531548</v>
      </c>
      <c r="J111" s="57">
        <v>10.196960815070916</v>
      </c>
      <c r="K111" s="57">
        <v>99.461947203031016</v>
      </c>
      <c r="L111" s="57">
        <v>140.20348921138549</v>
      </c>
    </row>
    <row r="112" spans="1:12" x14ac:dyDescent="0.35">
      <c r="A112" s="48" t="s">
        <v>159</v>
      </c>
      <c r="B112" s="54">
        <v>1</v>
      </c>
      <c r="C112" s="57">
        <v>110</v>
      </c>
      <c r="D112" s="57">
        <v>114.36014140226946</v>
      </c>
      <c r="E112" s="57">
        <v>-4.3601414022694627</v>
      </c>
      <c r="F112" s="57">
        <v>-0.43679766393471919</v>
      </c>
      <c r="G112" s="57">
        <v>2.6053309051542199</v>
      </c>
      <c r="H112" s="57">
        <v>109.15539459373392</v>
      </c>
      <c r="I112" s="57">
        <v>119.56488821080501</v>
      </c>
      <c r="J112" s="57">
        <v>10.316458340865733</v>
      </c>
      <c r="K112" s="57">
        <v>93.750646647194401</v>
      </c>
      <c r="L112" s="57">
        <v>134.96963615734452</v>
      </c>
    </row>
    <row r="113" spans="1:12" x14ac:dyDescent="0.35">
      <c r="A113" s="48" t="s">
        <v>160</v>
      </c>
      <c r="B113" s="54">
        <v>1</v>
      </c>
      <c r="C113" s="57">
        <v>100</v>
      </c>
      <c r="D113" s="57">
        <v>107.09622987865092</v>
      </c>
      <c r="E113" s="57">
        <v>-7.0962298786509166</v>
      </c>
      <c r="F113" s="57">
        <v>-0.71089819062407456</v>
      </c>
      <c r="G113" s="57">
        <v>2.3844258958025812</v>
      </c>
      <c r="H113" s="57">
        <v>102.33279155808435</v>
      </c>
      <c r="I113" s="57">
        <v>111.85966819921748</v>
      </c>
      <c r="J113" s="57">
        <v>10.262896785315556</v>
      </c>
      <c r="K113" s="57">
        <v>86.593736631429792</v>
      </c>
      <c r="L113" s="57">
        <v>127.59872312587204</v>
      </c>
    </row>
    <row r="114" spans="1:12" x14ac:dyDescent="0.35">
      <c r="A114" s="48" t="s">
        <v>161</v>
      </c>
      <c r="B114" s="54">
        <v>1</v>
      </c>
      <c r="C114" s="57">
        <v>110</v>
      </c>
      <c r="D114" s="57">
        <v>119.28546052671436</v>
      </c>
      <c r="E114" s="57">
        <v>-9.2854605267143597</v>
      </c>
      <c r="F114" s="57">
        <v>-0.93021466333999914</v>
      </c>
      <c r="G114" s="57">
        <v>1.8642188717442312</v>
      </c>
      <c r="H114" s="57">
        <v>115.56125520449324</v>
      </c>
      <c r="I114" s="57">
        <v>123.00966584893548</v>
      </c>
      <c r="J114" s="57">
        <v>10.154647978892905</v>
      </c>
      <c r="K114" s="57">
        <v>98.999219130128211</v>
      </c>
      <c r="L114" s="57">
        <v>139.57170192330051</v>
      </c>
    </row>
    <row r="115" spans="1:12" x14ac:dyDescent="0.35">
      <c r="A115" s="48" t="s">
        <v>162</v>
      </c>
      <c r="B115" s="54">
        <v>1</v>
      </c>
      <c r="C115" s="57">
        <v>110</v>
      </c>
      <c r="D115" s="57">
        <v>119.83271820720825</v>
      </c>
      <c r="E115" s="57">
        <v>-9.8327182072082451</v>
      </c>
      <c r="F115" s="57">
        <v>-0.98503877438503096</v>
      </c>
      <c r="G115" s="57">
        <v>2.0824135733867339</v>
      </c>
      <c r="H115" s="57">
        <v>115.67261885910101</v>
      </c>
      <c r="I115" s="57">
        <v>123.99281755531548</v>
      </c>
      <c r="J115" s="57">
        <v>10.196960815070916</v>
      </c>
      <c r="K115" s="57">
        <v>99.461947203031016</v>
      </c>
      <c r="L115" s="57">
        <v>140.20348921138549</v>
      </c>
    </row>
    <row r="116" spans="1:12" x14ac:dyDescent="0.35">
      <c r="A116" s="48" t="s">
        <v>163</v>
      </c>
      <c r="B116" s="54">
        <v>1</v>
      </c>
      <c r="C116" s="57">
        <v>110</v>
      </c>
      <c r="D116" s="57">
        <v>89.682556751746304</v>
      </c>
      <c r="E116" s="57">
        <v>20.317443248253696</v>
      </c>
      <c r="F116" s="57">
        <v>2.0353953987235811</v>
      </c>
      <c r="G116" s="57">
        <v>2.1010597073084005</v>
      </c>
      <c r="H116" s="57">
        <v>85.485207468965385</v>
      </c>
      <c r="I116" s="57">
        <v>93.879906034527224</v>
      </c>
      <c r="J116" s="57">
        <v>10.200785041708373</v>
      </c>
      <c r="K116" s="57">
        <v>69.304145976610599</v>
      </c>
      <c r="L116" s="57">
        <v>110.06096752688201</v>
      </c>
    </row>
    <row r="117" spans="1:12" x14ac:dyDescent="0.35">
      <c r="A117" s="48" t="s">
        <v>164</v>
      </c>
      <c r="B117" s="54">
        <v>1</v>
      </c>
      <c r="C117" s="57">
        <v>100</v>
      </c>
      <c r="D117" s="57">
        <v>99.285060674538485</v>
      </c>
      <c r="E117" s="57">
        <v>0.71493932546151484</v>
      </c>
      <c r="F117" s="57">
        <v>7.1622408175594773E-2</v>
      </c>
      <c r="G117" s="57">
        <v>2.5942073881997203</v>
      </c>
      <c r="H117" s="57">
        <v>94.102535645683247</v>
      </c>
      <c r="I117" s="57">
        <v>104.46758570339372</v>
      </c>
      <c r="J117" s="57">
        <v>10.313654810320948</v>
      </c>
      <c r="K117" s="57">
        <v>78.681166615569524</v>
      </c>
      <c r="L117" s="57">
        <v>119.88895473350745</v>
      </c>
    </row>
    <row r="118" spans="1:12" x14ac:dyDescent="0.35">
      <c r="A118" s="48" t="s">
        <v>165</v>
      </c>
      <c r="B118" s="54">
        <v>1</v>
      </c>
      <c r="C118" s="57">
        <v>110</v>
      </c>
      <c r="D118" s="57">
        <v>111.00181448070713</v>
      </c>
      <c r="E118" s="57">
        <v>-1.0018144807071252</v>
      </c>
      <c r="F118" s="57">
        <v>-0.10036147557991572</v>
      </c>
      <c r="G118" s="57">
        <v>2.3369871616864684</v>
      </c>
      <c r="H118" s="57">
        <v>106.33314592604758</v>
      </c>
      <c r="I118" s="57">
        <v>115.67048303536667</v>
      </c>
      <c r="J118" s="57">
        <v>10.251978958589108</v>
      </c>
      <c r="K118" s="57">
        <v>90.521132099698121</v>
      </c>
      <c r="L118" s="57">
        <v>131.48249686171613</v>
      </c>
    </row>
    <row r="119" spans="1:12" x14ac:dyDescent="0.35">
      <c r="A119" s="48" t="s">
        <v>166</v>
      </c>
      <c r="B119" s="54">
        <v>1</v>
      </c>
      <c r="C119" s="57">
        <v>100</v>
      </c>
      <c r="D119" s="57">
        <v>104.75763747947727</v>
      </c>
      <c r="E119" s="57">
        <v>-4.7576374794772676</v>
      </c>
      <c r="F119" s="57">
        <v>-0.47661870227471698</v>
      </c>
      <c r="G119" s="57">
        <v>1.7413796038068059</v>
      </c>
      <c r="H119" s="57">
        <v>101.27883180552935</v>
      </c>
      <c r="I119" s="57">
        <v>108.23644315342518</v>
      </c>
      <c r="J119" s="57">
        <v>10.13281631620848</v>
      </c>
      <c r="K119" s="57">
        <v>84.515009842838836</v>
      </c>
      <c r="L119" s="57">
        <v>125.0002651161157</v>
      </c>
    </row>
    <row r="120" spans="1:12" x14ac:dyDescent="0.35">
      <c r="A120" s="48" t="s">
        <v>167</v>
      </c>
      <c r="B120" s="54">
        <v>1</v>
      </c>
      <c r="C120" s="57">
        <v>100</v>
      </c>
      <c r="D120" s="57">
        <v>108.73800292013254</v>
      </c>
      <c r="E120" s="57">
        <v>-8.7380029201325442</v>
      </c>
      <c r="F120" s="57">
        <v>-0.87537052375916746</v>
      </c>
      <c r="G120" s="57">
        <v>1.5970710458330926</v>
      </c>
      <c r="H120" s="57">
        <v>105.54748673182046</v>
      </c>
      <c r="I120" s="57">
        <v>111.92851910844463</v>
      </c>
      <c r="J120" s="57">
        <v>10.109015753222707</v>
      </c>
      <c r="K120" s="57">
        <v>88.542922373960238</v>
      </c>
      <c r="L120" s="57">
        <v>128.93308346630485</v>
      </c>
    </row>
    <row r="121" spans="1:12" x14ac:dyDescent="0.35">
      <c r="A121" s="48" t="s">
        <v>168</v>
      </c>
      <c r="B121" s="54">
        <v>1</v>
      </c>
      <c r="C121" s="57">
        <v>110</v>
      </c>
      <c r="D121" s="57">
        <v>116.47439128564591</v>
      </c>
      <c r="E121" s="57">
        <v>-6.4743912856459076</v>
      </c>
      <c r="F121" s="57">
        <v>-0.64860258603022747</v>
      </c>
      <c r="G121" s="57">
        <v>2.1312974670259766</v>
      </c>
      <c r="H121" s="57">
        <v>112.21663513359707</v>
      </c>
      <c r="I121" s="57">
        <v>120.73214743769475</v>
      </c>
      <c r="J121" s="57">
        <v>10.20705601368082</v>
      </c>
      <c r="K121" s="57">
        <v>96.08345280383945</v>
      </c>
      <c r="L121" s="57">
        <v>136.86532976745235</v>
      </c>
    </row>
    <row r="122" spans="1:12" x14ac:dyDescent="0.35">
      <c r="A122" s="48" t="s">
        <v>169</v>
      </c>
      <c r="B122" s="54">
        <v>1</v>
      </c>
      <c r="C122" s="57">
        <v>110</v>
      </c>
      <c r="D122" s="57">
        <v>118.73820284622049</v>
      </c>
      <c r="E122" s="57">
        <v>-8.7382028462204886</v>
      </c>
      <c r="F122" s="57">
        <v>-0.87539055229496865</v>
      </c>
      <c r="G122" s="57">
        <v>1.6911576758358127</v>
      </c>
      <c r="H122" s="57">
        <v>115.3597270070772</v>
      </c>
      <c r="I122" s="57">
        <v>122.11667868536378</v>
      </c>
      <c r="J122" s="57">
        <v>10.12430629021094</v>
      </c>
      <c r="K122" s="57">
        <v>98.51257594087636</v>
      </c>
      <c r="L122" s="57">
        <v>138.96382975156462</v>
      </c>
    </row>
    <row r="123" spans="1:12" x14ac:dyDescent="0.35">
      <c r="A123" s="48" t="s">
        <v>170</v>
      </c>
      <c r="B123" s="54">
        <v>1</v>
      </c>
      <c r="C123" s="57">
        <v>100</v>
      </c>
      <c r="D123" s="57">
        <v>103.11586443799564</v>
      </c>
      <c r="E123" s="57">
        <v>-3.1158644379956399</v>
      </c>
      <c r="F123" s="57">
        <v>-0.31214636913962418</v>
      </c>
      <c r="G123" s="57">
        <v>1.2491483646790269</v>
      </c>
      <c r="H123" s="57">
        <v>100.62040370723456</v>
      </c>
      <c r="I123" s="57">
        <v>105.61132516875672</v>
      </c>
      <c r="J123" s="57">
        <v>10.059917256640173</v>
      </c>
      <c r="K123" s="57">
        <v>83.01886941442865</v>
      </c>
      <c r="L123" s="57">
        <v>123.21285946156263</v>
      </c>
    </row>
    <row r="124" spans="1:12" x14ac:dyDescent="0.35">
      <c r="A124" s="48" t="s">
        <v>171</v>
      </c>
      <c r="B124" s="54">
        <v>1</v>
      </c>
      <c r="C124" s="57">
        <v>120</v>
      </c>
      <c r="D124" s="57">
        <v>108.11596440103961</v>
      </c>
      <c r="E124" s="57">
        <v>11.884035598960395</v>
      </c>
      <c r="F124" s="57">
        <v>1.1905391382584651</v>
      </c>
      <c r="G124" s="57">
        <v>1.583601532562827</v>
      </c>
      <c r="H124" s="57">
        <v>104.95235665881674</v>
      </c>
      <c r="I124" s="57">
        <v>111.27957214326247</v>
      </c>
      <c r="J124" s="57">
        <v>10.106896526006475</v>
      </c>
      <c r="K124" s="57">
        <v>87.925117497921406</v>
      </c>
      <c r="L124" s="57">
        <v>128.3068113041578</v>
      </c>
    </row>
    <row r="125" spans="1:12" x14ac:dyDescent="0.35">
      <c r="A125" s="48" t="s">
        <v>172</v>
      </c>
      <c r="B125" s="54">
        <v>1</v>
      </c>
      <c r="C125" s="57">
        <v>120</v>
      </c>
      <c r="D125" s="57">
        <v>122.6437874482767</v>
      </c>
      <c r="E125" s="57">
        <v>-2.6437874482766972</v>
      </c>
      <c r="F125" s="57">
        <v>-0.26485383725080974</v>
      </c>
      <c r="G125" s="57">
        <v>1.9188493380922407</v>
      </c>
      <c r="H125" s="57">
        <v>118.81044522340298</v>
      </c>
      <c r="I125" s="57">
        <v>126.47712967315042</v>
      </c>
      <c r="J125" s="57">
        <v>10.164819051796419</v>
      </c>
      <c r="K125" s="57">
        <v>102.33722699773497</v>
      </c>
      <c r="L125" s="57">
        <v>142.95034789881842</v>
      </c>
    </row>
    <row r="126" spans="1:12" x14ac:dyDescent="0.35">
      <c r="A126" s="48" t="s">
        <v>173</v>
      </c>
      <c r="B126" s="54">
        <v>1</v>
      </c>
      <c r="C126" s="57">
        <v>110</v>
      </c>
      <c r="D126" s="57">
        <v>119.28546052671436</v>
      </c>
      <c r="E126" s="57">
        <v>-9.2854605267143597</v>
      </c>
      <c r="F126" s="57">
        <v>-0.93021466333999914</v>
      </c>
      <c r="G126" s="57">
        <v>1.8642188717442312</v>
      </c>
      <c r="H126" s="57">
        <v>115.56125520449324</v>
      </c>
      <c r="I126" s="57">
        <v>123.00966584893548</v>
      </c>
      <c r="J126" s="57">
        <v>10.154647978892905</v>
      </c>
      <c r="K126" s="57">
        <v>98.999219130128211</v>
      </c>
      <c r="L126" s="57">
        <v>139.57170192330051</v>
      </c>
    </row>
    <row r="127" spans="1:12" x14ac:dyDescent="0.35">
      <c r="A127" s="48" t="s">
        <v>174</v>
      </c>
      <c r="B127" s="54">
        <v>1</v>
      </c>
      <c r="C127" s="57">
        <v>110</v>
      </c>
      <c r="D127" s="57">
        <v>114.28536056367039</v>
      </c>
      <c r="E127" s="57">
        <v>-4.2853605636703946</v>
      </c>
      <c r="F127" s="57">
        <v>-0.4293061418501028</v>
      </c>
      <c r="G127" s="57">
        <v>1.4000078834697534</v>
      </c>
      <c r="H127" s="57">
        <v>111.48852329858506</v>
      </c>
      <c r="I127" s="57">
        <v>117.08219782875572</v>
      </c>
      <c r="J127" s="57">
        <v>10.079761189990757</v>
      </c>
      <c r="K127" s="57">
        <v>94.148722725990652</v>
      </c>
      <c r="L127" s="57">
        <v>134.42199840135015</v>
      </c>
    </row>
    <row r="128" spans="1:12" x14ac:dyDescent="0.35">
      <c r="A128" s="48" t="s">
        <v>175</v>
      </c>
      <c r="B128" s="54">
        <v>1</v>
      </c>
      <c r="C128" s="57">
        <v>100</v>
      </c>
      <c r="D128" s="57">
        <v>98.663022155445532</v>
      </c>
      <c r="E128" s="57">
        <v>1.3369778445544682</v>
      </c>
      <c r="F128" s="57">
        <v>0.13393804130524312</v>
      </c>
      <c r="G128" s="57">
        <v>1.351343463598317</v>
      </c>
      <c r="H128" s="57">
        <v>95.963403245047516</v>
      </c>
      <c r="I128" s="57">
        <v>101.36264106584355</v>
      </c>
      <c r="J128" s="57">
        <v>10.073117329311534</v>
      </c>
      <c r="K128" s="57">
        <v>78.539656955263823</v>
      </c>
      <c r="L128" s="57">
        <v>118.78638735562724</v>
      </c>
    </row>
    <row r="129" spans="1:12" x14ac:dyDescent="0.35">
      <c r="A129" s="48" t="s">
        <v>176</v>
      </c>
      <c r="B129" s="54">
        <v>1</v>
      </c>
      <c r="C129" s="57">
        <v>110</v>
      </c>
      <c r="D129" s="57">
        <v>97.56850679445779</v>
      </c>
      <c r="E129" s="57">
        <v>12.43149320554221</v>
      </c>
      <c r="F129" s="57">
        <v>1.2453832778392968</v>
      </c>
      <c r="G129" s="57">
        <v>1.6585715428636185</v>
      </c>
      <c r="H129" s="57">
        <v>94.255129239472581</v>
      </c>
      <c r="I129" s="57">
        <v>100.881884349443</v>
      </c>
      <c r="J129" s="57">
        <v>10.118914128317495</v>
      </c>
      <c r="K129" s="57">
        <v>77.353651970829077</v>
      </c>
      <c r="L129" s="57">
        <v>117.7833616180865</v>
      </c>
    </row>
    <row r="130" spans="1:12" x14ac:dyDescent="0.35">
      <c r="A130" s="48" t="s">
        <v>177</v>
      </c>
      <c r="B130" s="54">
        <v>1</v>
      </c>
      <c r="C130" s="57">
        <v>120</v>
      </c>
      <c r="D130" s="57">
        <v>88.040783710264662</v>
      </c>
      <c r="E130" s="57">
        <v>31.959216289735338</v>
      </c>
      <c r="F130" s="57">
        <v>3.2016647463026686</v>
      </c>
      <c r="G130" s="57">
        <v>1.8210663003343888</v>
      </c>
      <c r="H130" s="57">
        <v>84.402785559609015</v>
      </c>
      <c r="I130" s="57">
        <v>91.67878186092031</v>
      </c>
      <c r="J130" s="57">
        <v>10.146814576194837</v>
      </c>
      <c r="K130" s="57">
        <v>67.770191334542645</v>
      </c>
      <c r="L130" s="57">
        <v>108.31137608598668</v>
      </c>
    </row>
    <row r="131" spans="1:12" x14ac:dyDescent="0.35">
      <c r="A131" s="48" t="s">
        <v>178</v>
      </c>
      <c r="B131" s="54">
        <v>1</v>
      </c>
      <c r="C131" s="57">
        <v>110</v>
      </c>
      <c r="D131" s="57">
        <v>118.73820284622049</v>
      </c>
      <c r="E131" s="57">
        <v>-8.7382028462204886</v>
      </c>
      <c r="F131" s="57">
        <v>-0.87539055229496865</v>
      </c>
      <c r="G131" s="57">
        <v>1.6911576758358127</v>
      </c>
      <c r="H131" s="57">
        <v>115.3597270070772</v>
      </c>
      <c r="I131" s="57">
        <v>122.11667868536378</v>
      </c>
      <c r="J131" s="57">
        <v>10.12430629021094</v>
      </c>
      <c r="K131" s="57">
        <v>98.51257594087636</v>
      </c>
      <c r="L131" s="57">
        <v>138.96382975156462</v>
      </c>
    </row>
    <row r="132" spans="1:12" x14ac:dyDescent="0.35">
      <c r="A132" s="48" t="s">
        <v>179</v>
      </c>
      <c r="B132" s="54">
        <v>1</v>
      </c>
      <c r="C132" s="57">
        <v>120</v>
      </c>
      <c r="D132" s="57">
        <v>112.02154900309581</v>
      </c>
      <c r="E132" s="57">
        <v>7.9784509969041864</v>
      </c>
      <c r="F132" s="57">
        <v>0.79927883885863127</v>
      </c>
      <c r="G132" s="57">
        <v>1.7083680824550109</v>
      </c>
      <c r="H132" s="57">
        <v>108.6086914242865</v>
      </c>
      <c r="I132" s="57">
        <v>115.43440658190512</v>
      </c>
      <c r="J132" s="57">
        <v>10.127195321441047</v>
      </c>
      <c r="K132" s="57">
        <v>91.790150594391051</v>
      </c>
      <c r="L132" s="57">
        <v>132.25294741180059</v>
      </c>
    </row>
    <row r="133" spans="1:12" x14ac:dyDescent="0.35">
      <c r="A133" s="48" t="s">
        <v>180</v>
      </c>
      <c r="B133" s="54">
        <v>1</v>
      </c>
      <c r="C133" s="57">
        <v>110</v>
      </c>
      <c r="D133" s="57">
        <v>106.43680094025844</v>
      </c>
      <c r="E133" s="57">
        <v>3.5631990597415637</v>
      </c>
      <c r="F133" s="57">
        <v>0.35696021799187411</v>
      </c>
      <c r="G133" s="57">
        <v>1.6545904268308378</v>
      </c>
      <c r="H133" s="57">
        <v>103.13137657882919</v>
      </c>
      <c r="I133" s="57">
        <v>109.74222530168768</v>
      </c>
      <c r="J133" s="57">
        <v>10.118262353488699</v>
      </c>
      <c r="K133" s="57">
        <v>86.223248186533141</v>
      </c>
      <c r="L133" s="57">
        <v>126.65035369398373</v>
      </c>
    </row>
    <row r="134" spans="1:12" x14ac:dyDescent="0.35">
      <c r="A134" s="48" t="s">
        <v>181</v>
      </c>
      <c r="B134" s="54">
        <v>1</v>
      </c>
      <c r="C134" s="57">
        <v>110</v>
      </c>
      <c r="D134" s="57">
        <v>109.28526060062643</v>
      </c>
      <c r="E134" s="57">
        <v>0.71473939937357045</v>
      </c>
      <c r="F134" s="57">
        <v>7.1602379639793559E-2</v>
      </c>
      <c r="G134" s="57">
        <v>1.4132794343834767</v>
      </c>
      <c r="H134" s="57">
        <v>106.46191036472197</v>
      </c>
      <c r="I134" s="57">
        <v>112.10861083653089</v>
      </c>
      <c r="J134" s="57">
        <v>10.081613081899032</v>
      </c>
      <c r="K134" s="57">
        <v>89.144923183564941</v>
      </c>
      <c r="L134" s="57">
        <v>129.42559801768792</v>
      </c>
    </row>
    <row r="135" spans="1:12" x14ac:dyDescent="0.35">
      <c r="A135" s="48" t="s">
        <v>182</v>
      </c>
      <c r="B135" s="54">
        <v>1</v>
      </c>
      <c r="C135" s="57">
        <v>140</v>
      </c>
      <c r="D135" s="57">
        <v>131.07699517148208</v>
      </c>
      <c r="E135" s="57">
        <v>8.923004828517918</v>
      </c>
      <c r="F135" s="57">
        <v>0.8939039597078583</v>
      </c>
      <c r="G135" s="57">
        <v>2.5668785761104811</v>
      </c>
      <c r="H135" s="57">
        <v>125.94906572095478</v>
      </c>
      <c r="I135" s="57">
        <v>136.2049246220094</v>
      </c>
      <c r="J135" s="57">
        <v>10.306814696983807</v>
      </c>
      <c r="K135" s="57">
        <v>110.48676580976561</v>
      </c>
      <c r="L135" s="57">
        <v>151.66722453319855</v>
      </c>
    </row>
    <row r="136" spans="1:12" x14ac:dyDescent="0.35">
      <c r="A136" s="48" t="s">
        <v>183</v>
      </c>
      <c r="B136" s="54">
        <v>1</v>
      </c>
      <c r="C136" s="57">
        <v>110</v>
      </c>
      <c r="D136" s="57">
        <v>111.00181448070713</v>
      </c>
      <c r="E136" s="57">
        <v>-1.0018144807071252</v>
      </c>
      <c r="F136" s="57">
        <v>-0.10036147557991572</v>
      </c>
      <c r="G136" s="57">
        <v>2.3369871616864684</v>
      </c>
      <c r="H136" s="57">
        <v>106.33314592604758</v>
      </c>
      <c r="I136" s="57">
        <v>115.67048303536667</v>
      </c>
      <c r="J136" s="57">
        <v>10.251978958589108</v>
      </c>
      <c r="K136" s="57">
        <v>90.521132099698121</v>
      </c>
      <c r="L136" s="57">
        <v>131.48249686171613</v>
      </c>
    </row>
    <row r="137" spans="1:12" x14ac:dyDescent="0.35">
      <c r="A137" s="48" t="s">
        <v>184</v>
      </c>
      <c r="B137" s="54">
        <v>1</v>
      </c>
      <c r="C137" s="57">
        <v>100</v>
      </c>
      <c r="D137" s="57">
        <v>92.493625992814756</v>
      </c>
      <c r="E137" s="57">
        <v>7.5063740071852436</v>
      </c>
      <c r="F137" s="57">
        <v>0.75198630696981683</v>
      </c>
      <c r="G137" s="57">
        <v>1.6891164532231315</v>
      </c>
      <c r="H137" s="57">
        <v>89.119227964615888</v>
      </c>
      <c r="I137" s="57">
        <v>95.868024021013625</v>
      </c>
      <c r="J137" s="57">
        <v>10.123965525722394</v>
      </c>
      <c r="K137" s="57">
        <v>72.268679842794526</v>
      </c>
      <c r="L137" s="57">
        <v>112.71857214283499</v>
      </c>
    </row>
    <row r="138" spans="1:12" x14ac:dyDescent="0.35">
      <c r="A138" s="48" t="s">
        <v>185</v>
      </c>
      <c r="B138" s="54">
        <v>1</v>
      </c>
      <c r="C138" s="57">
        <v>110</v>
      </c>
      <c r="D138" s="57">
        <v>115.92713360515202</v>
      </c>
      <c r="E138" s="57">
        <v>-5.9271336051520223</v>
      </c>
      <c r="F138" s="57">
        <v>-0.59377847498519565</v>
      </c>
      <c r="G138" s="57">
        <v>1.8783163553337696</v>
      </c>
      <c r="H138" s="57">
        <v>112.17476532191283</v>
      </c>
      <c r="I138" s="57">
        <v>119.67950188839121</v>
      </c>
      <c r="J138" s="57">
        <v>10.157245488033691</v>
      </c>
      <c r="K138" s="57">
        <v>95.635703087527958</v>
      </c>
      <c r="L138" s="57">
        <v>136.21856412277609</v>
      </c>
    </row>
    <row r="139" spans="1:12" x14ac:dyDescent="0.35">
      <c r="A139" s="48" t="s">
        <v>186</v>
      </c>
      <c r="B139" s="54">
        <v>1</v>
      </c>
      <c r="C139" s="57">
        <v>160</v>
      </c>
      <c r="D139" s="57">
        <v>136.6243528150199</v>
      </c>
      <c r="E139" s="57">
        <v>23.375647184980096</v>
      </c>
      <c r="F139" s="57">
        <v>2.3417653560609186</v>
      </c>
      <c r="G139" s="57">
        <v>2.6829088544237871</v>
      </c>
      <c r="H139" s="57">
        <v>131.26462623670744</v>
      </c>
      <c r="I139" s="57">
        <v>141.98407939333237</v>
      </c>
      <c r="J139" s="57">
        <v>10.336322532439281</v>
      </c>
      <c r="K139" s="57">
        <v>115.97517477537933</v>
      </c>
      <c r="L139" s="57">
        <v>157.27353085466049</v>
      </c>
    </row>
    <row r="140" spans="1:12" x14ac:dyDescent="0.35">
      <c r="A140" s="48" t="s">
        <v>259</v>
      </c>
      <c r="B140" s="54">
        <v>1</v>
      </c>
      <c r="C140" s="57">
        <v>100</v>
      </c>
      <c r="D140" s="57">
        <v>102.56860675750175</v>
      </c>
      <c r="E140" s="57">
        <v>-2.5686067575017546</v>
      </c>
      <c r="F140" s="57">
        <v>-0.2573222580945923</v>
      </c>
      <c r="G140" s="57">
        <v>1.249546991665506</v>
      </c>
      <c r="H140" s="57">
        <v>100.07234967778878</v>
      </c>
      <c r="I140" s="57">
        <v>105.06486383721473</v>
      </c>
      <c r="J140" s="57">
        <v>10.059966762263519</v>
      </c>
      <c r="K140" s="57">
        <v>82.471512835082947</v>
      </c>
      <c r="L140" s="57">
        <v>122.66570067992056</v>
      </c>
    </row>
    <row r="141" spans="1:12" x14ac:dyDescent="0.35">
      <c r="A141" s="48" t="s">
        <v>260</v>
      </c>
      <c r="B141" s="54">
        <v>1</v>
      </c>
      <c r="C141" s="57">
        <v>120</v>
      </c>
      <c r="D141" s="57">
        <v>114.28536056367039</v>
      </c>
      <c r="E141" s="57">
        <v>5.7146394363296054</v>
      </c>
      <c r="F141" s="57">
        <v>0.57249087259389009</v>
      </c>
      <c r="G141" s="57">
        <v>1.4000078834697534</v>
      </c>
      <c r="H141" s="57">
        <v>111.48852329858506</v>
      </c>
      <c r="I141" s="57">
        <v>117.08219782875572</v>
      </c>
      <c r="J141" s="57">
        <v>10.079761189990757</v>
      </c>
      <c r="K141" s="57">
        <v>94.148722725990652</v>
      </c>
      <c r="L141" s="57">
        <v>134.42199840135015</v>
      </c>
    </row>
    <row r="142" spans="1:12" x14ac:dyDescent="0.35">
      <c r="A142" s="48" t="s">
        <v>261</v>
      </c>
      <c r="B142" s="54">
        <v>1</v>
      </c>
      <c r="C142" s="57">
        <v>130</v>
      </c>
      <c r="D142" s="57">
        <v>113.15345478338311</v>
      </c>
      <c r="E142" s="57">
        <v>16.846545216616889</v>
      </c>
      <c r="F142" s="57">
        <v>1.6876818701702527</v>
      </c>
      <c r="G142" s="57">
        <v>1.4857030249264545</v>
      </c>
      <c r="H142" s="57">
        <v>110.18542179297883</v>
      </c>
      <c r="I142" s="57">
        <v>116.12148777378739</v>
      </c>
      <c r="J142" s="57">
        <v>10.092020464294652</v>
      </c>
      <c r="K142" s="57">
        <v>92.992326229886061</v>
      </c>
      <c r="L142" s="57">
        <v>133.31458333688016</v>
      </c>
    </row>
    <row r="143" spans="1:12" x14ac:dyDescent="0.35">
      <c r="A143" s="48" t="s">
        <v>262</v>
      </c>
      <c r="B143" s="54">
        <v>1</v>
      </c>
      <c r="C143" s="57">
        <v>120</v>
      </c>
      <c r="D143" s="57">
        <v>120.37997588770212</v>
      </c>
      <c r="E143" s="57">
        <v>-0.37997588770211621</v>
      </c>
      <c r="F143" s="57">
        <v>-3.806587098606859E-2</v>
      </c>
      <c r="G143" s="57">
        <v>2.3331131886628009</v>
      </c>
      <c r="H143" s="57">
        <v>115.71904648383197</v>
      </c>
      <c r="I143" s="57">
        <v>125.04090529157226</v>
      </c>
      <c r="J143" s="57">
        <v>10.251096562055141</v>
      </c>
      <c r="K143" s="57">
        <v>99.901056296415888</v>
      </c>
      <c r="L143" s="57">
        <v>140.85889547898833</v>
      </c>
    </row>
    <row r="144" spans="1:12" x14ac:dyDescent="0.35">
      <c r="A144" s="48" t="s">
        <v>263</v>
      </c>
      <c r="B144" s="54">
        <v>1</v>
      </c>
      <c r="C144" s="57">
        <v>100</v>
      </c>
      <c r="D144" s="57">
        <v>107.6434875591448</v>
      </c>
      <c r="E144" s="57">
        <v>-7.6434875591448019</v>
      </c>
      <c r="F144" s="57">
        <v>-0.76572230166910649</v>
      </c>
      <c r="G144" s="57">
        <v>2.0963539710410877</v>
      </c>
      <c r="H144" s="57">
        <v>103.45553906525049</v>
      </c>
      <c r="I144" s="57">
        <v>111.83143605303911</v>
      </c>
      <c r="J144" s="57">
        <v>10.199816838814614</v>
      </c>
      <c r="K144" s="57">
        <v>87.267010991641357</v>
      </c>
      <c r="L144" s="57">
        <v>128.01996412664826</v>
      </c>
    </row>
    <row r="145" spans="1:12" x14ac:dyDescent="0.35">
      <c r="A145" s="48" t="s">
        <v>264</v>
      </c>
      <c r="B145" s="54">
        <v>1</v>
      </c>
      <c r="C145" s="57">
        <v>50</v>
      </c>
      <c r="D145" s="57">
        <v>72.418445302039814</v>
      </c>
      <c r="E145" s="57">
        <v>-22.418445302039814</v>
      </c>
      <c r="F145" s="57">
        <v>-2.2458731572059443</v>
      </c>
      <c r="G145" s="57">
        <v>2.8299333788589833</v>
      </c>
      <c r="H145" s="57">
        <v>66.765003471351264</v>
      </c>
      <c r="I145" s="57">
        <v>78.071887132728364</v>
      </c>
      <c r="J145" s="57">
        <v>10.375455965992369</v>
      </c>
      <c r="K145" s="57">
        <v>51.691089241714977</v>
      </c>
      <c r="L145" s="57">
        <v>93.145801362364651</v>
      </c>
    </row>
    <row r="146" spans="1:12" x14ac:dyDescent="0.35">
      <c r="A146" s="48" t="s">
        <v>265</v>
      </c>
      <c r="B146" s="54">
        <v>1</v>
      </c>
      <c r="C146" s="57">
        <v>50</v>
      </c>
      <c r="D146" s="57">
        <v>62.343464537352816</v>
      </c>
      <c r="E146" s="57">
        <v>-12.343464537352816</v>
      </c>
      <c r="F146" s="57">
        <v>-1.2365645921415351</v>
      </c>
      <c r="G146" s="57">
        <v>3.5733199329988681</v>
      </c>
      <c r="H146" s="57">
        <v>55.204937342838377</v>
      </c>
      <c r="I146" s="57">
        <v>69.481991731867254</v>
      </c>
      <c r="J146" s="57">
        <v>10.602366665845578</v>
      </c>
      <c r="K146" s="57">
        <v>41.16280224304937</v>
      </c>
      <c r="L146" s="57">
        <v>83.524126831656261</v>
      </c>
    </row>
    <row r="147" spans="1:12" x14ac:dyDescent="0.35">
      <c r="A147" s="48" t="s">
        <v>266</v>
      </c>
      <c r="B147" s="54">
        <v>1</v>
      </c>
      <c r="C147" s="57">
        <v>100</v>
      </c>
      <c r="D147" s="57">
        <v>99.210279835939431</v>
      </c>
      <c r="E147" s="57">
        <v>0.78972016406056866</v>
      </c>
      <c r="F147" s="57">
        <v>7.9113930260209797E-2</v>
      </c>
      <c r="G147" s="57">
        <v>1.3162518037821938</v>
      </c>
      <c r="H147" s="57">
        <v>96.580764574975291</v>
      </c>
      <c r="I147" s="57">
        <v>101.83979509690357</v>
      </c>
      <c r="J147" s="57">
        <v>10.068469714133638</v>
      </c>
      <c r="K147" s="57">
        <v>79.09619931442046</v>
      </c>
      <c r="L147" s="57">
        <v>119.3243603574584</v>
      </c>
    </row>
    <row r="148" spans="1:12" x14ac:dyDescent="0.35">
      <c r="A148" s="48" t="s">
        <v>267</v>
      </c>
      <c r="B148" s="54">
        <v>1</v>
      </c>
      <c r="C148" s="57">
        <v>120</v>
      </c>
      <c r="D148" s="57">
        <v>122.6437874482767</v>
      </c>
      <c r="E148" s="57">
        <v>-2.6437874482766972</v>
      </c>
      <c r="F148" s="57">
        <v>-0.26485383725080974</v>
      </c>
      <c r="G148" s="57">
        <v>1.9188493380922407</v>
      </c>
      <c r="H148" s="57">
        <v>118.81044522340298</v>
      </c>
      <c r="I148" s="57">
        <v>126.47712967315042</v>
      </c>
      <c r="J148" s="57">
        <v>10.164819051796419</v>
      </c>
      <c r="K148" s="57">
        <v>102.33722699773497</v>
      </c>
      <c r="L148" s="57">
        <v>142.95034789881842</v>
      </c>
    </row>
    <row r="149" spans="1:12" x14ac:dyDescent="0.35">
      <c r="A149" s="48" t="s">
        <v>268</v>
      </c>
      <c r="B149" s="54">
        <v>1</v>
      </c>
      <c r="C149" s="57">
        <v>90</v>
      </c>
      <c r="D149" s="57">
        <v>102.56860675750175</v>
      </c>
      <c r="E149" s="57">
        <v>-12.568606757501755</v>
      </c>
      <c r="F149" s="57">
        <v>-1.2591192725385851</v>
      </c>
      <c r="G149" s="57">
        <v>1.249546991665506</v>
      </c>
      <c r="H149" s="57">
        <v>100.07234967778878</v>
      </c>
      <c r="I149" s="57">
        <v>105.06486383721473</v>
      </c>
      <c r="J149" s="57">
        <v>10.059966762263519</v>
      </c>
      <c r="K149" s="57">
        <v>82.471512835082947</v>
      </c>
      <c r="L149" s="57">
        <v>122.66570067992056</v>
      </c>
    </row>
    <row r="150" spans="1:12" x14ac:dyDescent="0.35">
      <c r="A150" s="48" t="s">
        <v>269</v>
      </c>
      <c r="B150" s="54">
        <v>1</v>
      </c>
      <c r="C150" s="57">
        <v>110</v>
      </c>
      <c r="D150" s="57">
        <v>113.81288372177559</v>
      </c>
      <c r="E150" s="57">
        <v>-3.8128837217755915</v>
      </c>
      <c r="F150" s="57">
        <v>-0.38197355288968876</v>
      </c>
      <c r="G150" s="57">
        <v>2.8956830891490846</v>
      </c>
      <c r="H150" s="57">
        <v>108.02809174507775</v>
      </c>
      <c r="I150" s="57">
        <v>119.59767569847344</v>
      </c>
      <c r="J150" s="57">
        <v>10.393581871821207</v>
      </c>
      <c r="K150" s="57">
        <v>93.049317001865134</v>
      </c>
      <c r="L150" s="57">
        <v>134.57645044168606</v>
      </c>
    </row>
    <row r="151" spans="1:12" x14ac:dyDescent="0.35">
      <c r="A151" s="48" t="s">
        <v>270</v>
      </c>
      <c r="B151" s="54">
        <v>1</v>
      </c>
      <c r="C151" s="57">
        <v>110</v>
      </c>
      <c r="D151" s="57">
        <v>114.36014140226946</v>
      </c>
      <c r="E151" s="57">
        <v>-4.3601414022694627</v>
      </c>
      <c r="F151" s="57">
        <v>-0.43679766393471919</v>
      </c>
      <c r="G151" s="57">
        <v>2.6053309051542199</v>
      </c>
      <c r="H151" s="57">
        <v>109.15539459373392</v>
      </c>
      <c r="I151" s="57">
        <v>119.56488821080501</v>
      </c>
      <c r="J151" s="57">
        <v>10.316458340865733</v>
      </c>
      <c r="K151" s="57">
        <v>93.750646647194401</v>
      </c>
      <c r="L151" s="57">
        <v>134.96963615734452</v>
      </c>
    </row>
    <row r="152" spans="1:12" x14ac:dyDescent="0.35">
      <c r="A152" s="48" t="s">
        <v>271</v>
      </c>
      <c r="B152" s="54">
        <v>1</v>
      </c>
      <c r="C152" s="57">
        <v>90</v>
      </c>
      <c r="D152" s="57">
        <v>95.926733752976162</v>
      </c>
      <c r="E152" s="57">
        <v>-5.9267337529761619</v>
      </c>
      <c r="F152" s="57">
        <v>-0.59373841791359605</v>
      </c>
      <c r="G152" s="57">
        <v>2.445757440813654</v>
      </c>
      <c r="H152" s="57">
        <v>91.040771586195888</v>
      </c>
      <c r="I152" s="57">
        <v>100.81269591975644</v>
      </c>
      <c r="J152" s="57">
        <v>10.277319350529192</v>
      </c>
      <c r="K152" s="57">
        <v>75.395428119536433</v>
      </c>
      <c r="L152" s="57">
        <v>116.45803938641589</v>
      </c>
    </row>
    <row r="153" spans="1:12" x14ac:dyDescent="0.35">
      <c r="A153" s="48" t="s">
        <v>272</v>
      </c>
      <c r="B153" s="54">
        <v>1</v>
      </c>
      <c r="C153" s="57">
        <v>80</v>
      </c>
      <c r="D153" s="57">
        <v>82.493426066726812</v>
      </c>
      <c r="E153" s="57">
        <v>-2.493426066726812</v>
      </c>
      <c r="F153" s="57">
        <v>-0.24979067893837484</v>
      </c>
      <c r="G153" s="57">
        <v>2.3629029813523181</v>
      </c>
      <c r="H153" s="57">
        <v>77.77298471060486</v>
      </c>
      <c r="I153" s="57">
        <v>87.213867422848764</v>
      </c>
      <c r="J153" s="57">
        <v>10.25791762848338</v>
      </c>
      <c r="K153" s="57">
        <v>62.00087982876282</v>
      </c>
      <c r="L153" s="57">
        <v>102.9859723046908</v>
      </c>
    </row>
    <row r="154" spans="1:12" x14ac:dyDescent="0.35">
      <c r="A154" s="48" t="s">
        <v>273</v>
      </c>
      <c r="B154" s="54">
        <v>1</v>
      </c>
      <c r="C154" s="57">
        <v>90</v>
      </c>
      <c r="D154" s="57">
        <v>92.568406831413824</v>
      </c>
      <c r="E154" s="57">
        <v>-2.5684068314138244</v>
      </c>
      <c r="F154" s="57">
        <v>-0.25730222955879251</v>
      </c>
      <c r="G154" s="57">
        <v>2.3437103180805834</v>
      </c>
      <c r="H154" s="57">
        <v>87.886307227855141</v>
      </c>
      <c r="I154" s="57">
        <v>97.250506434972507</v>
      </c>
      <c r="J154" s="57">
        <v>10.253513623560648</v>
      </c>
      <c r="K154" s="57">
        <v>72.084658604681735</v>
      </c>
      <c r="L154" s="57">
        <v>113.05215505814591</v>
      </c>
    </row>
    <row r="155" spans="1:12" x14ac:dyDescent="0.35">
      <c r="A155" s="48" t="s">
        <v>274</v>
      </c>
      <c r="B155" s="54">
        <v>1</v>
      </c>
      <c r="C155" s="57">
        <v>110</v>
      </c>
      <c r="D155" s="57">
        <v>117.56890664663366</v>
      </c>
      <c r="E155" s="57">
        <v>-7.5689066466336641</v>
      </c>
      <c r="F155" s="57">
        <v>-0.75825080812028989</v>
      </c>
      <c r="G155" s="57">
        <v>2.7034518180120086</v>
      </c>
      <c r="H155" s="57">
        <v>112.16814078077344</v>
      </c>
      <c r="I155" s="57">
        <v>122.96967251249389</v>
      </c>
      <c r="J155" s="57">
        <v>10.341673718783573</v>
      </c>
      <c r="K155" s="57">
        <v>96.909038383347308</v>
      </c>
      <c r="L155" s="57">
        <v>138.22877490992002</v>
      </c>
    </row>
    <row r="156" spans="1:12" x14ac:dyDescent="0.35">
      <c r="A156" s="48" t="s">
        <v>275</v>
      </c>
      <c r="B156" s="54">
        <v>1</v>
      </c>
      <c r="C156" s="57">
        <v>110</v>
      </c>
      <c r="D156" s="57">
        <v>94.210179872895452</v>
      </c>
      <c r="E156" s="57">
        <v>15.789820127104548</v>
      </c>
      <c r="F156" s="57">
        <v>1.5818194661941003</v>
      </c>
      <c r="G156" s="57">
        <v>1.6497802819515546</v>
      </c>
      <c r="H156" s="57">
        <v>90.914364880533114</v>
      </c>
      <c r="I156" s="57">
        <v>97.50599486525779</v>
      </c>
      <c r="J156" s="57">
        <v>10.117476886664114</v>
      </c>
      <c r="K156" s="57">
        <v>73.998196269538113</v>
      </c>
      <c r="L156" s="57">
        <v>114.42216347625279</v>
      </c>
    </row>
    <row r="157" spans="1:12" x14ac:dyDescent="0.35">
      <c r="A157" s="48" t="s">
        <v>276</v>
      </c>
      <c r="B157" s="54">
        <v>1</v>
      </c>
      <c r="C157" s="57">
        <v>90</v>
      </c>
      <c r="D157" s="57">
        <v>98.663022155445532</v>
      </c>
      <c r="E157" s="57">
        <v>-8.6630221554455318</v>
      </c>
      <c r="F157" s="57">
        <v>-0.86785897313874971</v>
      </c>
      <c r="G157" s="57">
        <v>1.351343463598317</v>
      </c>
      <c r="H157" s="57">
        <v>95.963403245047516</v>
      </c>
      <c r="I157" s="57">
        <v>101.36264106584355</v>
      </c>
      <c r="J157" s="57">
        <v>10.073117329311534</v>
      </c>
      <c r="K157" s="57">
        <v>78.539656955263823</v>
      </c>
      <c r="L157" s="57">
        <v>118.78638735562724</v>
      </c>
    </row>
    <row r="158" spans="1:12" x14ac:dyDescent="0.35">
      <c r="A158" s="48" t="s">
        <v>277</v>
      </c>
      <c r="B158" s="54">
        <v>1</v>
      </c>
      <c r="C158" s="57">
        <v>110</v>
      </c>
      <c r="D158" s="57">
        <v>111.00181448070713</v>
      </c>
      <c r="E158" s="57">
        <v>-1.0018144807071252</v>
      </c>
      <c r="F158" s="57">
        <v>-0.10036147557991572</v>
      </c>
      <c r="G158" s="57">
        <v>2.3369871616864684</v>
      </c>
      <c r="H158" s="57">
        <v>106.33314592604758</v>
      </c>
      <c r="I158" s="57">
        <v>115.67048303536667</v>
      </c>
      <c r="J158" s="57">
        <v>10.251978958589108</v>
      </c>
      <c r="K158" s="57">
        <v>90.521132099698121</v>
      </c>
      <c r="L158" s="57">
        <v>131.48249686171613</v>
      </c>
    </row>
    <row r="159" spans="1:12" x14ac:dyDescent="0.35">
      <c r="A159" s="48" t="s">
        <v>278</v>
      </c>
      <c r="B159" s="54">
        <v>1</v>
      </c>
      <c r="C159" s="57">
        <v>140</v>
      </c>
      <c r="D159" s="57">
        <v>133.81328357395145</v>
      </c>
      <c r="E159" s="57">
        <v>6.1867164260485481</v>
      </c>
      <c r="F159" s="57">
        <v>0.61978340448270453</v>
      </c>
      <c r="G159" s="57">
        <v>2.5692233735234007</v>
      </c>
      <c r="H159" s="57">
        <v>128.68066985209899</v>
      </c>
      <c r="I159" s="57">
        <v>138.94589729580392</v>
      </c>
      <c r="J159" s="57">
        <v>10.307398911293062</v>
      </c>
      <c r="K159" s="57">
        <v>113.22188710998491</v>
      </c>
      <c r="L159" s="57">
        <v>154.40468003791798</v>
      </c>
    </row>
    <row r="160" spans="1:12" x14ac:dyDescent="0.35">
      <c r="A160" s="48" t="s">
        <v>279</v>
      </c>
      <c r="B160" s="54">
        <v>1</v>
      </c>
      <c r="C160" s="57">
        <v>100</v>
      </c>
      <c r="D160" s="57">
        <v>94.210179872895452</v>
      </c>
      <c r="E160" s="57">
        <v>5.789820127104548</v>
      </c>
      <c r="F160" s="57">
        <v>0.58002245175010758</v>
      </c>
      <c r="G160" s="57">
        <v>1.6497802819515546</v>
      </c>
      <c r="H160" s="57">
        <v>90.914364880533114</v>
      </c>
      <c r="I160" s="57">
        <v>97.50599486525779</v>
      </c>
      <c r="J160" s="57">
        <v>10.117476886664114</v>
      </c>
      <c r="K160" s="57">
        <v>73.998196269538113</v>
      </c>
      <c r="L160" s="57">
        <v>114.42216347625279</v>
      </c>
    </row>
    <row r="161" spans="1:12" x14ac:dyDescent="0.35">
      <c r="A161" s="48" t="s">
        <v>280</v>
      </c>
      <c r="B161" s="54">
        <v>1</v>
      </c>
      <c r="C161" s="57">
        <v>110</v>
      </c>
      <c r="D161" s="57">
        <v>119.28546052671436</v>
      </c>
      <c r="E161" s="57">
        <v>-9.2854605267143597</v>
      </c>
      <c r="F161" s="57">
        <v>-0.93021466333999914</v>
      </c>
      <c r="G161" s="57">
        <v>1.8642188717442312</v>
      </c>
      <c r="H161" s="57">
        <v>115.56125520449324</v>
      </c>
      <c r="I161" s="57">
        <v>123.00966584893548</v>
      </c>
      <c r="J161" s="57">
        <v>10.154647978892905</v>
      </c>
      <c r="K161" s="57">
        <v>98.999219130128211</v>
      </c>
      <c r="L161" s="57">
        <v>139.57170192330051</v>
      </c>
    </row>
    <row r="162" spans="1:12" x14ac:dyDescent="0.35">
      <c r="A162" s="48" t="s">
        <v>281</v>
      </c>
      <c r="B162" s="54">
        <v>1</v>
      </c>
      <c r="C162" s="57">
        <v>100</v>
      </c>
      <c r="D162" s="57">
        <v>97.56850679445779</v>
      </c>
      <c r="E162" s="57">
        <v>2.4314932055422105</v>
      </c>
      <c r="F162" s="57">
        <v>0.24358626339530404</v>
      </c>
      <c r="G162" s="57">
        <v>1.6585715428636185</v>
      </c>
      <c r="H162" s="57">
        <v>94.255129239472581</v>
      </c>
      <c r="I162" s="57">
        <v>100.881884349443</v>
      </c>
      <c r="J162" s="57">
        <v>10.118914128317495</v>
      </c>
      <c r="K162" s="57">
        <v>77.353651970829077</v>
      </c>
      <c r="L162" s="57">
        <v>117.7833616180865</v>
      </c>
    </row>
    <row r="163" spans="1:12" x14ac:dyDescent="0.35">
      <c r="A163" s="48" t="s">
        <v>282</v>
      </c>
      <c r="B163" s="54">
        <v>1</v>
      </c>
      <c r="C163" s="57">
        <v>100</v>
      </c>
      <c r="D163" s="57">
        <v>97.56850679445779</v>
      </c>
      <c r="E163" s="57">
        <v>2.4314932055422105</v>
      </c>
      <c r="F163" s="57">
        <v>0.24358626339530404</v>
      </c>
      <c r="G163" s="57">
        <v>1.6585715428636185</v>
      </c>
      <c r="H163" s="57">
        <v>94.255129239472581</v>
      </c>
      <c r="I163" s="57">
        <v>100.881884349443</v>
      </c>
      <c r="J163" s="57">
        <v>10.118914128317495</v>
      </c>
      <c r="K163" s="57">
        <v>77.353651970829077</v>
      </c>
      <c r="L163" s="57">
        <v>117.7833616180865</v>
      </c>
    </row>
    <row r="164" spans="1:12" ht="16" thickBot="1" x14ac:dyDescent="0.4">
      <c r="A164" s="52" t="s">
        <v>283</v>
      </c>
      <c r="B164" s="55">
        <v>1</v>
      </c>
      <c r="C164" s="58">
        <v>110</v>
      </c>
      <c r="D164" s="58">
        <v>120.45475672630118</v>
      </c>
      <c r="E164" s="58">
        <v>-10.454756726301184</v>
      </c>
      <c r="F164" s="58">
        <v>-1.0473544075146779</v>
      </c>
      <c r="G164" s="58">
        <v>1.8189833524998353</v>
      </c>
      <c r="H164" s="58">
        <v>116.82091974230302</v>
      </c>
      <c r="I164" s="58">
        <v>124.08859371029935</v>
      </c>
      <c r="J164" s="58">
        <v>10.146440952872981</v>
      </c>
      <c r="K164" s="58">
        <v>100.18491074896879</v>
      </c>
      <c r="L164" s="58">
        <v>140.72460270363359</v>
      </c>
    </row>
    <row r="183" spans="6:6" x14ac:dyDescent="0.35">
      <c r="F183" t="s">
        <v>141</v>
      </c>
    </row>
    <row r="202" spans="1:6" x14ac:dyDescent="0.35">
      <c r="F202" t="s">
        <v>141</v>
      </c>
    </row>
    <row r="205" spans="1:6" x14ac:dyDescent="0.35">
      <c r="A205" s="6" t="s">
        <v>196</v>
      </c>
    </row>
    <row r="207" spans="1:6" x14ac:dyDescent="0.35">
      <c r="A207" s="2" t="s">
        <v>285</v>
      </c>
    </row>
    <row r="208" spans="1:6" ht="16" thickBot="1" x14ac:dyDescent="0.4"/>
    <row r="209" spans="1:9" x14ac:dyDescent="0.35">
      <c r="A209" s="69" t="s">
        <v>198</v>
      </c>
      <c r="B209" s="82">
        <v>0.94909771250354535</v>
      </c>
      <c r="C209" s="83"/>
    </row>
    <row r="210" spans="1:9" x14ac:dyDescent="0.35">
      <c r="A210" s="48" t="s">
        <v>199</v>
      </c>
      <c r="B210" s="75">
        <v>8.1906185204478898E-3</v>
      </c>
      <c r="C210" s="84" t="s">
        <v>136</v>
      </c>
    </row>
    <row r="211" spans="1:9" ht="16" thickBot="1" x14ac:dyDescent="0.4">
      <c r="A211" s="52" t="s">
        <v>200</v>
      </c>
      <c r="B211" s="55">
        <v>0.05</v>
      </c>
      <c r="C211" s="85"/>
    </row>
    <row r="212" spans="1:9" x14ac:dyDescent="0.35">
      <c r="A212" s="80" t="s">
        <v>201</v>
      </c>
    </row>
    <row r="214" spans="1:9" x14ac:dyDescent="0.35">
      <c r="A214" s="2" t="s">
        <v>202</v>
      </c>
    </row>
    <row r="215" spans="1:9" x14ac:dyDescent="0.35">
      <c r="A215" s="2" t="s">
        <v>203</v>
      </c>
    </row>
    <row r="216" spans="1:9" x14ac:dyDescent="0.35">
      <c r="A216" s="2" t="s">
        <v>204</v>
      </c>
    </row>
    <row r="217" spans="1:9" ht="15.65" customHeight="1" x14ac:dyDescent="0.35">
      <c r="A217" s="102" t="s">
        <v>205</v>
      </c>
      <c r="B217" s="102"/>
      <c r="C217" s="102"/>
      <c r="D217" s="102"/>
      <c r="E217" s="102"/>
      <c r="F217" s="102"/>
      <c r="G217" s="102"/>
      <c r="H217" s="102"/>
      <c r="I217" s="102"/>
    </row>
    <row r="218" spans="1:9" x14ac:dyDescent="0.35">
      <c r="A218" s="102"/>
      <c r="B218" s="102"/>
      <c r="C218" s="102"/>
      <c r="D218" s="102"/>
      <c r="E218" s="102"/>
      <c r="F218" s="102"/>
      <c r="G218" s="102"/>
      <c r="H218" s="102"/>
      <c r="I218" s="102"/>
    </row>
    <row r="221" spans="1:9" x14ac:dyDescent="0.35">
      <c r="A221" s="2" t="s">
        <v>286</v>
      </c>
    </row>
    <row r="223" spans="1:9" x14ac:dyDescent="0.35">
      <c r="A223" s="103" t="s">
        <v>290</v>
      </c>
      <c r="B223" s="104"/>
      <c r="C223" s="104"/>
      <c r="D223" s="104"/>
      <c r="E223" s="104"/>
      <c r="F223" s="104"/>
      <c r="G223" s="104"/>
    </row>
    <row r="224" spans="1:9" x14ac:dyDescent="0.35">
      <c r="A224" s="104"/>
      <c r="B224" s="104"/>
      <c r="C224" s="104"/>
      <c r="D224" s="104"/>
      <c r="E224" s="104"/>
      <c r="F224" s="104"/>
      <c r="G224" s="104"/>
    </row>
    <row r="226" spans="1:7" x14ac:dyDescent="0.35">
      <c r="A226" s="103" t="s">
        <v>208</v>
      </c>
      <c r="B226" s="104"/>
      <c r="C226" s="104"/>
      <c r="D226" s="104"/>
      <c r="E226" s="104"/>
      <c r="F226" s="104"/>
      <c r="G226" s="104"/>
    </row>
    <row r="227" spans="1:7" x14ac:dyDescent="0.35">
      <c r="A227" s="104"/>
      <c r="B227" s="104"/>
      <c r="C227" s="104"/>
      <c r="D227" s="104"/>
      <c r="E227" s="104"/>
      <c r="F227" s="104"/>
      <c r="G227" s="104"/>
    </row>
    <row r="228" spans="1:7" x14ac:dyDescent="0.35">
      <c r="A228" s="104"/>
      <c r="B228" s="104"/>
      <c r="C228" s="104"/>
      <c r="D228" s="104"/>
      <c r="E228" s="104"/>
      <c r="F228" s="104"/>
      <c r="G228" s="104"/>
    </row>
    <row r="996" spans="648:648" x14ac:dyDescent="0.35">
      <c r="XX996" s="47">
        <v>166765</v>
      </c>
    </row>
  </sheetData>
  <mergeCells count="3">
    <mergeCell ref="A217:I218"/>
    <mergeCell ref="A223:G224"/>
    <mergeCell ref="A226:G22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DD336745">
              <controlPr defaultSize="0" autoFill="0" autoPict="0" macro="[0]!GoToResultsNew211120250759052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5</xdr:col>
                    <xdr:colOff>6350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4AC3-264F-409E-8D0B-BCB450734184}">
  <sheetPr codeName="Sheet17_HID"/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52.3869090093965+(A1-1)*1.61684513577721</f>
        <v>52.386909009396497</v>
      </c>
      <c r="D1">
        <f t="shared" ref="D1:D32" si="1">0+1*C1-19.9414614489136*(1.01492537313433+(C1-105.522388059701)^2/16879.6563492086)^0.5</f>
        <v>30.704839635802838</v>
      </c>
      <c r="E1">
        <v>1</v>
      </c>
      <c r="G1">
        <f t="shared" ref="G1:G32" si="2">44.5014485553825+(E1-1)*1.73112717134263</f>
        <v>44.501448555382503</v>
      </c>
      <c r="H1">
        <f t="shared" ref="H1:H32" si="3">0+1*G1+19.9414614489136*(1.01492537313433+(G1-105.522388059701)^2/16879.6563492086)^0.5</f>
        <v>66.667166684608787</v>
      </c>
    </row>
    <row r="2" spans="1:8" x14ac:dyDescent="0.35">
      <c r="A2">
        <v>2</v>
      </c>
      <c r="C2">
        <f t="shared" si="0"/>
        <v>54.003754145173708</v>
      </c>
      <c r="D2">
        <f t="shared" si="1"/>
        <v>32.413807748720984</v>
      </c>
      <c r="E2">
        <v>2</v>
      </c>
      <c r="G2">
        <f t="shared" si="2"/>
        <v>46.23257572672513</v>
      </c>
      <c r="H2">
        <f t="shared" si="3"/>
        <v>68.287335414297615</v>
      </c>
    </row>
    <row r="3" spans="1:8" x14ac:dyDescent="0.35">
      <c r="A3">
        <v>3</v>
      </c>
      <c r="C3">
        <f t="shared" si="0"/>
        <v>55.62059928095092</v>
      </c>
      <c r="D3">
        <f t="shared" si="1"/>
        <v>34.120305981516118</v>
      </c>
      <c r="E3">
        <v>3</v>
      </c>
      <c r="G3">
        <f t="shared" si="2"/>
        <v>47.963702898067766</v>
      </c>
      <c r="H3">
        <f t="shared" si="3"/>
        <v>69.910160260084453</v>
      </c>
    </row>
    <row r="4" spans="1:8" x14ac:dyDescent="0.35">
      <c r="A4">
        <v>4</v>
      </c>
      <c r="C4">
        <f t="shared" si="0"/>
        <v>57.237444416728124</v>
      </c>
      <c r="D4">
        <f t="shared" si="1"/>
        <v>35.824303311290436</v>
      </c>
      <c r="E4">
        <v>4</v>
      </c>
      <c r="G4">
        <f t="shared" si="2"/>
        <v>49.694830069410393</v>
      </c>
      <c r="H4">
        <f t="shared" si="3"/>
        <v>71.535680734689976</v>
      </c>
    </row>
    <row r="5" spans="1:8" x14ac:dyDescent="0.35">
      <c r="A5">
        <v>5</v>
      </c>
      <c r="C5">
        <f t="shared" si="0"/>
        <v>58.854289552505335</v>
      </c>
      <c r="D5">
        <f t="shared" si="1"/>
        <v>37.525769080595097</v>
      </c>
      <c r="E5">
        <v>5</v>
      </c>
      <c r="G5">
        <f t="shared" si="2"/>
        <v>51.425957240753021</v>
      </c>
      <c r="H5">
        <f t="shared" si="3"/>
        <v>73.163936125581614</v>
      </c>
    </row>
    <row r="6" spans="1:8" x14ac:dyDescent="0.35">
      <c r="A6">
        <v>6</v>
      </c>
      <c r="C6">
        <f t="shared" si="0"/>
        <v>60.471134688282547</v>
      </c>
      <c r="D6">
        <f t="shared" si="1"/>
        <v>39.224673041230638</v>
      </c>
      <c r="E6">
        <v>6</v>
      </c>
      <c r="G6">
        <f t="shared" si="2"/>
        <v>53.157084412095656</v>
      </c>
      <c r="H6">
        <f t="shared" si="3"/>
        <v>74.794965440178004</v>
      </c>
    </row>
    <row r="7" spans="1:8" x14ac:dyDescent="0.35">
      <c r="A7">
        <v>7</v>
      </c>
      <c r="C7">
        <f t="shared" si="0"/>
        <v>62.087979824059758</v>
      </c>
      <c r="D7">
        <f t="shared" si="1"/>
        <v>40.920985398817265</v>
      </c>
      <c r="E7">
        <v>7</v>
      </c>
      <c r="G7">
        <f t="shared" si="2"/>
        <v>54.888211583438284</v>
      </c>
      <c r="H7">
        <f t="shared" si="3"/>
        <v>76.428807349285194</v>
      </c>
    </row>
    <row r="8" spans="1:8" x14ac:dyDescent="0.35">
      <c r="A8">
        <v>8</v>
      </c>
      <c r="C8">
        <f t="shared" si="0"/>
        <v>63.704824959836969</v>
      </c>
      <c r="D8">
        <f t="shared" si="1"/>
        <v>42.61467685802198</v>
      </c>
      <c r="E8">
        <v>8</v>
      </c>
      <c r="G8">
        <f t="shared" si="2"/>
        <v>56.619338754780912</v>
      </c>
      <c r="H8">
        <f t="shared" si="3"/>
        <v>78.065500128877233</v>
      </c>
    </row>
    <row r="9" spans="1:8" x14ac:dyDescent="0.35">
      <c r="A9">
        <v>9</v>
      </c>
      <c r="C9">
        <f t="shared" si="0"/>
        <v>65.321670095614181</v>
      </c>
      <c r="D9">
        <f t="shared" si="1"/>
        <v>44.305718668320218</v>
      </c>
      <c r="E9">
        <v>9</v>
      </c>
      <c r="G9">
        <f t="shared" si="2"/>
        <v>58.35046592612354</v>
      </c>
      <c r="H9">
        <f t="shared" si="3"/>
        <v>79.705081600350098</v>
      </c>
    </row>
    <row r="10" spans="1:8" x14ac:dyDescent="0.35">
      <c r="A10">
        <v>10</v>
      </c>
      <c r="C10">
        <f t="shared" si="0"/>
        <v>66.938515231391392</v>
      </c>
      <c r="D10">
        <f t="shared" si="1"/>
        <v>45.994082670161362</v>
      </c>
      <c r="E10">
        <v>10</v>
      </c>
      <c r="G10">
        <f t="shared" si="2"/>
        <v>60.081593097466168</v>
      </c>
      <c r="H10">
        <f t="shared" si="3"/>
        <v>81.347589069393905</v>
      </c>
    </row>
    <row r="11" spans="1:8" x14ac:dyDescent="0.35">
      <c r="A11">
        <v>11</v>
      </c>
      <c r="C11">
        <f t="shared" si="0"/>
        <v>68.555360367168589</v>
      </c>
      <c r="D11">
        <f t="shared" si="1"/>
        <v>47.679741341398561</v>
      </c>
      <c r="E11">
        <v>11</v>
      </c>
      <c r="G11">
        <f t="shared" si="2"/>
        <v>61.812720268808803</v>
      </c>
      <c r="H11">
        <f t="shared" si="3"/>
        <v>82.993059263644426</v>
      </c>
    </row>
    <row r="12" spans="1:8" x14ac:dyDescent="0.35">
      <c r="A12">
        <v>12</v>
      </c>
      <c r="C12">
        <f t="shared" si="0"/>
        <v>70.172205502945815</v>
      </c>
      <c r="D12">
        <f t="shared" si="1"/>
        <v>49.362667843835865</v>
      </c>
      <c r="E12">
        <v>12</v>
      </c>
      <c r="G12">
        <f t="shared" si="2"/>
        <v>63.543847440151431</v>
      </c>
      <c r="H12">
        <f t="shared" si="3"/>
        <v>84.64152826929103</v>
      </c>
    </row>
    <row r="13" spans="1:8" x14ac:dyDescent="0.35">
      <c r="A13">
        <v>13</v>
      </c>
      <c r="C13">
        <f t="shared" si="0"/>
        <v>71.789050638723012</v>
      </c>
      <c r="D13">
        <f t="shared" si="1"/>
        <v>51.042836069737568</v>
      </c>
      <c r="E13">
        <v>13</v>
      </c>
      <c r="G13">
        <f t="shared" si="2"/>
        <v>65.274974611494059</v>
      </c>
      <c r="H13">
        <f t="shared" si="3"/>
        <v>86.293031466834378</v>
      </c>
    </row>
    <row r="14" spans="1:8" x14ac:dyDescent="0.35">
      <c r="A14">
        <v>14</v>
      </c>
      <c r="C14">
        <f t="shared" si="0"/>
        <v>73.405895774500223</v>
      </c>
      <c r="D14">
        <f t="shared" si="1"/>
        <v>52.720220688139193</v>
      </c>
      <c r="E14">
        <v>14</v>
      </c>
      <c r="G14">
        <f t="shared" si="2"/>
        <v>67.006101782836694</v>
      </c>
      <c r="H14">
        <f t="shared" si="3"/>
        <v>87.947603466201571</v>
      </c>
    </row>
    <row r="15" spans="1:8" x14ac:dyDescent="0.35">
      <c r="A15">
        <v>15</v>
      </c>
      <c r="C15">
        <f t="shared" si="0"/>
        <v>75.022740910277435</v>
      </c>
      <c r="D15">
        <f t="shared" si="1"/>
        <v>54.394797190792062</v>
      </c>
      <c r="E15">
        <v>15</v>
      </c>
      <c r="G15">
        <f t="shared" si="2"/>
        <v>68.737228954179329</v>
      </c>
      <c r="H15">
        <f t="shared" si="3"/>
        <v>89.605278041442205</v>
      </c>
    </row>
    <row r="16" spans="1:8" x14ac:dyDescent="0.35">
      <c r="A16">
        <v>16</v>
      </c>
      <c r="C16">
        <f t="shared" si="0"/>
        <v>76.639586046054646</v>
      </c>
      <c r="D16">
        <f t="shared" si="1"/>
        <v>56.06654193756988</v>
      </c>
      <c r="E16">
        <v>16</v>
      </c>
      <c r="G16">
        <f t="shared" si="2"/>
        <v>70.46835612552195</v>
      </c>
      <c r="H16">
        <f t="shared" si="3"/>
        <v>91.266088065241604</v>
      </c>
    </row>
    <row r="17" spans="1:8" x14ac:dyDescent="0.35">
      <c r="A17">
        <v>17</v>
      </c>
      <c r="C17">
        <f t="shared" si="0"/>
        <v>78.256431181831857</v>
      </c>
      <c r="D17">
        <f t="shared" si="1"/>
        <v>57.73543220116067</v>
      </c>
      <c r="E17">
        <v>17</v>
      </c>
      <c r="G17">
        <f t="shared" si="2"/>
        <v>72.199483296864585</v>
      </c>
      <c r="H17">
        <f t="shared" si="3"/>
        <v>92.930065443500979</v>
      </c>
    </row>
    <row r="18" spans="1:8" x14ac:dyDescent="0.35">
      <c r="A18">
        <v>18</v>
      </c>
      <c r="C18">
        <f t="shared" si="0"/>
        <v>79.873276317609069</v>
      </c>
      <c r="D18">
        <f t="shared" si="1"/>
        <v>59.40144621086479</v>
      </c>
      <c r="E18">
        <v>18</v>
      </c>
      <c r="G18">
        <f t="shared" si="2"/>
        <v>73.93061046820722</v>
      </c>
      <c r="H18">
        <f t="shared" si="3"/>
        <v>94.597241050245188</v>
      </c>
    </row>
    <row r="19" spans="1:8" x14ac:dyDescent="0.35">
      <c r="A19">
        <v>19</v>
      </c>
      <c r="C19">
        <f t="shared" si="0"/>
        <v>81.49012145338628</v>
      </c>
      <c r="D19">
        <f t="shared" si="1"/>
        <v>61.064563195318037</v>
      </c>
      <c r="E19">
        <v>19</v>
      </c>
      <c r="G19">
        <f t="shared" si="2"/>
        <v>75.661737639549841</v>
      </c>
      <c r="H19">
        <f t="shared" si="3"/>
        <v>96.267644663129204</v>
      </c>
    </row>
    <row r="20" spans="1:8" x14ac:dyDescent="0.35">
      <c r="A20">
        <v>20</v>
      </c>
      <c r="C20">
        <f t="shared" si="0"/>
        <v>83.106966589163491</v>
      </c>
      <c r="D20">
        <f t="shared" si="1"/>
        <v>62.724763423957739</v>
      </c>
      <c r="E20">
        <v>20</v>
      </c>
      <c r="G20">
        <f t="shared" si="2"/>
        <v>77.392864810892462</v>
      </c>
      <c r="H20">
        <f t="shared" si="3"/>
        <v>97.941304899822597</v>
      </c>
    </row>
    <row r="21" spans="1:8" x14ac:dyDescent="0.35">
      <c r="A21">
        <v>21</v>
      </c>
      <c r="C21">
        <f t="shared" si="0"/>
        <v>84.723811724940703</v>
      </c>
      <c r="D21">
        <f t="shared" si="1"/>
        <v>64.382028247050869</v>
      </c>
      <c r="E21">
        <v>21</v>
      </c>
      <c r="G21">
        <f t="shared" si="2"/>
        <v>79.123991982235111</v>
      </c>
      <c r="H21">
        <f t="shared" si="3"/>
        <v>99.618249155557777</v>
      </c>
    </row>
    <row r="22" spans="1:8" x14ac:dyDescent="0.35">
      <c r="A22">
        <v>22</v>
      </c>
      <c r="C22">
        <f t="shared" si="0"/>
        <v>86.3406568607179</v>
      </c>
      <c r="D22">
        <f t="shared" si="1"/>
        <v>66.036340134104691</v>
      </c>
      <c r="E22">
        <v>22</v>
      </c>
      <c r="G22">
        <f t="shared" si="2"/>
        <v>80.855119153577732</v>
      </c>
      <c r="H22">
        <f t="shared" si="3"/>
        <v>101.29850354213255</v>
      </c>
    </row>
    <row r="23" spans="1:8" x14ac:dyDescent="0.35">
      <c r="A23">
        <v>23</v>
      </c>
      <c r="C23">
        <f t="shared" si="0"/>
        <v>87.957501996495125</v>
      </c>
      <c r="D23">
        <f t="shared" si="1"/>
        <v>67.68768271048414</v>
      </c>
      <c r="E23">
        <v>23</v>
      </c>
      <c r="G23">
        <f t="shared" si="2"/>
        <v>82.586246324920353</v>
      </c>
      <c r="H23">
        <f t="shared" si="3"/>
        <v>102.98209282866</v>
      </c>
    </row>
    <row r="24" spans="1:8" x14ac:dyDescent="0.35">
      <c r="A24">
        <v>24</v>
      </c>
      <c r="C24">
        <f t="shared" si="0"/>
        <v>89.574347132272322</v>
      </c>
      <c r="D24">
        <f t="shared" si="1"/>
        <v>69.336040792064239</v>
      </c>
      <c r="E24">
        <v>24</v>
      </c>
      <c r="G24">
        <f t="shared" si="2"/>
        <v>84.317373496262988</v>
      </c>
      <c r="H24">
        <f t="shared" si="3"/>
        <v>104.66904038435828</v>
      </c>
    </row>
    <row r="25" spans="1:8" x14ac:dyDescent="0.35">
      <c r="A25">
        <v>25</v>
      </c>
      <c r="C25">
        <f t="shared" si="0"/>
        <v>91.191192268049548</v>
      </c>
      <c r="D25">
        <f t="shared" si="1"/>
        <v>70.981400417752951</v>
      </c>
      <c r="E25">
        <v>25</v>
      </c>
      <c r="G25">
        <f t="shared" si="2"/>
        <v>86.048500667605623</v>
      </c>
      <c r="H25">
        <f t="shared" si="3"/>
        <v>106.35936812367116</v>
      </c>
    </row>
    <row r="26" spans="1:8" x14ac:dyDescent="0.35">
      <c r="A26">
        <v>26</v>
      </c>
      <c r="C26">
        <f t="shared" si="0"/>
        <v>92.808037403826745</v>
      </c>
      <c r="D26">
        <f t="shared" si="1"/>
        <v>72.62374887972544</v>
      </c>
      <c r="E26">
        <v>26</v>
      </c>
      <c r="G26">
        <f t="shared" si="2"/>
        <v>87.779627838948244</v>
      </c>
      <c r="H26">
        <f t="shared" si="3"/>
        <v>108.05309645400553</v>
      </c>
    </row>
    <row r="27" spans="1:8" x14ac:dyDescent="0.35">
      <c r="A27">
        <v>27</v>
      </c>
      <c r="C27">
        <f t="shared" si="0"/>
        <v>94.424882539603956</v>
      </c>
      <c r="D27">
        <f t="shared" si="1"/>
        <v>74.263074751221836</v>
      </c>
      <c r="E27">
        <v>27</v>
      </c>
      <c r="G27">
        <f t="shared" si="2"/>
        <v>89.510755010290879</v>
      </c>
      <c r="H27">
        <f t="shared" si="3"/>
        <v>109.75024422636416</v>
      </c>
    </row>
    <row r="28" spans="1:8" x14ac:dyDescent="0.35">
      <c r="A28">
        <v>28</v>
      </c>
      <c r="C28">
        <f t="shared" si="0"/>
        <v>96.041727675381168</v>
      </c>
      <c r="D28">
        <f t="shared" si="1"/>
        <v>75.899367911768337</v>
      </c>
      <c r="E28">
        <v>28</v>
      </c>
      <c r="G28">
        <f t="shared" si="2"/>
        <v>91.241882181633514</v>
      </c>
      <c r="H28">
        <f t="shared" si="3"/>
        <v>111.45082868914258</v>
      </c>
    </row>
    <row r="29" spans="1:8" x14ac:dyDescent="0.35">
      <c r="A29">
        <v>29</v>
      </c>
      <c r="C29">
        <f t="shared" si="0"/>
        <v>97.658572811158379</v>
      </c>
      <c r="D29">
        <f t="shared" si="1"/>
        <v>77.532619569694333</v>
      </c>
      <c r="E29">
        <v>29</v>
      </c>
      <c r="G29">
        <f t="shared" si="2"/>
        <v>92.973009352976135</v>
      </c>
      <c r="H29">
        <f t="shared" si="3"/>
        <v>113.1548654453469</v>
      </c>
    </row>
    <row r="30" spans="1:8" x14ac:dyDescent="0.35">
      <c r="A30">
        <v>30</v>
      </c>
      <c r="C30">
        <f t="shared" si="0"/>
        <v>99.27541794693559</v>
      </c>
      <c r="D30">
        <f t="shared" si="1"/>
        <v>79.162822281829861</v>
      </c>
      <c r="E30">
        <v>30</v>
      </c>
      <c r="G30">
        <f t="shared" si="2"/>
        <v>94.70413652431877</v>
      </c>
      <c r="H30">
        <f t="shared" si="3"/>
        <v>114.86236841347376</v>
      </c>
    </row>
    <row r="31" spans="1:8" x14ac:dyDescent="0.35">
      <c r="A31">
        <v>31</v>
      </c>
      <c r="C31">
        <f t="shared" si="0"/>
        <v>100.89226308271279</v>
      </c>
      <c r="D31">
        <f t="shared" si="1"/>
        <v>80.789969970281362</v>
      </c>
      <c r="E31">
        <v>31</v>
      </c>
      <c r="G31">
        <f t="shared" si="2"/>
        <v>96.435263695661405</v>
      </c>
      <c r="H31">
        <f t="shared" si="3"/>
        <v>116.57334979227721</v>
      </c>
    </row>
    <row r="32" spans="1:8" x14ac:dyDescent="0.35">
      <c r="A32">
        <v>32</v>
      </c>
      <c r="C32">
        <f t="shared" si="0"/>
        <v>102.50910821849001</v>
      </c>
      <c r="D32">
        <f t="shared" si="1"/>
        <v>82.414057936198333</v>
      </c>
      <c r="E32">
        <v>32</v>
      </c>
      <c r="G32">
        <f t="shared" si="2"/>
        <v>98.166390867004026</v>
      </c>
      <c r="H32">
        <f t="shared" si="3"/>
        <v>118.28782002962711</v>
      </c>
    </row>
    <row r="33" spans="1:8" x14ac:dyDescent="0.35">
      <c r="A33">
        <v>33</v>
      </c>
      <c r="C33">
        <f t="shared" ref="C33:C64" si="4">52.3869090093965+(A33-1)*1.61684513577721</f>
        <v>104.12595335426721</v>
      </c>
      <c r="D33">
        <f t="shared" ref="D33:D64" si="5">0+1*C33-19.9414614489136*(1.01492537313433+(C33-105.522388059701)^2/16879.6563492086)^0.5</f>
        <v>84.035082870457927</v>
      </c>
      <c r="E33">
        <v>33</v>
      </c>
      <c r="G33">
        <f t="shared" ref="G33:G64" si="6">44.5014485553825+(E33-1)*1.73112717134263</f>
        <v>99.897518038346661</v>
      </c>
      <c r="H33">
        <f t="shared" ref="H33:H64" si="7">0+1*G33+19.9414614489136*(1.01492537313433+(G33-105.522388059701)^2/16879.6563492086)^0.5</f>
        <v>120.00578779564279</v>
      </c>
    </row>
    <row r="34" spans="1:8" x14ac:dyDescent="0.35">
      <c r="A34">
        <v>34</v>
      </c>
      <c r="C34">
        <f t="shared" si="4"/>
        <v>105.74279849004444</v>
      </c>
      <c r="D34">
        <f t="shared" si="5"/>
        <v>85.65304286121183</v>
      </c>
      <c r="E34">
        <v>34</v>
      </c>
      <c r="G34">
        <f t="shared" si="6"/>
        <v>101.6286452096893</v>
      </c>
      <c r="H34">
        <f t="shared" si="7"/>
        <v>121.72725996026114</v>
      </c>
    </row>
    <row r="35" spans="1:8" x14ac:dyDescent="0.35">
      <c r="A35">
        <v>35</v>
      </c>
      <c r="C35">
        <f t="shared" si="4"/>
        <v>107.35964362582163</v>
      </c>
      <c r="D35">
        <f t="shared" si="5"/>
        <v>87.267937398254261</v>
      </c>
      <c r="E35">
        <v>35</v>
      </c>
      <c r="G35">
        <f t="shared" si="6"/>
        <v>103.35977238103192</v>
      </c>
      <c r="H35">
        <f t="shared" si="7"/>
        <v>123.45224157537439</v>
      </c>
    </row>
    <row r="36" spans="1:8" x14ac:dyDescent="0.35">
      <c r="A36">
        <v>36</v>
      </c>
      <c r="C36">
        <f t="shared" si="4"/>
        <v>108.97648876159884</v>
      </c>
      <c r="D36">
        <f t="shared" si="5"/>
        <v>88.8797673741891</v>
      </c>
      <c r="E36">
        <v>36</v>
      </c>
      <c r="G36">
        <f t="shared" si="6"/>
        <v>105.09089955237455</v>
      </c>
      <c r="H36">
        <f t="shared" si="7"/>
        <v>125.18073586164499</v>
      </c>
    </row>
    <row r="37" spans="1:8" x14ac:dyDescent="0.35">
      <c r="A37">
        <v>37</v>
      </c>
      <c r="C37">
        <f t="shared" si="4"/>
        <v>110.59333389737606</v>
      </c>
      <c r="D37">
        <f t="shared" si="5"/>
        <v>90.488535082388623</v>
      </c>
      <c r="E37">
        <v>37</v>
      </c>
      <c r="G37">
        <f t="shared" si="6"/>
        <v>106.82202672371719</v>
      </c>
      <c r="H37">
        <f t="shared" si="7"/>
        <v>126.91274420007785</v>
      </c>
    </row>
    <row r="38" spans="1:8" x14ac:dyDescent="0.35">
      <c r="A38">
        <v>38</v>
      </c>
      <c r="C38">
        <f t="shared" si="4"/>
        <v>112.21017903315327</v>
      </c>
      <c r="D38">
        <f t="shared" si="5"/>
        <v>92.094244211755765</v>
      </c>
      <c r="E38">
        <v>38</v>
      </c>
      <c r="G38">
        <f t="shared" si="6"/>
        <v>108.55315389505981</v>
      </c>
      <c r="H38">
        <f t="shared" si="7"/>
        <v>128.64826612840127</v>
      </c>
    </row>
    <row r="39" spans="1:8" x14ac:dyDescent="0.35">
      <c r="A39">
        <v>39</v>
      </c>
      <c r="C39">
        <f t="shared" si="4"/>
        <v>113.82702416893048</v>
      </c>
      <c r="D39">
        <f t="shared" si="5"/>
        <v>93.696899838317165</v>
      </c>
      <c r="E39">
        <v>39</v>
      </c>
      <c r="G39">
        <f t="shared" si="6"/>
        <v>110.28428106640243</v>
      </c>
      <c r="H39">
        <f t="shared" si="7"/>
        <v>130.38729934227877</v>
      </c>
    </row>
    <row r="40" spans="1:8" x14ac:dyDescent="0.35">
      <c r="A40">
        <v>40</v>
      </c>
      <c r="C40">
        <f t="shared" si="4"/>
        <v>115.44386930470769</v>
      </c>
      <c r="D40">
        <f t="shared" si="5"/>
        <v>95.296508413691882</v>
      </c>
      <c r="E40">
        <v>40</v>
      </c>
      <c r="G40">
        <f t="shared" si="6"/>
        <v>112.01540823774508</v>
      </c>
      <c r="H40">
        <f t="shared" si="7"/>
        <v>132.12983970134428</v>
      </c>
    </row>
    <row r="41" spans="1:8" x14ac:dyDescent="0.35">
      <c r="A41">
        <v>41</v>
      </c>
      <c r="C41">
        <f t="shared" si="4"/>
        <v>117.0607144404849</v>
      </c>
      <c r="D41">
        <f t="shared" si="5"/>
        <v>96.893077750496644</v>
      </c>
      <c r="E41">
        <v>41</v>
      </c>
      <c r="G41">
        <f t="shared" si="6"/>
        <v>113.7465354090877</v>
      </c>
      <c r="H41">
        <f t="shared" si="7"/>
        <v>133.87588124002377</v>
      </c>
    </row>
    <row r="42" spans="1:8" x14ac:dyDescent="0.35">
      <c r="A42">
        <v>42</v>
      </c>
      <c r="C42">
        <f t="shared" si="4"/>
        <v>118.6775595762621</v>
      </c>
      <c r="D42">
        <f t="shared" si="5"/>
        <v>98.486617004764028</v>
      </c>
      <c r="E42">
        <v>42</v>
      </c>
      <c r="G42">
        <f t="shared" si="6"/>
        <v>115.47766258043032</v>
      </c>
      <c r="H42">
        <f t="shared" si="7"/>
        <v>135.62541618307796</v>
      </c>
    </row>
    <row r="43" spans="1:8" x14ac:dyDescent="0.35">
      <c r="A43">
        <v>43</v>
      </c>
      <c r="C43">
        <f t="shared" si="4"/>
        <v>120.29440471203932</v>
      </c>
      <c r="D43">
        <f t="shared" si="5"/>
        <v>100.07713665546574</v>
      </c>
      <c r="E43">
        <v>43</v>
      </c>
      <c r="G43">
        <f t="shared" si="6"/>
        <v>117.20878975177297</v>
      </c>
      <c r="H43">
        <f t="shared" si="7"/>
        <v>137.37843496577119</v>
      </c>
    </row>
    <row r="44" spans="1:8" x14ac:dyDescent="0.35">
      <c r="A44">
        <v>44</v>
      </c>
      <c r="C44">
        <f t="shared" si="4"/>
        <v>121.91124984781652</v>
      </c>
      <c r="D44">
        <f t="shared" si="5"/>
        <v>101.66464848124605</v>
      </c>
      <c r="E44">
        <v>44</v>
      </c>
      <c r="G44">
        <f t="shared" si="6"/>
        <v>118.93991692311559</v>
      </c>
      <c r="H44">
        <f t="shared" si="7"/>
        <v>139.13492625854559</v>
      </c>
    </row>
    <row r="45" spans="1:8" x14ac:dyDescent="0.35">
      <c r="A45">
        <v>45</v>
      </c>
      <c r="C45">
        <f t="shared" si="4"/>
        <v>123.52809498359375</v>
      </c>
      <c r="D45">
        <f t="shared" si="5"/>
        <v>103.24916553448523</v>
      </c>
      <c r="E45">
        <v>45</v>
      </c>
      <c r="G45">
        <f t="shared" si="6"/>
        <v>120.67104409445821</v>
      </c>
      <c r="H45">
        <f t="shared" si="7"/>
        <v>140.89487699605306</v>
      </c>
    </row>
    <row r="46" spans="1:8" x14ac:dyDescent="0.35">
      <c r="A46">
        <v>46</v>
      </c>
      <c r="C46">
        <f t="shared" si="4"/>
        <v>125.14494011937094</v>
      </c>
      <c r="D46">
        <f t="shared" si="5"/>
        <v>104.83070211282309</v>
      </c>
      <c r="E46">
        <v>46</v>
      </c>
      <c r="G46">
        <f t="shared" si="6"/>
        <v>122.40217126580086</v>
      </c>
      <c r="H46">
        <f t="shared" si="7"/>
        <v>142.65827241037306</v>
      </c>
    </row>
    <row r="47" spans="1:8" x14ac:dyDescent="0.35">
      <c r="A47">
        <v>47</v>
      </c>
      <c r="C47">
        <f t="shared" si="4"/>
        <v>126.76178525514817</v>
      </c>
      <c r="D47">
        <f t="shared" si="5"/>
        <v>106.40927372828568</v>
      </c>
      <c r="E47">
        <v>47</v>
      </c>
      <c r="G47">
        <f t="shared" si="6"/>
        <v>124.13329843714348</v>
      </c>
      <c r="H47">
        <f t="shared" si="7"/>
        <v>144.42509606822168</v>
      </c>
    </row>
    <row r="48" spans="1:8" x14ac:dyDescent="0.35">
      <c r="A48">
        <v>48</v>
      </c>
      <c r="C48">
        <f t="shared" si="4"/>
        <v>128.37863039092537</v>
      </c>
      <c r="D48">
        <f t="shared" si="5"/>
        <v>107.9848970741657</v>
      </c>
      <c r="E48">
        <v>48</v>
      </c>
      <c r="G48">
        <f t="shared" si="6"/>
        <v>125.8644256084861</v>
      </c>
      <c r="H48">
        <f t="shared" si="7"/>
        <v>146.19532991193768</v>
      </c>
    </row>
    <row r="49" spans="1:8" x14ac:dyDescent="0.35">
      <c r="A49">
        <v>49</v>
      </c>
      <c r="C49">
        <f t="shared" si="4"/>
        <v>129.99547552670259</v>
      </c>
      <c r="D49">
        <f t="shared" si="5"/>
        <v>109.5575899898179</v>
      </c>
      <c r="E49">
        <v>49</v>
      </c>
      <c r="G49">
        <f t="shared" si="6"/>
        <v>127.59555277982875</v>
      </c>
      <c r="H49">
        <f t="shared" si="7"/>
        <v>147.96895430401128</v>
      </c>
    </row>
    <row r="50" spans="1:8" x14ac:dyDescent="0.35">
      <c r="A50">
        <v>50</v>
      </c>
      <c r="C50">
        <f t="shared" si="4"/>
        <v>131.61232066247979</v>
      </c>
      <c r="D50">
        <f t="shared" si="5"/>
        <v>111.12737142353529</v>
      </c>
      <c r="E50">
        <v>50</v>
      </c>
      <c r="G50">
        <f t="shared" si="6"/>
        <v>129.32667995117137</v>
      </c>
      <c r="H50">
        <f t="shared" si="7"/>
        <v>149.74594807490695</v>
      </c>
    </row>
    <row r="51" spans="1:8" x14ac:dyDescent="0.35">
      <c r="A51">
        <v>51</v>
      </c>
      <c r="C51">
        <f t="shared" si="4"/>
        <v>133.22916579825699</v>
      </c>
      <c r="D51">
        <f t="shared" si="5"/>
        <v>112.69426139368014</v>
      </c>
      <c r="E51">
        <v>51</v>
      </c>
      <c r="G51">
        <f t="shared" si="6"/>
        <v>131.05780712251399</v>
      </c>
      <c r="H51">
        <f t="shared" si="7"/>
        <v>151.52628857391693</v>
      </c>
    </row>
    <row r="52" spans="1:8" x14ac:dyDescent="0.35">
      <c r="A52">
        <v>52</v>
      </c>
      <c r="C52">
        <f t="shared" si="4"/>
        <v>134.84601093403421</v>
      </c>
      <c r="D52">
        <f t="shared" si="5"/>
        <v>114.25828094824578</v>
      </c>
      <c r="E52">
        <v>52</v>
      </c>
      <c r="G52">
        <f t="shared" si="6"/>
        <v>132.78893429385664</v>
      </c>
      <c r="H52">
        <f t="shared" si="7"/>
        <v>153.30995172277164</v>
      </c>
    </row>
    <row r="53" spans="1:8" x14ac:dyDescent="0.35">
      <c r="A53">
        <v>53</v>
      </c>
      <c r="C53">
        <f t="shared" si="4"/>
        <v>136.46285606981141</v>
      </c>
      <c r="D53">
        <f t="shared" si="5"/>
        <v>115.81945212302978</v>
      </c>
      <c r="E53">
        <v>53</v>
      </c>
      <c r="G53">
        <f t="shared" si="6"/>
        <v>134.52006146519926</v>
      </c>
      <c r="H53">
        <f t="shared" si="7"/>
        <v>155.09691207172364</v>
      </c>
    </row>
    <row r="54" spans="1:8" x14ac:dyDescent="0.35">
      <c r="A54">
        <v>54</v>
      </c>
      <c r="C54">
        <f t="shared" si="4"/>
        <v>138.07970120558863</v>
      </c>
      <c r="D54">
        <f t="shared" si="5"/>
        <v>117.37779789859989</v>
      </c>
      <c r="E54">
        <v>54</v>
      </c>
      <c r="G54">
        <f t="shared" si="6"/>
        <v>136.25118863654188</v>
      </c>
      <c r="H54">
        <f t="shared" si="7"/>
        <v>156.88714285781776</v>
      </c>
    </row>
    <row r="55" spans="1:8" x14ac:dyDescent="0.35">
      <c r="A55">
        <v>55</v>
      </c>
      <c r="C55">
        <f t="shared" si="4"/>
        <v>139.69654634136583</v>
      </c>
      <c r="D55">
        <f t="shared" si="5"/>
        <v>118.93334215623418</v>
      </c>
      <c r="E55">
        <v>55</v>
      </c>
      <c r="G55">
        <f t="shared" si="6"/>
        <v>137.98231580788453</v>
      </c>
      <c r="H55">
        <f t="shared" si="7"/>
        <v>158.68061606505418</v>
      </c>
    </row>
    <row r="56" spans="1:8" x14ac:dyDescent="0.35">
      <c r="A56">
        <v>56</v>
      </c>
      <c r="C56">
        <f t="shared" si="4"/>
        <v>141.31339147714306</v>
      </c>
      <c r="D56">
        <f t="shared" si="5"/>
        <v>120.48610963301681</v>
      </c>
      <c r="E56">
        <v>56</v>
      </c>
      <c r="G56">
        <f t="shared" si="6"/>
        <v>139.71344297922715</v>
      </c>
      <c r="H56">
        <f t="shared" si="7"/>
        <v>160.47730248615136</v>
      </c>
    </row>
    <row r="57" spans="1:8" x14ac:dyDescent="0.35">
      <c r="A57">
        <v>57</v>
      </c>
      <c r="C57">
        <f t="shared" si="4"/>
        <v>142.93023661292025</v>
      </c>
      <c r="D57">
        <f t="shared" si="5"/>
        <v>122.03612587626728</v>
      </c>
      <c r="E57">
        <v>57</v>
      </c>
      <c r="G57">
        <f t="shared" si="6"/>
        <v>141.44457015056977</v>
      </c>
      <c r="H57">
        <f t="shared" si="7"/>
        <v>162.27717178561784</v>
      </c>
    </row>
    <row r="58" spans="1:8" x14ac:dyDescent="0.35">
      <c r="A58">
        <v>58</v>
      </c>
      <c r="C58">
        <f t="shared" si="4"/>
        <v>144.54708174869748</v>
      </c>
      <c r="D58">
        <f t="shared" si="5"/>
        <v>123.58341719747911</v>
      </c>
      <c r="E58">
        <v>58</v>
      </c>
      <c r="G58">
        <f t="shared" si="6"/>
        <v>143.17569732191242</v>
      </c>
      <c r="H58">
        <f t="shared" si="7"/>
        <v>164.0801925638433</v>
      </c>
    </row>
    <row r="59" spans="1:8" x14ac:dyDescent="0.35">
      <c r="A59">
        <v>59</v>
      </c>
      <c r="C59">
        <f t="shared" si="4"/>
        <v>146.16392688447468</v>
      </c>
      <c r="D59">
        <f t="shared" si="5"/>
        <v>125.1280106259385</v>
      </c>
      <c r="E59">
        <v>59</v>
      </c>
      <c r="G59">
        <f t="shared" si="6"/>
        <v>144.90682449325504</v>
      </c>
      <c r="H59">
        <f t="shared" si="7"/>
        <v>165.88633242192671</v>
      </c>
    </row>
    <row r="60" spans="1:8" x14ac:dyDescent="0.35">
      <c r="A60">
        <v>60</v>
      </c>
      <c r="C60">
        <f t="shared" si="4"/>
        <v>147.78077202025187</v>
      </c>
      <c r="D60">
        <f t="shared" si="5"/>
        <v>126.66993386218888</v>
      </c>
      <c r="E60">
        <v>60</v>
      </c>
      <c r="G60">
        <f t="shared" si="6"/>
        <v>146.63795166459767</v>
      </c>
      <c r="H60">
        <f t="shared" si="7"/>
        <v>167.69555802696627</v>
      </c>
    </row>
    <row r="61" spans="1:8" x14ac:dyDescent="0.35">
      <c r="A61">
        <v>61</v>
      </c>
      <c r="C61">
        <f t="shared" si="4"/>
        <v>149.3976171560291</v>
      </c>
      <c r="D61">
        <f t="shared" si="5"/>
        <v>128.20921523150076</v>
      </c>
      <c r="E61">
        <v>61</v>
      </c>
      <c r="G61">
        <f t="shared" si="6"/>
        <v>148.36907883594029</v>
      </c>
      <c r="H61">
        <f t="shared" si="7"/>
        <v>169.50783517754468</v>
      </c>
    </row>
    <row r="62" spans="1:8" x14ac:dyDescent="0.35">
      <c r="A62">
        <v>62</v>
      </c>
      <c r="C62">
        <f t="shared" si="4"/>
        <v>151.0144622918063</v>
      </c>
      <c r="D62">
        <f t="shared" si="5"/>
        <v>129.74588363749967</v>
      </c>
      <c r="E62">
        <v>62</v>
      </c>
      <c r="G62">
        <f t="shared" si="6"/>
        <v>150.10020600728294</v>
      </c>
      <c r="H62">
        <f t="shared" si="7"/>
        <v>171.3231288691546</v>
      </c>
    </row>
    <row r="63" spans="1:8" x14ac:dyDescent="0.35">
      <c r="A63">
        <v>63</v>
      </c>
      <c r="C63">
        <f t="shared" si="4"/>
        <v>152.63130742758352</v>
      </c>
      <c r="D63">
        <f t="shared" si="5"/>
        <v>131.27996851609734</v>
      </c>
      <c r="E63">
        <v>63</v>
      </c>
      <c r="G63">
        <f t="shared" si="6"/>
        <v>151.83133317862556</v>
      </c>
      <c r="H63">
        <f t="shared" si="7"/>
        <v>173.14140335932117</v>
      </c>
    </row>
    <row r="64" spans="1:8" x14ac:dyDescent="0.35">
      <c r="A64">
        <v>64</v>
      </c>
      <c r="C64">
        <f t="shared" si="4"/>
        <v>154.24815256336072</v>
      </c>
      <c r="D64">
        <f t="shared" si="5"/>
        <v>132.81149978986303</v>
      </c>
      <c r="E64">
        <v>64</v>
      </c>
      <c r="G64">
        <f t="shared" si="6"/>
        <v>153.56246034996818</v>
      </c>
      <c r="H64">
        <f t="shared" si="7"/>
        <v>174.96262223219173</v>
      </c>
    </row>
    <row r="65" spans="1:8" x14ac:dyDescent="0.35">
      <c r="A65">
        <v>65</v>
      </c>
      <c r="C65">
        <f t="shared" ref="C65:C70" si="8">52.3869090093965+(A65-1)*1.61684513577721</f>
        <v>155.86499769913794</v>
      </c>
      <c r="D65">
        <f t="shared" ref="D65:D70" si="9">0+1*C65-19.9414614489136*(1.01492537313433+(C65-105.522388059701)^2/16879.6563492086)^0.5</f>
        <v>134.34050782296404</v>
      </c>
      <c r="E65">
        <v>65</v>
      </c>
      <c r="G65">
        <f t="shared" ref="G65:G70" si="10">44.5014485553825+(E65-1)*1.73112717134263</f>
        <v>155.29358752131083</v>
      </c>
      <c r="H65">
        <f t="shared" ref="H65:H70" si="11">0+1*G65+19.9414614489136*(1.01492537313433+(G65-105.522388059701)^2/16879.6563492086)^0.5</f>
        <v>176.78674846237666</v>
      </c>
    </row>
    <row r="66" spans="1:8" x14ac:dyDescent="0.35">
      <c r="A66">
        <v>66</v>
      </c>
      <c r="C66">
        <f t="shared" si="8"/>
        <v>157.48184283491514</v>
      </c>
      <c r="D66">
        <f t="shared" si="9"/>
        <v>135.86702337679418</v>
      </c>
      <c r="E66">
        <v>66</v>
      </c>
      <c r="G66">
        <f t="shared" si="10"/>
        <v>157.02471469265345</v>
      </c>
      <c r="H66">
        <f t="shared" si="11"/>
        <v>178.61374447784121</v>
      </c>
    </row>
    <row r="67" spans="1:8" x14ac:dyDescent="0.35">
      <c r="A67">
        <v>67</v>
      </c>
      <c r="C67">
        <f t="shared" si="8"/>
        <v>159.09868797069237</v>
      </c>
      <c r="D67">
        <f t="shared" si="9"/>
        <v>137.39107756640186</v>
      </c>
      <c r="E67">
        <v>67</v>
      </c>
      <c r="G67">
        <f t="shared" si="10"/>
        <v>158.75584186399607</v>
      </c>
      <c r="H67">
        <f t="shared" si="11"/>
        <v>180.44357222166315</v>
      </c>
    </row>
    <row r="68" spans="1:8" x14ac:dyDescent="0.35">
      <c r="A68">
        <v>68</v>
      </c>
      <c r="C68">
        <f t="shared" si="8"/>
        <v>160.71553310646956</v>
      </c>
      <c r="D68">
        <f t="shared" si="9"/>
        <v>138.91270181781803</v>
      </c>
      <c r="E68">
        <v>68</v>
      </c>
      <c r="G68">
        <f t="shared" si="10"/>
        <v>160.48696903533872</v>
      </c>
      <c r="H68">
        <f t="shared" si="11"/>
        <v>182.27619321248662</v>
      </c>
    </row>
    <row r="69" spans="1:8" x14ac:dyDescent="0.35">
      <c r="A69">
        <v>69</v>
      </c>
      <c r="C69">
        <f t="shared" si="8"/>
        <v>162.33237824224679</v>
      </c>
      <c r="D69">
        <f t="shared" si="9"/>
        <v>140.43192782637658</v>
      </c>
      <c r="E69">
        <v>69</v>
      </c>
      <c r="G69">
        <f t="shared" si="10"/>
        <v>162.21809620668134</v>
      </c>
      <c r="H69">
        <f t="shared" si="11"/>
        <v>184.11156860351969</v>
      </c>
    </row>
    <row r="70" spans="1:8" x14ac:dyDescent="0.35">
      <c r="A70">
        <v>70</v>
      </c>
      <c r="C70">
        <f t="shared" si="8"/>
        <v>163.94922337802399</v>
      </c>
      <c r="D70">
        <f t="shared" si="9"/>
        <v>141.94878751610932</v>
      </c>
      <c r="E70">
        <v>70</v>
      </c>
      <c r="G70">
        <f t="shared" si="10"/>
        <v>163.94922337802396</v>
      </c>
      <c r="H70">
        <f t="shared" si="11"/>
        <v>185.94965923993863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9966-41AF-432D-A908-EA028C719026}">
  <sheetPr codeName="Sheet4"/>
  <dimension ref="A1:XX1000"/>
  <sheetViews>
    <sheetView zoomScaleNormal="100" workbookViewId="0">
      <selection activeCell="H9" sqref="H9"/>
    </sheetView>
  </sheetViews>
  <sheetFormatPr defaultColWidth="8.83203125" defaultRowHeight="15.5" x14ac:dyDescent="0.35"/>
  <cols>
    <col min="1" max="1" width="10.6640625" style="2" customWidth="1"/>
    <col min="2" max="5" width="15.6640625" style="2" customWidth="1"/>
    <col min="6" max="6" width="8.83203125" style="2"/>
    <col min="7" max="7" width="65.6640625" style="2" customWidth="1"/>
    <col min="8" max="8" width="15.6640625" style="2" customWidth="1"/>
    <col min="9" max="16384" width="8.83203125" style="2"/>
  </cols>
  <sheetData>
    <row r="1" spans="1:8" s="12" customFormat="1" ht="46" thickBot="1" x14ac:dyDescent="0.4">
      <c r="A1" s="1" t="s">
        <v>21</v>
      </c>
      <c r="B1" s="14" t="s">
        <v>17</v>
      </c>
      <c r="C1" s="13" t="s">
        <v>18</v>
      </c>
      <c r="D1" s="13" t="s">
        <v>19</v>
      </c>
      <c r="E1" s="13" t="s">
        <v>20</v>
      </c>
    </row>
    <row r="2" spans="1:8" ht="16" thickBot="1" x14ac:dyDescent="0.4">
      <c r="A2" s="2">
        <v>80</v>
      </c>
      <c r="B2" s="10">
        <v>23400</v>
      </c>
      <c r="C2" s="10">
        <v>11250</v>
      </c>
      <c r="D2" s="11">
        <v>0</v>
      </c>
      <c r="E2" s="11">
        <v>12</v>
      </c>
      <c r="G2" s="41" t="s">
        <v>80</v>
      </c>
    </row>
    <row r="3" spans="1:8" ht="16" thickBot="1" x14ac:dyDescent="0.4">
      <c r="A3" s="2">
        <v>926</v>
      </c>
      <c r="B3" s="10">
        <v>33540</v>
      </c>
      <c r="C3" s="10">
        <v>15750</v>
      </c>
      <c r="D3" s="11">
        <v>47</v>
      </c>
      <c r="E3" s="11">
        <v>12</v>
      </c>
      <c r="G3" s="42" t="s">
        <v>84</v>
      </c>
      <c r="H3" s="93" t="s">
        <v>76</v>
      </c>
    </row>
    <row r="4" spans="1:8" ht="18" thickBot="1" x14ac:dyDescent="0.4">
      <c r="A4" s="2">
        <v>3630</v>
      </c>
      <c r="B4" s="10">
        <v>26550</v>
      </c>
      <c r="C4" s="10">
        <v>13050</v>
      </c>
      <c r="D4" s="11">
        <v>11</v>
      </c>
      <c r="E4" s="11">
        <v>12</v>
      </c>
      <c r="G4" s="43" t="s">
        <v>79</v>
      </c>
      <c r="H4" s="44" t="s">
        <v>210</v>
      </c>
    </row>
    <row r="5" spans="1:8" ht="18" thickBot="1" x14ac:dyDescent="0.4">
      <c r="A5" s="2">
        <v>4710</v>
      </c>
      <c r="B5" s="10">
        <v>30900</v>
      </c>
      <c r="C5" s="10">
        <v>15000</v>
      </c>
      <c r="D5" s="11">
        <v>25</v>
      </c>
      <c r="E5" s="11">
        <v>15</v>
      </c>
      <c r="G5" s="45" t="s">
        <v>82</v>
      </c>
      <c r="H5" s="46">
        <v>1</v>
      </c>
    </row>
    <row r="6" spans="1:8" x14ac:dyDescent="0.35">
      <c r="A6" s="2">
        <v>4997</v>
      </c>
      <c r="B6" s="10">
        <v>23100</v>
      </c>
      <c r="C6" s="10">
        <v>11250</v>
      </c>
      <c r="D6" s="11">
        <v>13</v>
      </c>
      <c r="E6" s="11">
        <v>12</v>
      </c>
      <c r="G6"/>
      <c r="H6"/>
    </row>
    <row r="7" spans="1:8" ht="16" thickBot="1" x14ac:dyDescent="0.4">
      <c r="A7" s="2">
        <v>5235</v>
      </c>
      <c r="B7" s="10">
        <v>30750</v>
      </c>
      <c r="C7" s="10">
        <v>15000</v>
      </c>
      <c r="D7" s="11">
        <v>451</v>
      </c>
      <c r="E7" s="11">
        <v>8</v>
      </c>
      <c r="G7"/>
      <c r="H7"/>
    </row>
    <row r="8" spans="1:8" ht="16" thickBot="1" x14ac:dyDescent="0.4">
      <c r="A8" s="2">
        <v>6752</v>
      </c>
      <c r="B8" s="10">
        <v>24150</v>
      </c>
      <c r="C8" s="10">
        <v>12750</v>
      </c>
      <c r="D8" s="11">
        <v>96</v>
      </c>
      <c r="E8" s="11">
        <v>8</v>
      </c>
      <c r="G8" s="41" t="s">
        <v>81</v>
      </c>
    </row>
    <row r="9" spans="1:8" ht="16" thickBot="1" x14ac:dyDescent="0.4">
      <c r="A9" s="2">
        <v>7174</v>
      </c>
      <c r="B9" s="10">
        <v>61250</v>
      </c>
      <c r="C9" s="10">
        <v>33000</v>
      </c>
      <c r="D9" s="11">
        <v>9</v>
      </c>
      <c r="E9" s="11">
        <v>19</v>
      </c>
      <c r="G9" s="42" t="s">
        <v>84</v>
      </c>
      <c r="H9" s="93" t="s">
        <v>76</v>
      </c>
    </row>
    <row r="10" spans="1:8" ht="18" thickBot="1" x14ac:dyDescent="0.4">
      <c r="A10" s="2">
        <v>8280</v>
      </c>
      <c r="B10" s="10">
        <v>42300</v>
      </c>
      <c r="C10" s="10">
        <v>26250</v>
      </c>
      <c r="D10" s="11">
        <v>126</v>
      </c>
      <c r="E10" s="11">
        <v>16</v>
      </c>
      <c r="G10" s="43" t="s">
        <v>79</v>
      </c>
      <c r="H10" s="44" t="s">
        <v>210</v>
      </c>
    </row>
    <row r="11" spans="1:8" ht="18" thickBot="1" x14ac:dyDescent="0.4">
      <c r="A11" s="2">
        <v>8673</v>
      </c>
      <c r="B11" s="10">
        <v>24900</v>
      </c>
      <c r="C11" s="10">
        <v>11250</v>
      </c>
      <c r="D11" s="11">
        <v>0</v>
      </c>
      <c r="E11" s="11">
        <v>12</v>
      </c>
      <c r="G11" s="45" t="s">
        <v>83</v>
      </c>
      <c r="H11" s="46">
        <v>2</v>
      </c>
    </row>
    <row r="12" spans="1:8" x14ac:dyDescent="0.35">
      <c r="A12" s="2">
        <v>10286</v>
      </c>
      <c r="B12" s="10">
        <v>34500</v>
      </c>
      <c r="C12" s="10">
        <v>17250</v>
      </c>
      <c r="D12" s="11">
        <v>3</v>
      </c>
      <c r="E12" s="11">
        <v>16</v>
      </c>
    </row>
    <row r="13" spans="1:8" x14ac:dyDescent="0.35">
      <c r="A13" s="2">
        <v>11395</v>
      </c>
      <c r="B13" s="10">
        <v>46000</v>
      </c>
      <c r="C13" s="10">
        <v>14250</v>
      </c>
      <c r="D13" s="11">
        <v>48</v>
      </c>
      <c r="E13" s="11">
        <v>15</v>
      </c>
    </row>
    <row r="14" spans="1:8" x14ac:dyDescent="0.35">
      <c r="A14" s="2">
        <v>11679</v>
      </c>
      <c r="B14" s="10">
        <v>30270</v>
      </c>
      <c r="C14" s="10">
        <v>15750</v>
      </c>
      <c r="D14" s="11">
        <v>80</v>
      </c>
      <c r="E14" s="11">
        <v>12</v>
      </c>
    </row>
    <row r="15" spans="1:8" x14ac:dyDescent="0.35">
      <c r="A15" s="2">
        <v>11956</v>
      </c>
      <c r="B15" s="10">
        <v>40350</v>
      </c>
      <c r="C15" s="10">
        <v>16500</v>
      </c>
      <c r="D15" s="11">
        <v>80</v>
      </c>
      <c r="E15" s="11">
        <v>15</v>
      </c>
    </row>
    <row r="16" spans="1:8" x14ac:dyDescent="0.35">
      <c r="A16" s="2">
        <v>13931</v>
      </c>
      <c r="B16" s="10">
        <v>45000</v>
      </c>
      <c r="C16" s="10">
        <v>21000</v>
      </c>
      <c r="D16" s="11">
        <v>138</v>
      </c>
      <c r="E16" s="11">
        <v>15</v>
      </c>
    </row>
    <row r="17" spans="1:9" x14ac:dyDescent="0.35">
      <c r="A17" s="2">
        <v>15754</v>
      </c>
      <c r="B17" s="10">
        <v>27900</v>
      </c>
      <c r="C17" s="10">
        <v>13500</v>
      </c>
      <c r="D17" s="11">
        <v>32</v>
      </c>
      <c r="E17" s="11">
        <v>12</v>
      </c>
    </row>
    <row r="18" spans="1:9" x14ac:dyDescent="0.35">
      <c r="A18" s="2">
        <v>16643</v>
      </c>
      <c r="B18" s="10">
        <v>56750</v>
      </c>
      <c r="C18" s="10">
        <v>30000</v>
      </c>
      <c r="D18" s="11">
        <v>15</v>
      </c>
      <c r="E18" s="11">
        <v>16</v>
      </c>
    </row>
    <row r="19" spans="1:9" x14ac:dyDescent="0.35">
      <c r="A19" s="2">
        <v>18216</v>
      </c>
      <c r="B19" s="10">
        <v>29400</v>
      </c>
      <c r="C19" s="10">
        <v>16500</v>
      </c>
      <c r="D19" s="11">
        <v>24</v>
      </c>
      <c r="E19" s="11">
        <v>15</v>
      </c>
    </row>
    <row r="20" spans="1:9" x14ac:dyDescent="0.35">
      <c r="A20" s="2">
        <v>18740</v>
      </c>
      <c r="B20" s="10">
        <v>32100</v>
      </c>
      <c r="C20" s="10">
        <v>13500</v>
      </c>
      <c r="D20" s="11">
        <v>67</v>
      </c>
      <c r="E20" s="11">
        <v>15</v>
      </c>
      <c r="G20" s="6" t="s">
        <v>77</v>
      </c>
      <c r="H20" s="6"/>
      <c r="I20" s="6"/>
    </row>
    <row r="21" spans="1:9" x14ac:dyDescent="0.35">
      <c r="A21" s="2">
        <v>19186</v>
      </c>
      <c r="B21" s="10">
        <v>21900</v>
      </c>
      <c r="C21" s="10">
        <v>13200</v>
      </c>
      <c r="D21" s="11">
        <v>190</v>
      </c>
      <c r="E21" s="11">
        <v>8</v>
      </c>
      <c r="G21"/>
      <c r="H21" s="20" t="s">
        <v>76</v>
      </c>
      <c r="I21"/>
    </row>
    <row r="22" spans="1:9" x14ac:dyDescent="0.35">
      <c r="A22" s="2">
        <v>20541</v>
      </c>
      <c r="B22" s="10">
        <v>32400</v>
      </c>
      <c r="C22" s="10">
        <v>15000</v>
      </c>
      <c r="D22" s="11">
        <v>64</v>
      </c>
      <c r="E22" s="11">
        <v>15</v>
      </c>
      <c r="G22"/>
      <c r="H22" s="34" t="s">
        <v>74</v>
      </c>
      <c r="I22"/>
    </row>
    <row r="23" spans="1:9" x14ac:dyDescent="0.35">
      <c r="A23" s="2">
        <v>22514</v>
      </c>
      <c r="B23" s="10">
        <v>45625</v>
      </c>
      <c r="C23" s="10">
        <v>23250</v>
      </c>
      <c r="D23" s="11">
        <v>60</v>
      </c>
      <c r="E23" s="11">
        <v>16</v>
      </c>
      <c r="G23"/>
      <c r="H23" s="38" t="s">
        <v>71</v>
      </c>
      <c r="I23"/>
    </row>
    <row r="24" spans="1:9" x14ac:dyDescent="0.35">
      <c r="A24" s="2">
        <v>22773</v>
      </c>
      <c r="B24" s="10">
        <v>103500</v>
      </c>
      <c r="C24" s="10">
        <v>60000</v>
      </c>
      <c r="D24" s="11">
        <v>150</v>
      </c>
      <c r="E24" s="11">
        <v>16</v>
      </c>
      <c r="G24"/>
      <c r="H24"/>
      <c r="I24"/>
    </row>
    <row r="25" spans="1:9" x14ac:dyDescent="0.35">
      <c r="A25" s="2">
        <v>22903</v>
      </c>
      <c r="B25" s="10">
        <v>19650</v>
      </c>
      <c r="C25" s="10">
        <v>11250</v>
      </c>
      <c r="D25" s="11">
        <v>5</v>
      </c>
      <c r="E25" s="11">
        <v>12</v>
      </c>
      <c r="G25" s="6" t="s">
        <v>78</v>
      </c>
      <c r="H25"/>
      <c r="I25"/>
    </row>
    <row r="26" spans="1:9" x14ac:dyDescent="0.35">
      <c r="A26" s="2">
        <v>22927</v>
      </c>
      <c r="B26" s="10">
        <v>21300</v>
      </c>
      <c r="C26" s="10">
        <v>11250</v>
      </c>
      <c r="D26" s="11">
        <v>3</v>
      </c>
      <c r="E26" s="11">
        <v>12</v>
      </c>
      <c r="G26"/>
      <c r="H26" s="38" t="s">
        <v>72</v>
      </c>
      <c r="I26"/>
    </row>
    <row r="27" spans="1:9" x14ac:dyDescent="0.35">
      <c r="A27" s="2">
        <v>23206</v>
      </c>
      <c r="B27" s="10">
        <v>103750</v>
      </c>
      <c r="C27" s="10">
        <v>27510</v>
      </c>
      <c r="D27" s="11">
        <v>70</v>
      </c>
      <c r="E27" s="11">
        <v>16</v>
      </c>
      <c r="G27"/>
      <c r="H27" s="20" t="s">
        <v>73</v>
      </c>
      <c r="I27" s="19"/>
    </row>
    <row r="28" spans="1:9" x14ac:dyDescent="0.35">
      <c r="A28" s="2">
        <v>23274</v>
      </c>
      <c r="B28" s="10">
        <v>29100</v>
      </c>
      <c r="C28" s="10">
        <v>12750</v>
      </c>
      <c r="D28" s="11">
        <v>375</v>
      </c>
      <c r="E28" s="11">
        <v>17</v>
      </c>
    </row>
    <row r="29" spans="1:9" x14ac:dyDescent="0.35">
      <c r="A29" s="2">
        <v>23854</v>
      </c>
      <c r="B29" s="10">
        <v>59400</v>
      </c>
      <c r="C29" s="10">
        <v>33750</v>
      </c>
      <c r="D29" s="11">
        <v>272</v>
      </c>
      <c r="E29" s="11">
        <v>12</v>
      </c>
    </row>
    <row r="30" spans="1:9" x14ac:dyDescent="0.35">
      <c r="A30" s="2">
        <v>24181</v>
      </c>
      <c r="B30" s="10">
        <v>19650</v>
      </c>
      <c r="C30" s="10">
        <v>13950</v>
      </c>
      <c r="D30" s="11">
        <v>133</v>
      </c>
      <c r="E30" s="11">
        <v>12</v>
      </c>
    </row>
    <row r="31" spans="1:9" x14ac:dyDescent="0.35">
      <c r="A31" s="2">
        <v>24737</v>
      </c>
      <c r="B31" s="10">
        <v>31200</v>
      </c>
      <c r="C31" s="10">
        <v>15750</v>
      </c>
      <c r="D31" s="11">
        <v>155</v>
      </c>
      <c r="E31" s="11">
        <v>12</v>
      </c>
    </row>
    <row r="32" spans="1:9" x14ac:dyDescent="0.35">
      <c r="A32" s="2">
        <v>25295</v>
      </c>
      <c r="B32" s="10">
        <v>35100</v>
      </c>
      <c r="C32" s="10">
        <v>16800</v>
      </c>
      <c r="D32" s="11">
        <v>137</v>
      </c>
      <c r="E32" s="11">
        <v>15</v>
      </c>
    </row>
    <row r="33" spans="1:5" x14ac:dyDescent="0.35">
      <c r="A33" s="2">
        <v>26569</v>
      </c>
      <c r="B33" s="10">
        <v>24450</v>
      </c>
      <c r="C33" s="10">
        <v>14250</v>
      </c>
      <c r="D33" s="11">
        <v>117</v>
      </c>
      <c r="E33" s="11">
        <v>12</v>
      </c>
    </row>
    <row r="34" spans="1:5" x14ac:dyDescent="0.35">
      <c r="A34" s="2">
        <v>27457</v>
      </c>
      <c r="B34" s="10">
        <v>40800</v>
      </c>
      <c r="C34" s="10">
        <v>15000</v>
      </c>
      <c r="D34" s="11">
        <v>24</v>
      </c>
      <c r="E34" s="11">
        <v>12</v>
      </c>
    </row>
    <row r="35" spans="1:5" x14ac:dyDescent="0.35">
      <c r="A35" s="2">
        <v>28854</v>
      </c>
      <c r="B35" s="10">
        <v>25500</v>
      </c>
      <c r="C35" s="10">
        <v>12000</v>
      </c>
      <c r="D35" s="11">
        <v>11</v>
      </c>
      <c r="E35" s="11">
        <v>12</v>
      </c>
    </row>
    <row r="36" spans="1:5" x14ac:dyDescent="0.35">
      <c r="A36" s="2">
        <v>29768</v>
      </c>
      <c r="B36" s="10">
        <v>28200</v>
      </c>
      <c r="C36" s="10">
        <v>12750</v>
      </c>
      <c r="D36" s="11">
        <v>19</v>
      </c>
      <c r="E36" s="11">
        <v>15</v>
      </c>
    </row>
    <row r="37" spans="1:5" x14ac:dyDescent="0.35">
      <c r="A37" s="2">
        <v>29895</v>
      </c>
      <c r="B37" s="10">
        <v>34950</v>
      </c>
      <c r="C37" s="10">
        <v>20250</v>
      </c>
      <c r="D37" s="11">
        <v>55</v>
      </c>
      <c r="E37" s="11">
        <v>16</v>
      </c>
    </row>
    <row r="38" spans="1:5" x14ac:dyDescent="0.35">
      <c r="A38" s="2">
        <v>32134</v>
      </c>
      <c r="B38" s="10">
        <v>28050</v>
      </c>
      <c r="C38" s="10">
        <v>16500</v>
      </c>
      <c r="D38" s="11">
        <v>84</v>
      </c>
      <c r="E38" s="11">
        <v>15</v>
      </c>
    </row>
    <row r="39" spans="1:5" x14ac:dyDescent="0.35">
      <c r="A39" s="2">
        <v>32194</v>
      </c>
      <c r="B39" s="10">
        <v>20850</v>
      </c>
      <c r="C39" s="10">
        <v>12000</v>
      </c>
      <c r="D39" s="11">
        <v>163</v>
      </c>
      <c r="E39" s="11">
        <v>12</v>
      </c>
    </row>
    <row r="40" spans="1:5" x14ac:dyDescent="0.35">
      <c r="A40" s="2">
        <v>32719</v>
      </c>
      <c r="B40" s="10">
        <v>25200</v>
      </c>
      <c r="C40" s="10">
        <v>18750</v>
      </c>
      <c r="D40" s="11">
        <v>344</v>
      </c>
      <c r="E40" s="11">
        <v>8</v>
      </c>
    </row>
    <row r="41" spans="1:5" x14ac:dyDescent="0.35">
      <c r="A41" s="2">
        <v>32952</v>
      </c>
      <c r="B41" s="10">
        <v>30600</v>
      </c>
      <c r="C41" s="10">
        <v>15750</v>
      </c>
      <c r="D41" s="11">
        <v>460</v>
      </c>
      <c r="E41" s="11">
        <v>12</v>
      </c>
    </row>
    <row r="42" spans="1:5" x14ac:dyDescent="0.35">
      <c r="A42" s="2">
        <v>33801</v>
      </c>
      <c r="B42" s="10">
        <v>19950</v>
      </c>
      <c r="C42" s="10">
        <v>11250</v>
      </c>
      <c r="D42" s="11">
        <v>8</v>
      </c>
      <c r="E42" s="11">
        <v>12</v>
      </c>
    </row>
    <row r="43" spans="1:5" x14ac:dyDescent="0.35">
      <c r="A43" s="2">
        <v>35854</v>
      </c>
      <c r="B43" s="10">
        <v>20700</v>
      </c>
      <c r="C43" s="10">
        <v>11250</v>
      </c>
      <c r="D43" s="11">
        <v>2</v>
      </c>
      <c r="E43" s="11">
        <v>12</v>
      </c>
    </row>
    <row r="44" spans="1:5" x14ac:dyDescent="0.35">
      <c r="A44" s="2">
        <v>36032</v>
      </c>
      <c r="B44" s="10">
        <v>26250</v>
      </c>
      <c r="C44" s="10">
        <v>16050</v>
      </c>
      <c r="D44" s="11">
        <v>264</v>
      </c>
      <c r="E44" s="11">
        <v>8</v>
      </c>
    </row>
    <row r="45" spans="1:5" x14ac:dyDescent="0.35">
      <c r="A45" s="2">
        <v>37144</v>
      </c>
      <c r="B45" s="10">
        <v>68125</v>
      </c>
      <c r="C45" s="10">
        <v>32490</v>
      </c>
      <c r="D45" s="11">
        <v>29</v>
      </c>
      <c r="E45" s="11">
        <v>18</v>
      </c>
    </row>
    <row r="46" spans="1:5" x14ac:dyDescent="0.35">
      <c r="A46" s="2">
        <v>37427</v>
      </c>
      <c r="B46" s="10">
        <v>21150</v>
      </c>
      <c r="C46" s="10">
        <v>12000</v>
      </c>
      <c r="D46" s="11">
        <v>159</v>
      </c>
      <c r="E46" s="11">
        <v>8</v>
      </c>
    </row>
    <row r="47" spans="1:5" x14ac:dyDescent="0.35">
      <c r="A47" s="2">
        <v>37830</v>
      </c>
      <c r="B47" s="10">
        <v>35700</v>
      </c>
      <c r="C47" s="10">
        <v>16500</v>
      </c>
      <c r="D47" s="11">
        <v>72</v>
      </c>
      <c r="E47" s="11">
        <v>12</v>
      </c>
    </row>
    <row r="48" spans="1:5" x14ac:dyDescent="0.35">
      <c r="A48" s="2">
        <v>38534</v>
      </c>
      <c r="B48" s="10">
        <v>21900</v>
      </c>
      <c r="C48" s="10">
        <v>9750</v>
      </c>
      <c r="D48" s="11">
        <v>0</v>
      </c>
      <c r="E48" s="11">
        <v>12</v>
      </c>
    </row>
    <row r="49" spans="1:5" x14ac:dyDescent="0.35">
      <c r="A49" s="2">
        <v>41379</v>
      </c>
      <c r="B49" s="10">
        <v>24000</v>
      </c>
      <c r="C49" s="10">
        <v>13500</v>
      </c>
      <c r="D49" s="11">
        <v>244</v>
      </c>
      <c r="E49" s="11">
        <v>12</v>
      </c>
    </row>
    <row r="50" spans="1:5" x14ac:dyDescent="0.35">
      <c r="A50" s="2">
        <v>46407</v>
      </c>
      <c r="B50" s="10">
        <v>60000</v>
      </c>
      <c r="C50" s="10">
        <v>32490</v>
      </c>
      <c r="D50" s="11">
        <v>17</v>
      </c>
      <c r="E50" s="11">
        <v>17</v>
      </c>
    </row>
    <row r="51" spans="1:5" x14ac:dyDescent="0.35">
      <c r="A51" s="2">
        <v>47758</v>
      </c>
      <c r="B51" s="10">
        <v>23700</v>
      </c>
      <c r="C51" s="10">
        <v>13500</v>
      </c>
      <c r="D51" s="11">
        <v>359</v>
      </c>
      <c r="E51" s="11">
        <v>15</v>
      </c>
    </row>
    <row r="52" spans="1:5" x14ac:dyDescent="0.35">
      <c r="A52" s="2">
        <v>48754</v>
      </c>
      <c r="B52" s="10">
        <v>26700</v>
      </c>
      <c r="C52" s="10">
        <v>12900</v>
      </c>
      <c r="D52" s="11">
        <v>18</v>
      </c>
      <c r="E52" s="11">
        <v>12</v>
      </c>
    </row>
    <row r="53" spans="1:5" x14ac:dyDescent="0.35">
      <c r="A53" s="2">
        <v>48887</v>
      </c>
      <c r="B53" s="10">
        <v>23100</v>
      </c>
      <c r="C53" s="10">
        <v>12000</v>
      </c>
      <c r="D53" s="11">
        <v>228</v>
      </c>
      <c r="E53" s="11">
        <v>12</v>
      </c>
    </row>
    <row r="54" spans="1:5" x14ac:dyDescent="0.35">
      <c r="A54" s="2">
        <v>49631</v>
      </c>
      <c r="B54" s="10">
        <v>25800</v>
      </c>
      <c r="C54" s="10">
        <v>15000</v>
      </c>
      <c r="D54" s="11">
        <v>143</v>
      </c>
      <c r="E54" s="11">
        <v>12</v>
      </c>
    </row>
    <row r="55" spans="1:5" x14ac:dyDescent="0.35">
      <c r="A55" s="2">
        <v>51080</v>
      </c>
      <c r="B55" s="10">
        <v>37650</v>
      </c>
      <c r="C55" s="10">
        <v>15750</v>
      </c>
      <c r="D55" s="11">
        <v>132</v>
      </c>
      <c r="E55" s="11">
        <v>12</v>
      </c>
    </row>
    <row r="56" spans="1:5" x14ac:dyDescent="0.35">
      <c r="A56" s="2">
        <v>52257</v>
      </c>
      <c r="B56" s="10">
        <v>22950</v>
      </c>
      <c r="C56" s="10">
        <v>13950</v>
      </c>
      <c r="D56" s="11">
        <v>22</v>
      </c>
      <c r="E56" s="11">
        <v>15</v>
      </c>
    </row>
    <row r="57" spans="1:5" x14ac:dyDescent="0.35">
      <c r="A57" s="2">
        <v>52822</v>
      </c>
      <c r="B57" s="10">
        <v>40200</v>
      </c>
      <c r="C57" s="10">
        <v>18750</v>
      </c>
      <c r="D57" s="11">
        <v>36</v>
      </c>
      <c r="E57" s="11">
        <v>16</v>
      </c>
    </row>
    <row r="58" spans="1:5" x14ac:dyDescent="0.35">
      <c r="A58" s="2">
        <v>53480</v>
      </c>
      <c r="B58" s="10">
        <v>29700</v>
      </c>
      <c r="C58" s="10">
        <v>13500</v>
      </c>
      <c r="D58" s="11">
        <v>26</v>
      </c>
      <c r="E58" s="11">
        <v>12</v>
      </c>
    </row>
    <row r="59" spans="1:5" x14ac:dyDescent="0.35">
      <c r="A59" s="2">
        <v>53814</v>
      </c>
      <c r="B59" s="10">
        <v>35250</v>
      </c>
      <c r="C59" s="10">
        <v>15000</v>
      </c>
      <c r="D59" s="11">
        <v>54</v>
      </c>
      <c r="E59" s="11">
        <v>15</v>
      </c>
    </row>
    <row r="60" spans="1:5" x14ac:dyDescent="0.35">
      <c r="A60" s="2">
        <v>55987</v>
      </c>
      <c r="B60" s="10">
        <v>21300</v>
      </c>
      <c r="C60" s="10">
        <v>11550</v>
      </c>
      <c r="D60" s="11">
        <v>24</v>
      </c>
      <c r="E60" s="11">
        <v>8</v>
      </c>
    </row>
    <row r="61" spans="1:5" x14ac:dyDescent="0.35">
      <c r="A61" s="2">
        <v>60127</v>
      </c>
      <c r="B61" s="10">
        <v>22350</v>
      </c>
      <c r="C61" s="10">
        <v>11250</v>
      </c>
      <c r="D61" s="11">
        <v>5</v>
      </c>
      <c r="E61" s="11">
        <v>12</v>
      </c>
    </row>
    <row r="62" spans="1:5" x14ac:dyDescent="0.35">
      <c r="A62" s="2">
        <v>60152</v>
      </c>
      <c r="B62" s="10">
        <v>25050</v>
      </c>
      <c r="C62" s="10">
        <v>12750</v>
      </c>
      <c r="D62" s="11">
        <v>123</v>
      </c>
      <c r="E62" s="11">
        <v>16</v>
      </c>
    </row>
    <row r="63" spans="1:5" x14ac:dyDescent="0.35">
      <c r="A63" s="2">
        <v>61215</v>
      </c>
      <c r="B63" s="10">
        <v>23400</v>
      </c>
      <c r="C63" s="10">
        <v>11250</v>
      </c>
      <c r="D63" s="11">
        <v>18</v>
      </c>
      <c r="E63" s="11">
        <v>12</v>
      </c>
    </row>
    <row r="64" spans="1:5" x14ac:dyDescent="0.35">
      <c r="A64" s="2">
        <v>61297</v>
      </c>
      <c r="B64" s="10">
        <v>20550</v>
      </c>
      <c r="C64" s="10">
        <v>11250</v>
      </c>
      <c r="D64" s="11">
        <v>154</v>
      </c>
      <c r="E64" s="11">
        <v>12</v>
      </c>
    </row>
    <row r="65" spans="1:5" x14ac:dyDescent="0.35">
      <c r="A65" s="2">
        <v>61411</v>
      </c>
      <c r="B65" s="10">
        <v>21750</v>
      </c>
      <c r="C65" s="10">
        <v>12450</v>
      </c>
      <c r="D65" s="11">
        <v>318</v>
      </c>
      <c r="E65" s="11">
        <v>8</v>
      </c>
    </row>
    <row r="66" spans="1:5" x14ac:dyDescent="0.35">
      <c r="A66" s="2">
        <v>61559</v>
      </c>
      <c r="B66" s="10">
        <v>27750</v>
      </c>
      <c r="C66" s="10">
        <v>12000</v>
      </c>
      <c r="D66" s="11">
        <v>11</v>
      </c>
      <c r="E66" s="11">
        <v>12</v>
      </c>
    </row>
    <row r="67" spans="1:5" x14ac:dyDescent="0.35">
      <c r="A67" s="2">
        <v>61594</v>
      </c>
      <c r="B67" s="10">
        <v>16350</v>
      </c>
      <c r="C67" s="10">
        <v>10200</v>
      </c>
      <c r="D67" s="11">
        <v>163</v>
      </c>
      <c r="E67" s="11">
        <v>12</v>
      </c>
    </row>
    <row r="68" spans="1:5" x14ac:dyDescent="0.35">
      <c r="A68" s="2">
        <v>63052</v>
      </c>
      <c r="B68" s="10">
        <v>24450</v>
      </c>
      <c r="C68" s="10">
        <v>15750</v>
      </c>
      <c r="D68" s="11">
        <v>87</v>
      </c>
      <c r="E68" s="11">
        <v>12</v>
      </c>
    </row>
    <row r="69" spans="1:5" x14ac:dyDescent="0.35">
      <c r="A69" s="2">
        <v>63137</v>
      </c>
      <c r="B69" s="10">
        <v>18150</v>
      </c>
      <c r="C69" s="10">
        <v>10950</v>
      </c>
      <c r="D69" s="11">
        <v>0</v>
      </c>
      <c r="E69" s="11">
        <v>12</v>
      </c>
    </row>
    <row r="70" spans="1:5" x14ac:dyDescent="0.35">
      <c r="A70" s="2">
        <v>64727</v>
      </c>
      <c r="B70" s="10">
        <v>30300</v>
      </c>
      <c r="C70" s="10">
        <v>15750</v>
      </c>
      <c r="D70" s="11">
        <v>55</v>
      </c>
      <c r="E70" s="11">
        <v>15</v>
      </c>
    </row>
    <row r="71" spans="1:5" x14ac:dyDescent="0.35">
      <c r="A71" s="2">
        <v>64972</v>
      </c>
      <c r="B71" s="10">
        <v>70000</v>
      </c>
      <c r="C71" s="10">
        <v>21750</v>
      </c>
      <c r="D71" s="11">
        <v>19</v>
      </c>
      <c r="E71" s="11">
        <v>16</v>
      </c>
    </row>
    <row r="72" spans="1:5" x14ac:dyDescent="0.35">
      <c r="A72" s="2">
        <v>70038</v>
      </c>
      <c r="B72" s="10">
        <v>21450</v>
      </c>
      <c r="C72" s="10">
        <v>12000</v>
      </c>
      <c r="D72" s="11">
        <v>381</v>
      </c>
      <c r="E72" s="11">
        <v>12</v>
      </c>
    </row>
    <row r="73" spans="1:5" x14ac:dyDescent="0.35">
      <c r="A73" s="2">
        <v>73328</v>
      </c>
      <c r="B73" s="10">
        <v>19650</v>
      </c>
      <c r="C73" s="10">
        <v>10950</v>
      </c>
      <c r="D73" s="11">
        <v>11</v>
      </c>
      <c r="E73" s="11">
        <v>12</v>
      </c>
    </row>
    <row r="74" spans="1:5" x14ac:dyDescent="0.35">
      <c r="A74" s="2">
        <v>73388</v>
      </c>
      <c r="B74" s="10">
        <v>26550</v>
      </c>
      <c r="C74" s="10">
        <v>14250</v>
      </c>
      <c r="D74" s="11">
        <v>61</v>
      </c>
      <c r="E74" s="11">
        <v>15</v>
      </c>
    </row>
    <row r="75" spans="1:5" x14ac:dyDescent="0.35">
      <c r="A75" s="2">
        <v>74047</v>
      </c>
      <c r="B75" s="10">
        <v>23850</v>
      </c>
      <c r="C75" s="10">
        <v>13500</v>
      </c>
      <c r="D75" s="11">
        <v>122</v>
      </c>
      <c r="E75" s="11">
        <v>15</v>
      </c>
    </row>
    <row r="76" spans="1:5" x14ac:dyDescent="0.35">
      <c r="A76" s="2">
        <v>74593</v>
      </c>
      <c r="B76" s="10">
        <v>36000</v>
      </c>
      <c r="C76" s="10">
        <v>18750</v>
      </c>
      <c r="D76" s="11">
        <v>114</v>
      </c>
      <c r="E76" s="11">
        <v>15</v>
      </c>
    </row>
    <row r="77" spans="1:5" x14ac:dyDescent="0.35">
      <c r="A77" s="2">
        <v>79059</v>
      </c>
      <c r="B77" s="10">
        <v>17100</v>
      </c>
      <c r="C77" s="10">
        <v>10200</v>
      </c>
      <c r="D77" s="11">
        <v>0</v>
      </c>
      <c r="E77" s="11">
        <v>8</v>
      </c>
    </row>
    <row r="78" spans="1:5" x14ac:dyDescent="0.35">
      <c r="A78" s="2">
        <v>79107</v>
      </c>
      <c r="B78" s="10">
        <v>30750</v>
      </c>
      <c r="C78" s="10">
        <v>15000</v>
      </c>
      <c r="D78" s="11">
        <v>56</v>
      </c>
      <c r="E78" s="11">
        <v>12</v>
      </c>
    </row>
    <row r="79" spans="1:5" x14ac:dyDescent="0.35">
      <c r="A79" s="2">
        <v>80386</v>
      </c>
      <c r="B79" s="10">
        <v>21600</v>
      </c>
      <c r="C79" s="10">
        <v>13500</v>
      </c>
      <c r="D79" s="11">
        <v>228</v>
      </c>
      <c r="E79" s="11">
        <v>8</v>
      </c>
    </row>
    <row r="80" spans="1:5" x14ac:dyDescent="0.35">
      <c r="A80" s="2">
        <v>83392</v>
      </c>
      <c r="B80" s="10">
        <v>22200</v>
      </c>
      <c r="C80" s="10">
        <v>16500</v>
      </c>
      <c r="D80" s="11">
        <v>7</v>
      </c>
      <c r="E80" s="11">
        <v>12</v>
      </c>
    </row>
    <row r="81" spans="1:5" x14ac:dyDescent="0.35">
      <c r="A81" s="2">
        <v>83788</v>
      </c>
      <c r="B81" s="10">
        <v>24300</v>
      </c>
      <c r="C81" s="10">
        <v>15000</v>
      </c>
      <c r="D81" s="11">
        <v>121</v>
      </c>
      <c r="E81" s="11">
        <v>12</v>
      </c>
    </row>
    <row r="82" spans="1:5" x14ac:dyDescent="0.35">
      <c r="A82" s="2">
        <v>85787</v>
      </c>
      <c r="B82" s="10">
        <v>27900</v>
      </c>
      <c r="C82" s="10">
        <v>12750</v>
      </c>
      <c r="D82" s="11">
        <v>115</v>
      </c>
      <c r="E82" s="11">
        <v>15</v>
      </c>
    </row>
    <row r="83" spans="1:5" x14ac:dyDescent="0.35">
      <c r="A83" s="2">
        <v>85885</v>
      </c>
      <c r="B83" s="10">
        <v>57000</v>
      </c>
      <c r="C83" s="10">
        <v>27000</v>
      </c>
      <c r="D83" s="11">
        <v>144</v>
      </c>
      <c r="E83" s="11">
        <v>15</v>
      </c>
    </row>
    <row r="84" spans="1:5" x14ac:dyDescent="0.35">
      <c r="A84" s="2">
        <v>87320</v>
      </c>
      <c r="B84" s="10">
        <v>26700</v>
      </c>
      <c r="C84" s="10">
        <v>15000</v>
      </c>
      <c r="D84" s="11">
        <v>56</v>
      </c>
      <c r="E84" s="11">
        <v>15</v>
      </c>
    </row>
    <row r="85" spans="1:5" x14ac:dyDescent="0.35">
      <c r="A85" s="2">
        <v>88064</v>
      </c>
      <c r="B85" s="10">
        <v>20400</v>
      </c>
      <c r="C85" s="10">
        <v>11250</v>
      </c>
      <c r="D85" s="11">
        <v>0</v>
      </c>
      <c r="E85" s="11">
        <v>12</v>
      </c>
    </row>
    <row r="86" spans="1:5" x14ac:dyDescent="0.35">
      <c r="A86" s="2">
        <v>88225</v>
      </c>
      <c r="B86" s="10">
        <v>28500</v>
      </c>
      <c r="C86" s="10">
        <v>11250</v>
      </c>
      <c r="D86" s="11">
        <v>4</v>
      </c>
      <c r="E86" s="11">
        <v>12</v>
      </c>
    </row>
    <row r="87" spans="1:5" x14ac:dyDescent="0.35">
      <c r="A87" s="2">
        <v>88346</v>
      </c>
      <c r="B87" s="10">
        <v>61875</v>
      </c>
      <c r="C87" s="10">
        <v>36750</v>
      </c>
      <c r="D87" s="11">
        <v>199</v>
      </c>
      <c r="E87" s="11">
        <v>19</v>
      </c>
    </row>
    <row r="88" spans="1:5" x14ac:dyDescent="0.35">
      <c r="A88" s="2">
        <v>88631</v>
      </c>
      <c r="B88" s="10">
        <v>30300</v>
      </c>
      <c r="C88" s="10">
        <v>16500</v>
      </c>
      <c r="D88" s="11">
        <v>143</v>
      </c>
      <c r="E88" s="11">
        <v>16</v>
      </c>
    </row>
    <row r="89" spans="1:5" x14ac:dyDescent="0.35">
      <c r="A89" s="2">
        <v>88959</v>
      </c>
      <c r="B89" s="10">
        <v>27600</v>
      </c>
      <c r="C89" s="10">
        <v>15000</v>
      </c>
      <c r="D89" s="11">
        <v>75</v>
      </c>
      <c r="E89" s="11">
        <v>12</v>
      </c>
    </row>
    <row r="90" spans="1:5" x14ac:dyDescent="0.35">
      <c r="A90" s="2">
        <v>89249</v>
      </c>
      <c r="B90" s="10">
        <v>52125</v>
      </c>
      <c r="C90" s="10">
        <v>27480</v>
      </c>
      <c r="D90" s="11">
        <v>221</v>
      </c>
      <c r="E90" s="11">
        <v>19</v>
      </c>
    </row>
    <row r="91" spans="1:5" x14ac:dyDescent="0.35">
      <c r="A91" s="2">
        <v>90548</v>
      </c>
      <c r="B91" s="10">
        <v>27300</v>
      </c>
      <c r="C91" s="10">
        <v>13500</v>
      </c>
      <c r="D91" s="11">
        <v>66</v>
      </c>
      <c r="E91" s="11">
        <v>12</v>
      </c>
    </row>
    <row r="92" spans="1:5" x14ac:dyDescent="0.35">
      <c r="A92" s="2">
        <v>92191</v>
      </c>
      <c r="B92" s="10">
        <v>100000</v>
      </c>
      <c r="C92" s="10">
        <v>44100</v>
      </c>
      <c r="D92" s="11">
        <v>128</v>
      </c>
      <c r="E92" s="11">
        <v>16</v>
      </c>
    </row>
    <row r="93" spans="1:5" x14ac:dyDescent="0.35">
      <c r="A93" s="2">
        <v>92333</v>
      </c>
      <c r="B93" s="10">
        <v>28350</v>
      </c>
      <c r="C93" s="10">
        <v>12000</v>
      </c>
      <c r="D93" s="11">
        <v>26</v>
      </c>
      <c r="E93" s="11">
        <v>8</v>
      </c>
    </row>
    <row r="94" spans="1:5" x14ac:dyDescent="0.35">
      <c r="A94" s="2">
        <v>93305</v>
      </c>
      <c r="B94" s="10">
        <v>22050</v>
      </c>
      <c r="C94" s="10">
        <v>10950</v>
      </c>
      <c r="D94" s="11">
        <v>9</v>
      </c>
      <c r="E94" s="11">
        <v>12</v>
      </c>
    </row>
    <row r="95" spans="1:5" x14ac:dyDescent="0.35">
      <c r="A95" s="2">
        <v>93632</v>
      </c>
      <c r="B95" s="10">
        <v>36000</v>
      </c>
      <c r="C95" s="10">
        <v>19500</v>
      </c>
      <c r="D95" s="11">
        <v>21</v>
      </c>
      <c r="E95" s="11">
        <v>19</v>
      </c>
    </row>
    <row r="96" spans="1:5" x14ac:dyDescent="0.35">
      <c r="A96" s="2">
        <v>93796</v>
      </c>
      <c r="B96" s="10">
        <v>66000</v>
      </c>
      <c r="C96" s="10">
        <v>47490</v>
      </c>
      <c r="D96" s="11">
        <v>150</v>
      </c>
      <c r="E96" s="11">
        <v>16</v>
      </c>
    </row>
    <row r="97" spans="1:5" x14ac:dyDescent="0.35">
      <c r="A97" s="2">
        <v>93953</v>
      </c>
      <c r="B97" s="10">
        <v>49000</v>
      </c>
      <c r="C97" s="10">
        <v>20550</v>
      </c>
      <c r="D97" s="11">
        <v>86</v>
      </c>
      <c r="E97" s="11">
        <v>15</v>
      </c>
    </row>
    <row r="98" spans="1:5" x14ac:dyDescent="0.35">
      <c r="A98" s="2">
        <v>96591</v>
      </c>
      <c r="B98" s="10">
        <v>25500</v>
      </c>
      <c r="C98" s="10">
        <v>11400</v>
      </c>
      <c r="D98" s="11">
        <v>9</v>
      </c>
      <c r="E98" s="11">
        <v>12</v>
      </c>
    </row>
    <row r="99" spans="1:5" x14ac:dyDescent="0.35">
      <c r="A99" s="2">
        <v>97488</v>
      </c>
      <c r="B99" s="10">
        <v>27750</v>
      </c>
      <c r="C99" s="10">
        <v>14250</v>
      </c>
      <c r="D99" s="11">
        <v>34</v>
      </c>
      <c r="E99" s="11">
        <v>15</v>
      </c>
    </row>
    <row r="100" spans="1:5" x14ac:dyDescent="0.35">
      <c r="A100" s="2">
        <v>98127</v>
      </c>
      <c r="B100" s="10">
        <v>52650</v>
      </c>
      <c r="C100" s="10">
        <v>19500</v>
      </c>
      <c r="D100" s="11">
        <v>20</v>
      </c>
      <c r="E100" s="11">
        <v>16</v>
      </c>
    </row>
    <row r="101" spans="1:5" x14ac:dyDescent="0.35">
      <c r="A101" s="2">
        <v>98277</v>
      </c>
      <c r="B101" s="10">
        <v>24300</v>
      </c>
      <c r="C101" s="10">
        <v>10950</v>
      </c>
      <c r="D101" s="11">
        <v>8</v>
      </c>
      <c r="E101" s="11">
        <v>12</v>
      </c>
    </row>
    <row r="1000" spans="648:648" x14ac:dyDescent="0.35">
      <c r="XX1000" s="47">
        <v>166765</v>
      </c>
    </row>
  </sheetData>
  <sortState xmlns:xlrd2="http://schemas.microsoft.com/office/spreadsheetml/2017/richdata2" ref="A2:E101">
    <sortCondition ref="A2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54F8-013B-4FA3-9BBF-7B255F8F9227}">
  <sheetPr codeName="Sheet5">
    <tabColor rgb="FF007800"/>
  </sheetPr>
  <dimension ref="A1:XX996"/>
  <sheetViews>
    <sheetView zoomScaleNormal="100" workbookViewId="0">
      <selection activeCell="A3" activeCellId="1" sqref="A2:XFD2 A3:XFD3"/>
    </sheetView>
  </sheetViews>
  <sheetFormatPr defaultRowHeight="15.5" x14ac:dyDescent="0.35"/>
  <cols>
    <col min="1" max="1" width="8.83203125" customWidth="1"/>
    <col min="2" max="2" width="12.5" bestFit="1" customWidth="1"/>
    <col min="3" max="3" width="15.5" bestFit="1" customWidth="1"/>
    <col min="4" max="4" width="14.5" bestFit="1" customWidth="1"/>
    <col min="5" max="5" width="10.08203125" bestFit="1" customWidth="1"/>
    <col min="6" max="6" width="10.5" bestFit="1" customWidth="1"/>
    <col min="7" max="7" width="9.5" bestFit="1" customWidth="1"/>
    <col min="8" max="9" width="10.4140625" bestFit="1" customWidth="1"/>
    <col min="11" max="11" width="9.4140625" bestFit="1" customWidth="1"/>
    <col min="12" max="12" width="10.4140625" bestFit="1" customWidth="1"/>
  </cols>
  <sheetData>
    <row r="1" spans="1:8" x14ac:dyDescent="0.35">
      <c r="A1" t="s">
        <v>337</v>
      </c>
    </row>
    <row r="2" spans="1:8" x14ac:dyDescent="0.35">
      <c r="A2" t="s">
        <v>88</v>
      </c>
    </row>
    <row r="3" spans="1:8" x14ac:dyDescent="0.35">
      <c r="A3" t="s">
        <v>89</v>
      </c>
    </row>
    <row r="4" spans="1:8" ht="38" customHeight="1" x14ac:dyDescent="0.35"/>
    <row r="5" spans="1:8" ht="15.65" customHeight="1" x14ac:dyDescent="0.35">
      <c r="A5" s="30"/>
    </row>
    <row r="8" spans="1:8" x14ac:dyDescent="0.35">
      <c r="A8" s="2" t="s">
        <v>90</v>
      </c>
    </row>
    <row r="9" spans="1:8" ht="16" thickBot="1" x14ac:dyDescent="0.4"/>
    <row r="10" spans="1:8" ht="31.25" customHeight="1" x14ac:dyDescent="0.35">
      <c r="A10" s="49" t="s">
        <v>91</v>
      </c>
      <c r="B10" s="50" t="s">
        <v>92</v>
      </c>
      <c r="C10" s="50" t="s">
        <v>93</v>
      </c>
      <c r="D10" s="50" t="s">
        <v>94</v>
      </c>
      <c r="E10" s="50" t="s">
        <v>95</v>
      </c>
      <c r="F10" s="50" t="s">
        <v>96</v>
      </c>
      <c r="G10" s="50" t="s">
        <v>97</v>
      </c>
      <c r="H10" s="50" t="s">
        <v>98</v>
      </c>
    </row>
    <row r="11" spans="1:8" x14ac:dyDescent="0.35">
      <c r="A11" s="51" t="s">
        <v>17</v>
      </c>
      <c r="B11" s="53">
        <v>100</v>
      </c>
      <c r="C11" s="53">
        <v>0</v>
      </c>
      <c r="D11" s="53">
        <v>100</v>
      </c>
      <c r="E11" s="56">
        <v>16350</v>
      </c>
      <c r="F11" s="56">
        <v>103750</v>
      </c>
      <c r="G11" s="56">
        <v>33632.600000000006</v>
      </c>
      <c r="H11" s="56">
        <v>17289.552437086029</v>
      </c>
    </row>
    <row r="12" spans="1:8" x14ac:dyDescent="0.35">
      <c r="A12" s="48" t="s">
        <v>18</v>
      </c>
      <c r="B12" s="54">
        <v>100</v>
      </c>
      <c r="C12" s="54">
        <v>0</v>
      </c>
      <c r="D12" s="54">
        <v>100</v>
      </c>
      <c r="E12" s="57">
        <v>9750</v>
      </c>
      <c r="F12" s="57">
        <v>60000</v>
      </c>
      <c r="G12" s="57">
        <v>16938.600000000002</v>
      </c>
      <c r="H12" s="57">
        <v>8347.8290917731756</v>
      </c>
    </row>
    <row r="13" spans="1:8" x14ac:dyDescent="0.35">
      <c r="A13" s="48" t="s">
        <v>19</v>
      </c>
      <c r="B13" s="54">
        <v>100</v>
      </c>
      <c r="C13" s="54">
        <v>0</v>
      </c>
      <c r="D13" s="54">
        <v>100</v>
      </c>
      <c r="E13" s="57">
        <v>0</v>
      </c>
      <c r="F13" s="57">
        <v>460</v>
      </c>
      <c r="G13" s="57">
        <v>95.61</v>
      </c>
      <c r="H13" s="57">
        <v>105.47735598820549</v>
      </c>
    </row>
    <row r="14" spans="1:8" ht="16" thickBot="1" x14ac:dyDescent="0.4">
      <c r="A14" s="52" t="s">
        <v>20</v>
      </c>
      <c r="B14" s="55">
        <v>100</v>
      </c>
      <c r="C14" s="55">
        <v>0</v>
      </c>
      <c r="D14" s="55">
        <v>100</v>
      </c>
      <c r="E14" s="58">
        <v>8</v>
      </c>
      <c r="F14" s="58">
        <v>19</v>
      </c>
      <c r="G14" s="58">
        <v>13.219999999999995</v>
      </c>
      <c r="H14" s="58">
        <v>2.7176192789746221</v>
      </c>
    </row>
    <row r="17" spans="1:5" x14ac:dyDescent="0.35">
      <c r="A17" s="6" t="s">
        <v>99</v>
      </c>
    </row>
    <row r="18" spans="1:5" ht="16" thickBot="1" x14ac:dyDescent="0.4"/>
    <row r="19" spans="1:5" ht="31.25" customHeight="1" x14ac:dyDescent="0.35">
      <c r="A19" s="49"/>
      <c r="B19" s="50" t="s">
        <v>18</v>
      </c>
      <c r="C19" s="50" t="s">
        <v>19</v>
      </c>
      <c r="D19" s="50" t="s">
        <v>20</v>
      </c>
      <c r="E19" s="59" t="s">
        <v>17</v>
      </c>
    </row>
    <row r="20" spans="1:5" x14ac:dyDescent="0.35">
      <c r="A20" s="60" t="s">
        <v>18</v>
      </c>
      <c r="B20" s="66">
        <v>1</v>
      </c>
      <c r="C20" s="62">
        <v>0.12283288301762034</v>
      </c>
      <c r="D20" s="62">
        <v>0.52516672297133782</v>
      </c>
      <c r="E20" s="63">
        <v>0.88659216218443004</v>
      </c>
    </row>
    <row r="21" spans="1:5" x14ac:dyDescent="0.35">
      <c r="A21" s="48" t="s">
        <v>19</v>
      </c>
      <c r="B21" s="57">
        <v>0.12283288301762034</v>
      </c>
      <c r="C21" s="67">
        <v>1</v>
      </c>
      <c r="D21" s="57">
        <v>-0.16436699097339599</v>
      </c>
      <c r="E21" s="64">
        <v>1.7495745585433223E-2</v>
      </c>
    </row>
    <row r="22" spans="1:5" x14ac:dyDescent="0.35">
      <c r="A22" s="48" t="s">
        <v>20</v>
      </c>
      <c r="B22" s="57">
        <v>0.52516672297133782</v>
      </c>
      <c r="C22" s="57">
        <v>-0.16436699097339599</v>
      </c>
      <c r="D22" s="67">
        <v>1</v>
      </c>
      <c r="E22" s="64">
        <v>0.56269702210853989</v>
      </c>
    </row>
    <row r="23" spans="1:5" ht="16" thickBot="1" x14ac:dyDescent="0.4">
      <c r="A23" s="61" t="s">
        <v>17</v>
      </c>
      <c r="B23" s="65">
        <v>0.88659216218443004</v>
      </c>
      <c r="C23" s="65">
        <v>1.7495745585433223E-2</v>
      </c>
      <c r="D23" s="65">
        <v>0.56269702210853989</v>
      </c>
      <c r="E23" s="68">
        <v>1</v>
      </c>
    </row>
    <row r="26" spans="1:5" x14ac:dyDescent="0.35">
      <c r="A26" s="6" t="s">
        <v>292</v>
      </c>
    </row>
    <row r="28" spans="1:5" x14ac:dyDescent="0.35">
      <c r="A28" s="2" t="s">
        <v>293</v>
      </c>
    </row>
    <row r="29" spans="1:5" ht="16" thickBot="1" x14ac:dyDescent="0.4"/>
    <row r="30" spans="1:5" x14ac:dyDescent="0.35">
      <c r="A30" s="69" t="s">
        <v>92</v>
      </c>
      <c r="B30" s="70">
        <v>100</v>
      </c>
    </row>
    <row r="31" spans="1:5" x14ac:dyDescent="0.35">
      <c r="A31" s="48" t="s">
        <v>102</v>
      </c>
      <c r="B31" s="54">
        <v>100</v>
      </c>
    </row>
    <row r="32" spans="1:5" x14ac:dyDescent="0.35">
      <c r="A32" s="48" t="s">
        <v>103</v>
      </c>
      <c r="B32" s="54">
        <v>96</v>
      </c>
    </row>
    <row r="33" spans="1:7" x14ac:dyDescent="0.35">
      <c r="A33" s="48" t="s">
        <v>104</v>
      </c>
      <c r="B33" s="57">
        <v>0.80310215239347793</v>
      </c>
    </row>
    <row r="34" spans="1:7" x14ac:dyDescent="0.35">
      <c r="A34" s="48" t="s">
        <v>105</v>
      </c>
      <c r="B34" s="57">
        <v>0.79694909465577413</v>
      </c>
    </row>
    <row r="35" spans="1:7" x14ac:dyDescent="0.35">
      <c r="A35" s="48" t="s">
        <v>106</v>
      </c>
      <c r="B35" s="57">
        <v>60697727.629850663</v>
      </c>
    </row>
    <row r="36" spans="1:7" x14ac:dyDescent="0.35">
      <c r="A36" s="48" t="s">
        <v>107</v>
      </c>
      <c r="B36" s="57">
        <v>7790.8746383092739</v>
      </c>
    </row>
    <row r="37" spans="1:7" x14ac:dyDescent="0.35">
      <c r="A37" s="48" t="s">
        <v>108</v>
      </c>
      <c r="B37" s="57">
        <v>12.109784130734566</v>
      </c>
    </row>
    <row r="38" spans="1:7" x14ac:dyDescent="0.35">
      <c r="A38" s="48" t="s">
        <v>109</v>
      </c>
      <c r="B38" s="57">
        <v>1.9341555149142093</v>
      </c>
    </row>
    <row r="39" spans="1:7" x14ac:dyDescent="0.35">
      <c r="A39" s="48" t="s">
        <v>110</v>
      </c>
      <c r="B39" s="57">
        <v>4</v>
      </c>
    </row>
    <row r="40" spans="1:7" x14ac:dyDescent="0.35">
      <c r="A40" s="48" t="s">
        <v>111</v>
      </c>
      <c r="B40" s="57">
        <v>1796.0594824727186</v>
      </c>
    </row>
    <row r="41" spans="1:7" x14ac:dyDescent="0.35">
      <c r="A41" s="48" t="s">
        <v>112</v>
      </c>
      <c r="B41" s="57">
        <v>1796.4805351042976</v>
      </c>
    </row>
    <row r="42" spans="1:7" x14ac:dyDescent="0.35">
      <c r="A42" s="48" t="s">
        <v>113</v>
      </c>
      <c r="B42" s="57">
        <v>1806.4801632166709</v>
      </c>
    </row>
    <row r="43" spans="1:7" ht="16" thickBot="1" x14ac:dyDescent="0.4">
      <c r="A43" s="52" t="s">
        <v>114</v>
      </c>
      <c r="B43" s="58">
        <v>0.21330600157373222</v>
      </c>
    </row>
    <row r="46" spans="1:7" x14ac:dyDescent="0.35">
      <c r="A46" s="2" t="s">
        <v>294</v>
      </c>
    </row>
    <row r="47" spans="1:7" ht="16" thickBot="1" x14ac:dyDescent="0.4"/>
    <row r="48" spans="1:7" ht="46.5" x14ac:dyDescent="0.35">
      <c r="A48" s="49" t="s">
        <v>116</v>
      </c>
      <c r="B48" s="50" t="s">
        <v>103</v>
      </c>
      <c r="C48" s="50" t="s">
        <v>117</v>
      </c>
      <c r="D48" s="50" t="s">
        <v>118</v>
      </c>
      <c r="E48" s="50" t="s">
        <v>119</v>
      </c>
      <c r="F48" s="50" t="s">
        <v>120</v>
      </c>
      <c r="G48" s="50" t="s">
        <v>121</v>
      </c>
    </row>
    <row r="49" spans="1:8" x14ac:dyDescent="0.35">
      <c r="A49" s="60" t="s">
        <v>122</v>
      </c>
      <c r="B49" s="62">
        <v>3</v>
      </c>
      <c r="C49" s="62">
        <v>23766951871.534325</v>
      </c>
      <c r="D49" s="62">
        <v>7922317290.5114412</v>
      </c>
      <c r="E49" s="62">
        <v>130.5208217813958</v>
      </c>
      <c r="F49" s="74">
        <v>9.4076167556378298E-34</v>
      </c>
      <c r="G49" s="77" t="s">
        <v>125</v>
      </c>
    </row>
    <row r="50" spans="1:8" x14ac:dyDescent="0.35">
      <c r="A50" s="48" t="s">
        <v>123</v>
      </c>
      <c r="B50" s="57">
        <v>96</v>
      </c>
      <c r="C50" s="57">
        <v>5826981852.4656639</v>
      </c>
      <c r="D50" s="57">
        <v>60697727.629850663</v>
      </c>
      <c r="E50" s="57"/>
      <c r="F50" s="75"/>
      <c r="G50" s="78" t="s">
        <v>126</v>
      </c>
    </row>
    <row r="51" spans="1:8" ht="16" thickBot="1" x14ac:dyDescent="0.4">
      <c r="A51" s="52" t="s">
        <v>124</v>
      </c>
      <c r="B51" s="58">
        <v>99</v>
      </c>
      <c r="C51" s="58">
        <v>29593933723.999989</v>
      </c>
      <c r="D51" s="58"/>
      <c r="E51" s="58"/>
      <c r="F51" s="76"/>
      <c r="G51" s="79" t="s">
        <v>126</v>
      </c>
    </row>
    <row r="52" spans="1:8" x14ac:dyDescent="0.35">
      <c r="A52" s="80" t="s">
        <v>127</v>
      </c>
    </row>
    <row r="53" spans="1:8" x14ac:dyDescent="0.35">
      <c r="A53" s="80" t="s">
        <v>128</v>
      </c>
    </row>
    <row r="56" spans="1:8" x14ac:dyDescent="0.35">
      <c r="A56" s="2" t="s">
        <v>295</v>
      </c>
    </row>
    <row r="57" spans="1:8" ht="16" thickBot="1" x14ac:dyDescent="0.4"/>
    <row r="58" spans="1:8" ht="46.5" x14ac:dyDescent="0.35">
      <c r="A58" s="49" t="s">
        <v>116</v>
      </c>
      <c r="B58" s="50" t="s">
        <v>130</v>
      </c>
      <c r="C58" s="50" t="s">
        <v>131</v>
      </c>
      <c r="D58" s="50" t="s">
        <v>132</v>
      </c>
      <c r="E58" s="50" t="s">
        <v>133</v>
      </c>
      <c r="F58" s="50" t="s">
        <v>134</v>
      </c>
      <c r="G58" s="50" t="s">
        <v>135</v>
      </c>
      <c r="H58" s="50" t="s">
        <v>121</v>
      </c>
    </row>
    <row r="59" spans="1:8" x14ac:dyDescent="0.35">
      <c r="A59" s="60" t="s">
        <v>16</v>
      </c>
      <c r="B59" s="62">
        <v>-4139.2376736016413</v>
      </c>
      <c r="C59" s="62">
        <v>4203.3581585741604</v>
      </c>
      <c r="D59" s="62">
        <v>-0.98474541484367117</v>
      </c>
      <c r="E59" s="71">
        <v>0.3272245226541548</v>
      </c>
      <c r="F59" s="62">
        <v>-12482.837674081022</v>
      </c>
      <c r="G59" s="62">
        <v>4204.3623268777392</v>
      </c>
      <c r="H59" s="77" t="s">
        <v>137</v>
      </c>
    </row>
    <row r="60" spans="1:8" x14ac:dyDescent="0.35">
      <c r="A60" s="48" t="s">
        <v>18</v>
      </c>
      <c r="B60" s="57">
        <v>1.7302416616577438</v>
      </c>
      <c r="C60" s="57">
        <v>0.11381076610102152</v>
      </c>
      <c r="D60" s="57">
        <v>15.20279426044751</v>
      </c>
      <c r="E60" s="75">
        <v>0</v>
      </c>
      <c r="F60" s="57">
        <v>1.5043290764648711</v>
      </c>
      <c r="G60" s="57">
        <v>1.9561542468506166</v>
      </c>
      <c r="H60" s="78" t="s">
        <v>125</v>
      </c>
    </row>
    <row r="61" spans="1:8" x14ac:dyDescent="0.35">
      <c r="A61" s="48" t="s">
        <v>19</v>
      </c>
      <c r="B61" s="57">
        <v>-10.907107236113266</v>
      </c>
      <c r="C61" s="57">
        <v>7.7709507968058853</v>
      </c>
      <c r="D61" s="57">
        <v>-1.4035743529088414</v>
      </c>
      <c r="E61" s="72">
        <v>0.16367212023957345</v>
      </c>
      <c r="F61" s="57">
        <v>-26.332322653385418</v>
      </c>
      <c r="G61" s="57">
        <v>4.5181081811588868</v>
      </c>
      <c r="H61" s="78" t="s">
        <v>137</v>
      </c>
    </row>
    <row r="62" spans="1:8" ht="16" thickBot="1" x14ac:dyDescent="0.4">
      <c r="A62" s="52" t="s">
        <v>20</v>
      </c>
      <c r="B62" s="58">
        <v>719.12214722319015</v>
      </c>
      <c r="C62" s="58">
        <v>351.73394060511436</v>
      </c>
      <c r="D62" s="58">
        <v>2.0445059865022701</v>
      </c>
      <c r="E62" s="76">
        <v>4.3641405911170494E-2</v>
      </c>
      <c r="F62" s="58">
        <v>20.93579329208751</v>
      </c>
      <c r="G62" s="58">
        <v>1417.3085011542928</v>
      </c>
      <c r="H62" s="79" t="s">
        <v>220</v>
      </c>
    </row>
    <row r="63" spans="1:8" x14ac:dyDescent="0.35">
      <c r="A63" s="80" t="s">
        <v>128</v>
      </c>
    </row>
    <row r="66" spans="1:8" x14ac:dyDescent="0.35">
      <c r="A66" s="2" t="s">
        <v>296</v>
      </c>
    </row>
    <row r="68" spans="1:8" x14ac:dyDescent="0.35">
      <c r="A68" t="s">
        <v>297</v>
      </c>
    </row>
    <row r="71" spans="1:8" x14ac:dyDescent="0.35">
      <c r="A71" s="2" t="s">
        <v>298</v>
      </c>
    </row>
    <row r="72" spans="1:8" ht="16" thickBot="1" x14ac:dyDescent="0.4"/>
    <row r="73" spans="1:8" ht="46.5" x14ac:dyDescent="0.35">
      <c r="A73" s="49" t="s">
        <v>116</v>
      </c>
      <c r="B73" s="50" t="s">
        <v>130</v>
      </c>
      <c r="C73" s="50" t="s">
        <v>131</v>
      </c>
      <c r="D73" s="50" t="s">
        <v>132</v>
      </c>
      <c r="E73" s="50" t="s">
        <v>133</v>
      </c>
      <c r="F73" s="50" t="s">
        <v>134</v>
      </c>
      <c r="G73" s="50" t="s">
        <v>135</v>
      </c>
      <c r="H73" s="50" t="s">
        <v>121</v>
      </c>
    </row>
    <row r="74" spans="1:8" x14ac:dyDescent="0.35">
      <c r="A74" s="60" t="s">
        <v>18</v>
      </c>
      <c r="B74" s="62">
        <v>0.83540402399327918</v>
      </c>
      <c r="C74" s="62">
        <v>5.4950689306288637E-2</v>
      </c>
      <c r="D74" s="62">
        <v>15.202794260447508</v>
      </c>
      <c r="E74" s="74">
        <v>0</v>
      </c>
      <c r="F74" s="62">
        <v>0.72632776781295472</v>
      </c>
      <c r="G74" s="62">
        <v>0.94448028017360364</v>
      </c>
      <c r="H74" s="77" t="s">
        <v>125</v>
      </c>
    </row>
    <row r="75" spans="1:8" x14ac:dyDescent="0.35">
      <c r="A75" s="48" t="s">
        <v>19</v>
      </c>
      <c r="B75" s="57">
        <v>-6.6540347815906092E-2</v>
      </c>
      <c r="C75" s="57">
        <v>4.7407782621564989E-2</v>
      </c>
      <c r="D75" s="57">
        <v>-1.4035743529088414</v>
      </c>
      <c r="E75" s="72">
        <v>0.16367212023957345</v>
      </c>
      <c r="F75" s="57">
        <v>-0.16064405256377673</v>
      </c>
      <c r="G75" s="57">
        <v>2.7563356931964544E-2</v>
      </c>
      <c r="H75" s="78" t="s">
        <v>137</v>
      </c>
    </row>
    <row r="76" spans="1:8" ht="16" thickBot="1" x14ac:dyDescent="0.4">
      <c r="A76" s="52" t="s">
        <v>20</v>
      </c>
      <c r="B76" s="58">
        <v>0.11303359172209695</v>
      </c>
      <c r="C76" s="58">
        <v>5.5286505624507473E-2</v>
      </c>
      <c r="D76" s="58">
        <v>2.0445059865022701</v>
      </c>
      <c r="E76" s="76">
        <v>4.3641405911170494E-2</v>
      </c>
      <c r="F76" s="58">
        <v>3.2907454185548551E-3</v>
      </c>
      <c r="G76" s="58">
        <v>0.22277643802563907</v>
      </c>
      <c r="H76" s="79" t="s">
        <v>220</v>
      </c>
    </row>
    <row r="77" spans="1:8" x14ac:dyDescent="0.35">
      <c r="A77" s="80" t="s">
        <v>128</v>
      </c>
    </row>
    <row r="96" spans="4:4" x14ac:dyDescent="0.35">
      <c r="D96" t="s">
        <v>141</v>
      </c>
    </row>
    <row r="99" spans="1:12" x14ac:dyDescent="0.35">
      <c r="A99" s="2" t="s">
        <v>299</v>
      </c>
    </row>
    <row r="100" spans="1:12" ht="16" thickBot="1" x14ac:dyDescent="0.4"/>
    <row r="101" spans="1:12" ht="77.5" x14ac:dyDescent="0.35">
      <c r="A101" s="49" t="s">
        <v>143</v>
      </c>
      <c r="B101" s="50" t="s">
        <v>144</v>
      </c>
      <c r="C101" s="50" t="s">
        <v>17</v>
      </c>
      <c r="D101" s="50" t="s">
        <v>333</v>
      </c>
      <c r="E101" s="50" t="s">
        <v>188</v>
      </c>
      <c r="F101" s="50" t="s">
        <v>189</v>
      </c>
      <c r="G101" s="50" t="s">
        <v>190</v>
      </c>
      <c r="H101" s="50" t="s">
        <v>191</v>
      </c>
      <c r="I101" s="50" t="s">
        <v>192</v>
      </c>
      <c r="J101" s="50" t="s">
        <v>193</v>
      </c>
      <c r="K101" s="50" t="s">
        <v>194</v>
      </c>
      <c r="L101" s="50" t="s">
        <v>195</v>
      </c>
    </row>
    <row r="102" spans="1:12" x14ac:dyDescent="0.35">
      <c r="A102" s="60" t="s">
        <v>145</v>
      </c>
      <c r="B102" s="81">
        <v>1</v>
      </c>
      <c r="C102" s="62">
        <v>23400</v>
      </c>
      <c r="D102" s="62">
        <v>23955.446786726257</v>
      </c>
      <c r="E102" s="62">
        <v>-555.44678672625741</v>
      </c>
      <c r="F102" s="62">
        <v>-7.1294535275284177E-2</v>
      </c>
      <c r="G102" s="62">
        <v>1177.2209178165738</v>
      </c>
      <c r="H102" s="62">
        <v>21618.681733664362</v>
      </c>
      <c r="I102" s="62">
        <v>26292.211839788153</v>
      </c>
      <c r="J102" s="62">
        <v>7879.3132136751337</v>
      </c>
      <c r="K102" s="62">
        <v>8315.1336720099953</v>
      </c>
      <c r="L102" s="62">
        <v>39595.759901442521</v>
      </c>
    </row>
    <row r="103" spans="1:12" x14ac:dyDescent="0.35">
      <c r="A103" s="48" t="s">
        <v>146</v>
      </c>
      <c r="B103" s="54">
        <v>1</v>
      </c>
      <c r="C103" s="57">
        <v>33540</v>
      </c>
      <c r="D103" s="57">
        <v>31228.900224088786</v>
      </c>
      <c r="E103" s="57">
        <v>2311.0997759112142</v>
      </c>
      <c r="F103" s="57">
        <v>0.29664188980106021</v>
      </c>
      <c r="G103" s="57">
        <v>974.58895516195912</v>
      </c>
      <c r="H103" s="57">
        <v>29294.356437909293</v>
      </c>
      <c r="I103" s="57">
        <v>33163.444010268278</v>
      </c>
      <c r="J103" s="57">
        <v>7851.5954596103802</v>
      </c>
      <c r="K103" s="57">
        <v>15643.606416341696</v>
      </c>
      <c r="L103" s="57">
        <v>46814.194031835876</v>
      </c>
    </row>
    <row r="104" spans="1:12" x14ac:dyDescent="0.35">
      <c r="A104" s="48" t="s">
        <v>147</v>
      </c>
      <c r="B104" s="54">
        <v>1</v>
      </c>
      <c r="C104" s="57">
        <v>26550</v>
      </c>
      <c r="D104" s="57">
        <v>26949.903598112956</v>
      </c>
      <c r="E104" s="57">
        <v>-399.90359811295639</v>
      </c>
      <c r="F104" s="57">
        <v>-5.1329743665306994E-2</v>
      </c>
      <c r="G104" s="57">
        <v>1102.5454626234036</v>
      </c>
      <c r="H104" s="57">
        <v>24761.368152065297</v>
      </c>
      <c r="I104" s="57">
        <v>29138.439044160616</v>
      </c>
      <c r="J104" s="57">
        <v>7868.5026610532532</v>
      </c>
      <c r="K104" s="57">
        <v>11331.049260750015</v>
      </c>
      <c r="L104" s="57">
        <v>42568.7579354759</v>
      </c>
    </row>
    <row r="105" spans="1:12" x14ac:dyDescent="0.35">
      <c r="A105" s="48" t="s">
        <v>148</v>
      </c>
      <c r="B105" s="54">
        <v>1</v>
      </c>
      <c r="C105" s="57">
        <v>30900</v>
      </c>
      <c r="D105" s="57">
        <v>32328.541778709539</v>
      </c>
      <c r="E105" s="57">
        <v>-1428.5417787095394</v>
      </c>
      <c r="F105" s="57">
        <v>-0.18336089913257189</v>
      </c>
      <c r="G105" s="57">
        <v>1120.7598335785347</v>
      </c>
      <c r="H105" s="57">
        <v>30103.851092071694</v>
      </c>
      <c r="I105" s="57">
        <v>34553.232465347384</v>
      </c>
      <c r="J105" s="57">
        <v>7871.0755449565877</v>
      </c>
      <c r="K105" s="57">
        <v>16704.580307163109</v>
      </c>
      <c r="L105" s="57">
        <v>47952.50325025597</v>
      </c>
    </row>
    <row r="106" spans="1:12" x14ac:dyDescent="0.35">
      <c r="A106" s="48" t="s">
        <v>149</v>
      </c>
      <c r="B106" s="54">
        <v>1</v>
      </c>
      <c r="C106" s="57">
        <v>23100</v>
      </c>
      <c r="D106" s="57">
        <v>23813.654392656787</v>
      </c>
      <c r="E106" s="57">
        <v>-713.65439265678651</v>
      </c>
      <c r="F106" s="57">
        <v>-9.1601318951739577E-2</v>
      </c>
      <c r="G106" s="57">
        <v>1120.2838816520982</v>
      </c>
      <c r="H106" s="57">
        <v>21589.908463125957</v>
      </c>
      <c r="I106" s="57">
        <v>26037.400322187616</v>
      </c>
      <c r="J106" s="57">
        <v>7871.0077884182119</v>
      </c>
      <c r="K106" s="57">
        <v>8189.8274167760374</v>
      </c>
      <c r="L106" s="57">
        <v>39437.481368537534</v>
      </c>
    </row>
    <row r="107" spans="1:12" x14ac:dyDescent="0.35">
      <c r="A107" s="48" t="s">
        <v>150</v>
      </c>
      <c r="B107" s="54">
        <v>1</v>
      </c>
      <c r="C107" s="57">
        <v>30750</v>
      </c>
      <c r="D107" s="57">
        <v>22648.259065562954</v>
      </c>
      <c r="E107" s="57">
        <v>8101.7409344370462</v>
      </c>
      <c r="F107" s="57">
        <v>1.0399013346459436</v>
      </c>
      <c r="G107" s="57">
        <v>2959.3613119977595</v>
      </c>
      <c r="H107" s="57">
        <v>16773.973289121062</v>
      </c>
      <c r="I107" s="57">
        <v>28522.544842004845</v>
      </c>
      <c r="J107" s="57">
        <v>8333.9994603311425</v>
      </c>
      <c r="K107" s="57">
        <v>6105.4008845695134</v>
      </c>
      <c r="L107" s="57">
        <v>39191.117246556394</v>
      </c>
    </row>
    <row r="108" spans="1:12" x14ac:dyDescent="0.35">
      <c r="A108" s="48" t="s">
        <v>151</v>
      </c>
      <c r="B108" s="54">
        <v>1</v>
      </c>
      <c r="C108" s="57">
        <v>24150</v>
      </c>
      <c r="D108" s="57">
        <v>22627.238395653239</v>
      </c>
      <c r="E108" s="57">
        <v>1522.7616043467606</v>
      </c>
      <c r="F108" s="57">
        <v>0.19545451249581661</v>
      </c>
      <c r="G108" s="57">
        <v>1796.613368112992</v>
      </c>
      <c r="H108" s="57">
        <v>19060.989046077535</v>
      </c>
      <c r="I108" s="57">
        <v>26193.487745228944</v>
      </c>
      <c r="J108" s="57">
        <v>7995.3453474088892</v>
      </c>
      <c r="K108" s="57">
        <v>6756.6033158430055</v>
      </c>
      <c r="L108" s="57">
        <v>38497.873475463472</v>
      </c>
    </row>
    <row r="109" spans="1:12" x14ac:dyDescent="0.35">
      <c r="A109" s="48" t="s">
        <v>152</v>
      </c>
      <c r="B109" s="54">
        <v>1</v>
      </c>
      <c r="C109" s="57">
        <v>61250</v>
      </c>
      <c r="D109" s="57">
        <v>66523.893993219506</v>
      </c>
      <c r="E109" s="57">
        <v>-5273.8939932195062</v>
      </c>
      <c r="F109" s="57">
        <v>-0.6769322108312108</v>
      </c>
      <c r="G109" s="57">
        <v>2065.2840672946072</v>
      </c>
      <c r="H109" s="57">
        <v>62424.337520802546</v>
      </c>
      <c r="I109" s="57">
        <v>70623.450465636473</v>
      </c>
      <c r="J109" s="57">
        <v>8059.970589801902</v>
      </c>
      <c r="K109" s="57">
        <v>50524.978821130811</v>
      </c>
      <c r="L109" s="57">
        <v>82522.809165308208</v>
      </c>
    </row>
    <row r="110" spans="1:12" x14ac:dyDescent="0.35">
      <c r="A110" s="48" t="s">
        <v>153</v>
      </c>
      <c r="B110" s="54">
        <v>1</v>
      </c>
      <c r="C110" s="57">
        <v>42300</v>
      </c>
      <c r="D110" s="57">
        <v>51411.264788734901</v>
      </c>
      <c r="E110" s="57">
        <v>-9111.2647887349012</v>
      </c>
      <c r="F110" s="57">
        <v>-1.1694790651530969</v>
      </c>
      <c r="G110" s="57">
        <v>1260.0836230881393</v>
      </c>
      <c r="H110" s="57">
        <v>48910.018565698643</v>
      </c>
      <c r="I110" s="57">
        <v>53912.511011771159</v>
      </c>
      <c r="J110" s="57">
        <v>7892.1187501852501</v>
      </c>
      <c r="K110" s="57">
        <v>35745.532884945431</v>
      </c>
      <c r="L110" s="57">
        <v>67076.996692524364</v>
      </c>
    </row>
    <row r="111" spans="1:12" x14ac:dyDescent="0.35">
      <c r="A111" s="48" t="s">
        <v>154</v>
      </c>
      <c r="B111" s="54">
        <v>1</v>
      </c>
      <c r="C111" s="57">
        <v>24900</v>
      </c>
      <c r="D111" s="57">
        <v>23955.446786726257</v>
      </c>
      <c r="E111" s="57">
        <v>944.55321327374259</v>
      </c>
      <c r="F111" s="57">
        <v>0.1212384048164743</v>
      </c>
      <c r="G111" s="57">
        <v>1177.2209178165738</v>
      </c>
      <c r="H111" s="57">
        <v>21618.681733664362</v>
      </c>
      <c r="I111" s="57">
        <v>26292.211839788153</v>
      </c>
      <c r="J111" s="57">
        <v>7879.3132136751337</v>
      </c>
      <c r="K111" s="57">
        <v>8315.1336720099953</v>
      </c>
      <c r="L111" s="57">
        <v>39595.759901442521</v>
      </c>
    </row>
    <row r="112" spans="1:12" x14ac:dyDescent="0.35">
      <c r="A112" s="48" t="s">
        <v>155</v>
      </c>
      <c r="B112" s="54">
        <v>1</v>
      </c>
      <c r="C112" s="57">
        <v>34500</v>
      </c>
      <c r="D112" s="57">
        <v>37180.664023857142</v>
      </c>
      <c r="E112" s="57">
        <v>-2680.6640238571417</v>
      </c>
      <c r="F112" s="57">
        <v>-0.34407741727427954</v>
      </c>
      <c r="G112" s="57">
        <v>1294.208950367733</v>
      </c>
      <c r="H112" s="57">
        <v>34611.679561545323</v>
      </c>
      <c r="I112" s="57">
        <v>39749.648486168961</v>
      </c>
      <c r="J112" s="57">
        <v>7897.6391685783301</v>
      </c>
      <c r="K112" s="57">
        <v>21503.974176164367</v>
      </c>
      <c r="L112" s="57">
        <v>52857.353871549916</v>
      </c>
    </row>
    <row r="113" spans="1:12" x14ac:dyDescent="0.35">
      <c r="A113" s="48" t="s">
        <v>156</v>
      </c>
      <c r="B113" s="54">
        <v>1</v>
      </c>
      <c r="C113" s="57">
        <v>46000</v>
      </c>
      <c r="D113" s="57">
        <v>30779.997066035627</v>
      </c>
      <c r="E113" s="57">
        <v>15220.002933964373</v>
      </c>
      <c r="F113" s="57">
        <v>1.953567942054234</v>
      </c>
      <c r="G113" s="57">
        <v>1122.9270279770428</v>
      </c>
      <c r="H113" s="57">
        <v>28551.004532516723</v>
      </c>
      <c r="I113" s="57">
        <v>33008.98959955453</v>
      </c>
      <c r="J113" s="57">
        <v>7871.3844233407899</v>
      </c>
      <c r="K113" s="57">
        <v>15155.422475742389</v>
      </c>
      <c r="L113" s="57">
        <v>46404.571656328866</v>
      </c>
    </row>
    <row r="114" spans="1:12" x14ac:dyDescent="0.35">
      <c r="A114" s="48" t="s">
        <v>157</v>
      </c>
      <c r="B114" s="54">
        <v>1</v>
      </c>
      <c r="C114" s="57">
        <v>30270</v>
      </c>
      <c r="D114" s="57">
        <v>30868.965685297044</v>
      </c>
      <c r="E114" s="57">
        <v>-598.96568529704382</v>
      </c>
      <c r="F114" s="57">
        <v>-7.68804162695432E-2</v>
      </c>
      <c r="G114" s="57">
        <v>882.88734817654677</v>
      </c>
      <c r="H114" s="57">
        <v>29116.448150324984</v>
      </c>
      <c r="I114" s="57">
        <v>32621.483220269103</v>
      </c>
      <c r="J114" s="57">
        <v>7840.7408897004671</v>
      </c>
      <c r="K114" s="57">
        <v>15305.218028529454</v>
      </c>
      <c r="L114" s="57">
        <v>46432.713342064635</v>
      </c>
    </row>
    <row r="115" spans="1:12" x14ac:dyDescent="0.35">
      <c r="A115" s="48" t="s">
        <v>158</v>
      </c>
      <c r="B115" s="54">
        <v>1</v>
      </c>
      <c r="C115" s="57">
        <v>40350</v>
      </c>
      <c r="D115" s="57">
        <v>34324.01337320992</v>
      </c>
      <c r="E115" s="57">
        <v>6025.9866267900798</v>
      </c>
      <c r="F115" s="57">
        <v>0.77346728147300814</v>
      </c>
      <c r="G115" s="57">
        <v>1003.3984626634632</v>
      </c>
      <c r="H115" s="57">
        <v>32332.283166617253</v>
      </c>
      <c r="I115" s="57">
        <v>36315.743579802584</v>
      </c>
      <c r="J115" s="57">
        <v>7855.2234917108544</v>
      </c>
      <c r="K115" s="57">
        <v>18731.51797866169</v>
      </c>
      <c r="L115" s="57">
        <v>49916.508767758147</v>
      </c>
    </row>
    <row r="116" spans="1:12" x14ac:dyDescent="0.35">
      <c r="A116" s="48" t="s">
        <v>159</v>
      </c>
      <c r="B116" s="54">
        <v>1</v>
      </c>
      <c r="C116" s="57">
        <v>45000</v>
      </c>
      <c r="D116" s="57">
        <v>41477.488630975204</v>
      </c>
      <c r="E116" s="57">
        <v>3522.5113690247963</v>
      </c>
      <c r="F116" s="57">
        <v>0.45213298025665954</v>
      </c>
      <c r="G116" s="57">
        <v>1017.1494670545073</v>
      </c>
      <c r="H116" s="57">
        <v>39458.46289639864</v>
      </c>
      <c r="I116" s="57">
        <v>43496.514365551768</v>
      </c>
      <c r="J116" s="57">
        <v>7856.9918332769021</v>
      </c>
      <c r="K116" s="57">
        <v>25881.483106160958</v>
      </c>
      <c r="L116" s="57">
        <v>57073.494155789449</v>
      </c>
    </row>
    <row r="117" spans="1:12" x14ac:dyDescent="0.35">
      <c r="A117" s="48" t="s">
        <v>160</v>
      </c>
      <c r="B117" s="54">
        <v>1</v>
      </c>
      <c r="C117" s="57">
        <v>27900</v>
      </c>
      <c r="D117" s="57">
        <v>27499.463093900558</v>
      </c>
      <c r="E117" s="57">
        <v>400.53690609944169</v>
      </c>
      <c r="F117" s="57">
        <v>5.1411032097721403E-2</v>
      </c>
      <c r="G117" s="57">
        <v>1009.985736081358</v>
      </c>
      <c r="H117" s="57">
        <v>25494.657252917663</v>
      </c>
      <c r="I117" s="57">
        <v>29504.268934883454</v>
      </c>
      <c r="J117" s="57">
        <v>7856.0676433530325</v>
      </c>
      <c r="K117" s="57">
        <v>11905.292071586058</v>
      </c>
      <c r="L117" s="57">
        <v>43093.634116215057</v>
      </c>
    </row>
    <row r="118" spans="1:12" x14ac:dyDescent="0.35">
      <c r="A118" s="48" t="s">
        <v>161</v>
      </c>
      <c r="B118" s="54">
        <v>1</v>
      </c>
      <c r="C118" s="57">
        <v>56750</v>
      </c>
      <c r="D118" s="57">
        <v>59110.359923160024</v>
      </c>
      <c r="E118" s="57">
        <v>-2360.3599231600238</v>
      </c>
      <c r="F118" s="57">
        <v>-0.30296469045383767</v>
      </c>
      <c r="G118" s="57">
        <v>1636.3921997301929</v>
      </c>
      <c r="H118" s="57">
        <v>55862.147079197966</v>
      </c>
      <c r="I118" s="57">
        <v>62358.572767122081</v>
      </c>
      <c r="J118" s="57">
        <v>7960.8735111913747</v>
      </c>
      <c r="K118" s="57">
        <v>43308.150897430925</v>
      </c>
      <c r="L118" s="57">
        <v>74912.568948889122</v>
      </c>
    </row>
    <row r="119" spans="1:12" x14ac:dyDescent="0.35">
      <c r="A119" s="48" t="s">
        <v>162</v>
      </c>
      <c r="B119" s="54">
        <v>1</v>
      </c>
      <c r="C119" s="57">
        <v>29400</v>
      </c>
      <c r="D119" s="57">
        <v>34934.811378432263</v>
      </c>
      <c r="E119" s="57">
        <v>-5534.8113784322632</v>
      </c>
      <c r="F119" s="57">
        <v>-0.71042233836192137</v>
      </c>
      <c r="G119" s="57">
        <v>1069.2356466233066</v>
      </c>
      <c r="H119" s="57">
        <v>32812.395394564497</v>
      </c>
      <c r="I119" s="57">
        <v>37057.227362300029</v>
      </c>
      <c r="J119" s="57">
        <v>7863.9044054375827</v>
      </c>
      <c r="K119" s="57">
        <v>19325.084506326799</v>
      </c>
      <c r="L119" s="57">
        <v>50544.538250537727</v>
      </c>
    </row>
    <row r="120" spans="1:12" x14ac:dyDescent="0.35">
      <c r="A120" s="48" t="s">
        <v>163</v>
      </c>
      <c r="B120" s="54">
        <v>1</v>
      </c>
      <c r="C120" s="57">
        <v>32100</v>
      </c>
      <c r="D120" s="57">
        <v>29275.080782306166</v>
      </c>
      <c r="E120" s="57">
        <v>2824.9192176938341</v>
      </c>
      <c r="F120" s="57">
        <v>0.36259333500286944</v>
      </c>
      <c r="G120" s="57">
        <v>1164.3626132535878</v>
      </c>
      <c r="H120" s="57">
        <v>26963.839262074573</v>
      </c>
      <c r="I120" s="57">
        <v>31586.322302537759</v>
      </c>
      <c r="J120" s="57">
        <v>7877.4023589628441</v>
      </c>
      <c r="K120" s="57">
        <v>13638.560684215397</v>
      </c>
      <c r="L120" s="57">
        <v>44911.600880396931</v>
      </c>
    </row>
    <row r="121" spans="1:12" x14ac:dyDescent="0.35">
      <c r="A121" s="48" t="s">
        <v>164</v>
      </c>
      <c r="B121" s="54">
        <v>1</v>
      </c>
      <c r="C121" s="57">
        <v>21900</v>
      </c>
      <c r="D121" s="57">
        <v>22380.579063204576</v>
      </c>
      <c r="E121" s="57">
        <v>-480.5790632045755</v>
      </c>
      <c r="F121" s="57">
        <v>-6.1684866656879965E-2</v>
      </c>
      <c r="G121" s="57">
        <v>1803.4089370451718</v>
      </c>
      <c r="H121" s="57">
        <v>18800.840615910627</v>
      </c>
      <c r="I121" s="57">
        <v>25960.317510498524</v>
      </c>
      <c r="J121" s="57">
        <v>7996.875103693008</v>
      </c>
      <c r="K121" s="57">
        <v>6506.907441169913</v>
      </c>
      <c r="L121" s="57">
        <v>38254.25068523924</v>
      </c>
    </row>
    <row r="122" spans="1:12" x14ac:dyDescent="0.35">
      <c r="A122" s="48" t="s">
        <v>165</v>
      </c>
      <c r="B122" s="54">
        <v>1</v>
      </c>
      <c r="C122" s="57">
        <v>32400</v>
      </c>
      <c r="D122" s="57">
        <v>31903.164596501119</v>
      </c>
      <c r="E122" s="57">
        <v>496.83540349888062</v>
      </c>
      <c r="F122" s="57">
        <v>6.3771453984876422E-2</v>
      </c>
      <c r="G122" s="57">
        <v>1073.0918905512945</v>
      </c>
      <c r="H122" s="57">
        <v>29773.094028934891</v>
      </c>
      <c r="I122" s="57">
        <v>34033.235164067351</v>
      </c>
      <c r="J122" s="57">
        <v>7864.4296573507236</v>
      </c>
      <c r="K122" s="57">
        <v>16292.395107588472</v>
      </c>
      <c r="L122" s="57">
        <v>47513.93408541377</v>
      </c>
    </row>
    <row r="123" spans="1:12" x14ac:dyDescent="0.35">
      <c r="A123" s="48" t="s">
        <v>166</v>
      </c>
      <c r="B123" s="54">
        <v>1</v>
      </c>
      <c r="C123" s="57">
        <v>45625</v>
      </c>
      <c r="D123" s="57">
        <v>46940.408881345145</v>
      </c>
      <c r="E123" s="57">
        <v>-1315.4088813451453</v>
      </c>
      <c r="F123" s="57">
        <v>-0.16883969289879461</v>
      </c>
      <c r="G123" s="57">
        <v>1151.2890486631411</v>
      </c>
      <c r="H123" s="57">
        <v>44655.118181721264</v>
      </c>
      <c r="I123" s="57">
        <v>49225.699580969027</v>
      </c>
      <c r="J123" s="57">
        <v>7875.4805633321412</v>
      </c>
      <c r="K123" s="57">
        <v>31307.703517431277</v>
      </c>
      <c r="L123" s="57">
        <v>62573.114245259014</v>
      </c>
    </row>
    <row r="124" spans="1:12" x14ac:dyDescent="0.35">
      <c r="A124" s="48" t="s">
        <v>167</v>
      </c>
      <c r="B124" s="54">
        <v>1</v>
      </c>
      <c r="C124" s="57">
        <v>103500</v>
      </c>
      <c r="D124" s="57">
        <v>109545.15029601705</v>
      </c>
      <c r="E124" s="57">
        <v>-6045.1502960170474</v>
      </c>
      <c r="F124" s="57">
        <v>-0.77592703985915079</v>
      </c>
      <c r="G124" s="57">
        <v>4428.6003103485027</v>
      </c>
      <c r="H124" s="57">
        <v>100754.44815797205</v>
      </c>
      <c r="I124" s="57">
        <v>118335.85243406205</v>
      </c>
      <c r="J124" s="57">
        <v>8961.5974211448211</v>
      </c>
      <c r="K124" s="57">
        <v>91756.520008865002</v>
      </c>
      <c r="L124" s="57">
        <v>127333.78058316909</v>
      </c>
    </row>
    <row r="125" spans="1:12" x14ac:dyDescent="0.35">
      <c r="A125" s="48" t="s">
        <v>168</v>
      </c>
      <c r="B125" s="54">
        <v>1</v>
      </c>
      <c r="C125" s="57">
        <v>19650</v>
      </c>
      <c r="D125" s="57">
        <v>23900.911250545694</v>
      </c>
      <c r="E125" s="57">
        <v>-4250.9112505456942</v>
      </c>
      <c r="F125" s="57">
        <v>-0.54562696075779749</v>
      </c>
      <c r="G125" s="57">
        <v>1154.608525083376</v>
      </c>
      <c r="H125" s="57">
        <v>21609.031442305179</v>
      </c>
      <c r="I125" s="57">
        <v>26192.79105878621</v>
      </c>
      <c r="J125" s="57">
        <v>7875.9665105970244</v>
      </c>
      <c r="K125" s="57">
        <v>8267.2412889348034</v>
      </c>
      <c r="L125" s="57">
        <v>39534.581212156583</v>
      </c>
    </row>
    <row r="126" spans="1:12" x14ac:dyDescent="0.35">
      <c r="A126" s="48" t="s">
        <v>169</v>
      </c>
      <c r="B126" s="54">
        <v>1</v>
      </c>
      <c r="C126" s="57">
        <v>21300</v>
      </c>
      <c r="D126" s="57">
        <v>23922.72546501792</v>
      </c>
      <c r="E126" s="57">
        <v>-2622.7254650179202</v>
      </c>
      <c r="F126" s="57">
        <v>-0.33664069655561646</v>
      </c>
      <c r="G126" s="57">
        <v>1163.5505220648417</v>
      </c>
      <c r="H126" s="57">
        <v>21613.095933055516</v>
      </c>
      <c r="I126" s="57">
        <v>26232.354996980324</v>
      </c>
      <c r="J126" s="57">
        <v>7877.2823643213414</v>
      </c>
      <c r="K126" s="57">
        <v>8286.4435544080025</v>
      </c>
      <c r="L126" s="57">
        <v>39559.007375627836</v>
      </c>
    </row>
    <row r="127" spans="1:12" x14ac:dyDescent="0.35">
      <c r="A127" s="48" t="s">
        <v>170</v>
      </c>
      <c r="B127" s="54">
        <v>1</v>
      </c>
      <c r="C127" s="57">
        <v>103750</v>
      </c>
      <c r="D127" s="57">
        <v>54202.167287646007</v>
      </c>
      <c r="E127" s="57">
        <v>49547.832712353993</v>
      </c>
      <c r="F127" s="57">
        <v>6.3597266048560819</v>
      </c>
      <c r="G127" s="57">
        <v>1324.1277358046107</v>
      </c>
      <c r="H127" s="57">
        <v>51573.79450562218</v>
      </c>
      <c r="I127" s="57">
        <v>56830.540069669834</v>
      </c>
      <c r="J127" s="57">
        <v>7902.5971610969591</v>
      </c>
      <c r="K127" s="57">
        <v>38515.635902587106</v>
      </c>
      <c r="L127" s="57">
        <v>69888.698672704908</v>
      </c>
    </row>
    <row r="128" spans="1:12" x14ac:dyDescent="0.35">
      <c r="A128" s="48" t="s">
        <v>171</v>
      </c>
      <c r="B128" s="54">
        <v>1</v>
      </c>
      <c r="C128" s="57">
        <v>29100</v>
      </c>
      <c r="D128" s="57">
        <v>26056.254801786352</v>
      </c>
      <c r="E128" s="57">
        <v>3043.7451982136481</v>
      </c>
      <c r="F128" s="57">
        <v>0.39068080793483057</v>
      </c>
      <c r="G128" s="57">
        <v>3178.4006180629367</v>
      </c>
      <c r="H128" s="57">
        <v>19747.179439198331</v>
      </c>
      <c r="I128" s="57">
        <v>32365.330164374373</v>
      </c>
      <c r="J128" s="57">
        <v>8414.2710984822406</v>
      </c>
      <c r="K128" s="57">
        <v>9354.0586784027764</v>
      </c>
      <c r="L128" s="57">
        <v>42758.450925169927</v>
      </c>
    </row>
    <row r="129" spans="1:12" x14ac:dyDescent="0.35">
      <c r="A129" s="48" t="s">
        <v>172</v>
      </c>
      <c r="B129" s="54">
        <v>1</v>
      </c>
      <c r="C129" s="57">
        <v>59400</v>
      </c>
      <c r="D129" s="57">
        <v>59919.151005802683</v>
      </c>
      <c r="E129" s="57">
        <v>-519.15100580268336</v>
      </c>
      <c r="F129" s="57">
        <v>-6.6635779665856126E-2</v>
      </c>
      <c r="G129" s="57">
        <v>2370.6205613504644</v>
      </c>
      <c r="H129" s="57">
        <v>55213.506382949592</v>
      </c>
      <c r="I129" s="57">
        <v>64624.795628655775</v>
      </c>
      <c r="J129" s="57">
        <v>8143.560000131899</v>
      </c>
      <c r="K129" s="57">
        <v>43754.312165599535</v>
      </c>
      <c r="L129" s="57">
        <v>76083.989846005832</v>
      </c>
    </row>
    <row r="130" spans="1:12" x14ac:dyDescent="0.35">
      <c r="A130" s="48" t="s">
        <v>173</v>
      </c>
      <c r="B130" s="54">
        <v>1</v>
      </c>
      <c r="C130" s="57">
        <v>19650</v>
      </c>
      <c r="D130" s="57">
        <v>27176.454010799105</v>
      </c>
      <c r="E130" s="57">
        <v>-7526.4540107991052</v>
      </c>
      <c r="F130" s="57">
        <v>-0.966060212776373</v>
      </c>
      <c r="G130" s="57">
        <v>900.15478998548735</v>
      </c>
      <c r="H130" s="57">
        <v>25389.660874736175</v>
      </c>
      <c r="I130" s="57">
        <v>28963.247146862035</v>
      </c>
      <c r="J130" s="57">
        <v>7842.7040155666</v>
      </c>
      <c r="K130" s="57">
        <v>11608.809579985698</v>
      </c>
      <c r="L130" s="57">
        <v>42744.098441612514</v>
      </c>
    </row>
    <row r="131" spans="1:12" x14ac:dyDescent="0.35">
      <c r="A131" s="48" t="s">
        <v>174</v>
      </c>
      <c r="B131" s="54">
        <v>1</v>
      </c>
      <c r="C131" s="57">
        <v>31200</v>
      </c>
      <c r="D131" s="57">
        <v>30050.932642588552</v>
      </c>
      <c r="E131" s="57">
        <v>1149.067357411448</v>
      </c>
      <c r="F131" s="57">
        <v>0.14748887779059572</v>
      </c>
      <c r="G131" s="57">
        <v>938.88684929413</v>
      </c>
      <c r="H131" s="57">
        <v>28187.256976445009</v>
      </c>
      <c r="I131" s="57">
        <v>31914.608308732095</v>
      </c>
      <c r="J131" s="57">
        <v>7847.2438566434348</v>
      </c>
      <c r="K131" s="57">
        <v>14474.276698460824</v>
      </c>
      <c r="L131" s="57">
        <v>45627.58858671628</v>
      </c>
    </row>
    <row r="132" spans="1:12" x14ac:dyDescent="0.35">
      <c r="A132" s="48" t="s">
        <v>175</v>
      </c>
      <c r="B132" s="54">
        <v>1</v>
      </c>
      <c r="C132" s="57">
        <v>35100</v>
      </c>
      <c r="D132" s="57">
        <v>34221.380759248786</v>
      </c>
      <c r="E132" s="57">
        <v>878.61924075121351</v>
      </c>
      <c r="F132" s="57">
        <v>0.11277543042867981</v>
      </c>
      <c r="G132" s="57">
        <v>1106.9504799345905</v>
      </c>
      <c r="H132" s="57">
        <v>32024.101422946434</v>
      </c>
      <c r="I132" s="57">
        <v>36418.660095551139</v>
      </c>
      <c r="J132" s="57">
        <v>7869.1211068884995</v>
      </c>
      <c r="K132" s="57">
        <v>18601.298816605355</v>
      </c>
      <c r="L132" s="57">
        <v>49841.462701892218</v>
      </c>
    </row>
    <row r="133" spans="1:12" x14ac:dyDescent="0.35">
      <c r="A133" s="48" t="s">
        <v>176</v>
      </c>
      <c r="B133" s="54">
        <v>1</v>
      </c>
      <c r="C133" s="57">
        <v>24450</v>
      </c>
      <c r="D133" s="57">
        <v>27870.040225074241</v>
      </c>
      <c r="E133" s="57">
        <v>-3420.0402250742409</v>
      </c>
      <c r="F133" s="57">
        <v>-0.43898026651041533</v>
      </c>
      <c r="G133" s="57">
        <v>867.61982494121742</v>
      </c>
      <c r="H133" s="57">
        <v>26147.828484200116</v>
      </c>
      <c r="I133" s="57">
        <v>29592.251965948366</v>
      </c>
      <c r="J133" s="57">
        <v>7839.0364070134092</v>
      </c>
      <c r="K133" s="57">
        <v>12309.675939699724</v>
      </c>
      <c r="L133" s="57">
        <v>43430.40451044876</v>
      </c>
    </row>
    <row r="134" spans="1:12" x14ac:dyDescent="0.35">
      <c r="A134" s="48" t="s">
        <v>177</v>
      </c>
      <c r="B134" s="54">
        <v>1</v>
      </c>
      <c r="C134" s="57">
        <v>40800</v>
      </c>
      <c r="D134" s="57">
        <v>30182.082444276079</v>
      </c>
      <c r="E134" s="57">
        <v>10617.917555723921</v>
      </c>
      <c r="F134" s="57">
        <v>1.3628659231036162</v>
      </c>
      <c r="G134" s="57">
        <v>1054.6177604508002</v>
      </c>
      <c r="H134" s="57">
        <v>28088.682735128354</v>
      </c>
      <c r="I134" s="57">
        <v>32275.482153423804</v>
      </c>
      <c r="J134" s="57">
        <v>7861.9301860617488</v>
      </c>
      <c r="K134" s="57">
        <v>14576.274366659147</v>
      </c>
      <c r="L134" s="57">
        <v>45787.890521893009</v>
      </c>
    </row>
    <row r="135" spans="1:12" x14ac:dyDescent="0.35">
      <c r="A135" s="48" t="s">
        <v>178</v>
      </c>
      <c r="B135" s="54">
        <v>1</v>
      </c>
      <c r="C135" s="57">
        <v>25500</v>
      </c>
      <c r="D135" s="57">
        <v>25133.149853372321</v>
      </c>
      <c r="E135" s="57">
        <v>366.85014662767935</v>
      </c>
      <c r="F135" s="57">
        <v>4.7087158202213202E-2</v>
      </c>
      <c r="G135" s="57">
        <v>1113.270536829433</v>
      </c>
      <c r="H135" s="57">
        <v>22923.325303285779</v>
      </c>
      <c r="I135" s="57">
        <v>27342.974403458862</v>
      </c>
      <c r="J135" s="57">
        <v>7870.012637729571</v>
      </c>
      <c r="K135" s="57">
        <v>9511.2982359961243</v>
      </c>
      <c r="L135" s="57">
        <v>40755.001470748517</v>
      </c>
    </row>
    <row r="136" spans="1:12" x14ac:dyDescent="0.35">
      <c r="A136" s="48" t="s">
        <v>179</v>
      </c>
      <c r="B136" s="54">
        <v>1</v>
      </c>
      <c r="C136" s="57">
        <v>28200</v>
      </c>
      <c r="D136" s="57">
        <v>28500.940683396293</v>
      </c>
      <c r="E136" s="57">
        <v>-300.94068339629302</v>
      </c>
      <c r="F136" s="57">
        <v>-3.8627329711674228E-2</v>
      </c>
      <c r="G136" s="57">
        <v>1252.8885922302843</v>
      </c>
      <c r="H136" s="57">
        <v>26013.976483733797</v>
      </c>
      <c r="I136" s="57">
        <v>30987.904883058789</v>
      </c>
      <c r="J136" s="57">
        <v>7890.9731626961857</v>
      </c>
      <c r="K136" s="57">
        <v>12837.482752800093</v>
      </c>
      <c r="L136" s="57">
        <v>44164.398613992496</v>
      </c>
    </row>
    <row r="137" spans="1:12" x14ac:dyDescent="0.35">
      <c r="A137" s="48" t="s">
        <v>180</v>
      </c>
      <c r="B137" s="54">
        <v>1</v>
      </c>
      <c r="C137" s="57">
        <v>34950</v>
      </c>
      <c r="D137" s="57">
        <v>41804.219432552483</v>
      </c>
      <c r="E137" s="57">
        <v>-6854.2194325524833</v>
      </c>
      <c r="F137" s="57">
        <v>-0.87977534625559606</v>
      </c>
      <c r="G137" s="57">
        <v>1134.0880151559766</v>
      </c>
      <c r="H137" s="57">
        <v>39553.072514582294</v>
      </c>
      <c r="I137" s="57">
        <v>44055.366350522672</v>
      </c>
      <c r="J137" s="57">
        <v>7872.9843932254234</v>
      </c>
      <c r="K137" s="57">
        <v>26176.46892713934</v>
      </c>
      <c r="L137" s="57">
        <v>57431.969937965623</v>
      </c>
    </row>
    <row r="138" spans="1:12" x14ac:dyDescent="0.35">
      <c r="A138" s="48" t="s">
        <v>181</v>
      </c>
      <c r="B138" s="54">
        <v>1</v>
      </c>
      <c r="C138" s="57">
        <v>28050</v>
      </c>
      <c r="D138" s="57">
        <v>34280.384944265475</v>
      </c>
      <c r="E138" s="57">
        <v>-6230.3849442654755</v>
      </c>
      <c r="F138" s="57">
        <v>-0.79970288748190588</v>
      </c>
      <c r="G138" s="57">
        <v>1005.7607230152881</v>
      </c>
      <c r="H138" s="57">
        <v>32283.965687934706</v>
      </c>
      <c r="I138" s="57">
        <v>36276.804200596249</v>
      </c>
      <c r="J138" s="57">
        <v>7855.5255878783119</v>
      </c>
      <c r="K138" s="57">
        <v>18687.289893564273</v>
      </c>
      <c r="L138" s="57">
        <v>49873.479994966678</v>
      </c>
    </row>
    <row r="139" spans="1:12" x14ac:dyDescent="0.35">
      <c r="A139" s="48" t="s">
        <v>182</v>
      </c>
      <c r="B139" s="54">
        <v>1</v>
      </c>
      <c r="C139" s="57">
        <v>20850</v>
      </c>
      <c r="D139" s="57">
        <v>23475.269553483107</v>
      </c>
      <c r="E139" s="57">
        <v>-2625.2695534831073</v>
      </c>
      <c r="F139" s="57">
        <v>-0.33696724377698711</v>
      </c>
      <c r="G139" s="57">
        <v>1066.5029115674363</v>
      </c>
      <c r="H139" s="57">
        <v>21358.27800582879</v>
      </c>
      <c r="I139" s="57">
        <v>25592.261101137425</v>
      </c>
      <c r="J139" s="57">
        <v>7863.5333082675043</v>
      </c>
      <c r="K139" s="57">
        <v>7866.2793034382976</v>
      </c>
      <c r="L139" s="57">
        <v>39084.259803527915</v>
      </c>
    </row>
    <row r="140" spans="1:12" x14ac:dyDescent="0.35">
      <c r="A140" s="48" t="s">
        <v>183</v>
      </c>
      <c r="B140" s="54">
        <v>1</v>
      </c>
      <c r="C140" s="57">
        <v>25200</v>
      </c>
      <c r="D140" s="57">
        <v>30303.72577104361</v>
      </c>
      <c r="E140" s="57">
        <v>-5103.7257710436097</v>
      </c>
      <c r="F140" s="57">
        <v>-0.65509021874740214</v>
      </c>
      <c r="G140" s="57">
        <v>2459.4566931786289</v>
      </c>
      <c r="H140" s="57">
        <v>25421.742820215277</v>
      </c>
      <c r="I140" s="57">
        <v>35185.708721871939</v>
      </c>
      <c r="J140" s="57">
        <v>8169.8625970986695</v>
      </c>
      <c r="K140" s="57">
        <v>14086.676688509124</v>
      </c>
      <c r="L140" s="57">
        <v>46520.774853578099</v>
      </c>
    </row>
    <row r="141" spans="1:12" x14ac:dyDescent="0.35">
      <c r="A141" s="48" t="s">
        <v>184</v>
      </c>
      <c r="B141" s="54">
        <v>1</v>
      </c>
      <c r="C141" s="57">
        <v>30600</v>
      </c>
      <c r="D141" s="57">
        <v>26724.264935574007</v>
      </c>
      <c r="E141" s="57">
        <v>3875.7350644259932</v>
      </c>
      <c r="F141" s="57">
        <v>0.49747111131377164</v>
      </c>
      <c r="G141" s="57">
        <v>2880.1588865798349</v>
      </c>
      <c r="H141" s="57">
        <v>21007.19473102122</v>
      </c>
      <c r="I141" s="57">
        <v>32441.335140126794</v>
      </c>
      <c r="J141" s="57">
        <v>8306.2050806487714</v>
      </c>
      <c r="K141" s="57">
        <v>10236.57816219857</v>
      </c>
      <c r="L141" s="57">
        <v>43211.951708949447</v>
      </c>
    </row>
    <row r="142" spans="1:12" x14ac:dyDescent="0.35">
      <c r="A142" s="48" t="s">
        <v>185</v>
      </c>
      <c r="B142" s="54">
        <v>1</v>
      </c>
      <c r="C142" s="57">
        <v>19950</v>
      </c>
      <c r="D142" s="57">
        <v>23868.189928837353</v>
      </c>
      <c r="E142" s="57">
        <v>-3918.1899288373534</v>
      </c>
      <c r="F142" s="57">
        <v>-0.5029204178913157</v>
      </c>
      <c r="G142" s="57">
        <v>1141.4609956263373</v>
      </c>
      <c r="H142" s="57">
        <v>21602.407760304337</v>
      </c>
      <c r="I142" s="57">
        <v>26133.97209737037</v>
      </c>
      <c r="J142" s="57">
        <v>7874.0498369255274</v>
      </c>
      <c r="K142" s="57">
        <v>8238.3245343946928</v>
      </c>
      <c r="L142" s="57">
        <v>39498.055323280016</v>
      </c>
    </row>
    <row r="143" spans="1:12" x14ac:dyDescent="0.35">
      <c r="A143" s="48" t="s">
        <v>186</v>
      </c>
      <c r="B143" s="54">
        <v>1</v>
      </c>
      <c r="C143" s="57">
        <v>20700</v>
      </c>
      <c r="D143" s="57">
        <v>23933.632572254035</v>
      </c>
      <c r="E143" s="57">
        <v>-3233.632572254035</v>
      </c>
      <c r="F143" s="57">
        <v>-0.41505385754169666</v>
      </c>
      <c r="G143" s="57">
        <v>1168.0733992465127</v>
      </c>
      <c r="H143" s="57">
        <v>21615.02520004307</v>
      </c>
      <c r="I143" s="57">
        <v>26252.239944465</v>
      </c>
      <c r="J143" s="57">
        <v>7877.9517068764753</v>
      </c>
      <c r="K143" s="57">
        <v>8296.0220271731414</v>
      </c>
      <c r="L143" s="57">
        <v>39571.243117334932</v>
      </c>
    </row>
    <row r="144" spans="1:12" x14ac:dyDescent="0.35">
      <c r="A144" s="48" t="s">
        <v>259</v>
      </c>
      <c r="B144" s="54">
        <v>1</v>
      </c>
      <c r="C144" s="57">
        <v>26250</v>
      </c>
      <c r="D144" s="57">
        <v>26504.641863456764</v>
      </c>
      <c r="E144" s="57">
        <v>-254.64186345676353</v>
      </c>
      <c r="F144" s="57">
        <v>-3.2684631094516532E-2</v>
      </c>
      <c r="G144" s="57">
        <v>2063.3613991300199</v>
      </c>
      <c r="H144" s="57">
        <v>22408.901857182769</v>
      </c>
      <c r="I144" s="57">
        <v>30600.381869730758</v>
      </c>
      <c r="J144" s="57">
        <v>8059.4781402563813</v>
      </c>
      <c r="K144" s="57">
        <v>10506.704195990142</v>
      </c>
      <c r="L144" s="57">
        <v>42502.579530923387</v>
      </c>
    </row>
    <row r="145" spans="1:12" x14ac:dyDescent="0.35">
      <c r="A145" s="48" t="s">
        <v>260</v>
      </c>
      <c r="B145" s="54">
        <v>1</v>
      </c>
      <c r="C145" s="57">
        <v>68125</v>
      </c>
      <c r="D145" s="57">
        <v>64704.206453828592</v>
      </c>
      <c r="E145" s="57">
        <v>3420.7935461714078</v>
      </c>
      <c r="F145" s="57">
        <v>0.43907695926086249</v>
      </c>
      <c r="G145" s="57">
        <v>1871.7797651270034</v>
      </c>
      <c r="H145" s="57">
        <v>60988.752985426414</v>
      </c>
      <c r="I145" s="57">
        <v>68419.65992223077</v>
      </c>
      <c r="J145" s="57">
        <v>8012.57056873695</v>
      </c>
      <c r="K145" s="57">
        <v>48799.379579919652</v>
      </c>
      <c r="L145" s="57">
        <v>80609.033327737532</v>
      </c>
    </row>
    <row r="146" spans="1:12" x14ac:dyDescent="0.35">
      <c r="A146" s="48" t="s">
        <v>261</v>
      </c>
      <c r="B146" s="54">
        <v>1</v>
      </c>
      <c r="C146" s="57">
        <v>21150</v>
      </c>
      <c r="D146" s="57">
        <v>20642.409393534796</v>
      </c>
      <c r="E146" s="57">
        <v>507.59060646520447</v>
      </c>
      <c r="F146" s="57">
        <v>6.5151941217136383E-2</v>
      </c>
      <c r="G146" s="57">
        <v>1742.0039198240968</v>
      </c>
      <c r="H146" s="57">
        <v>17184.558942073443</v>
      </c>
      <c r="I146" s="57">
        <v>24100.259844996148</v>
      </c>
      <c r="J146" s="57">
        <v>7983.2515484940841</v>
      </c>
      <c r="K146" s="57">
        <v>4795.7803148371549</v>
      </c>
      <c r="L146" s="57">
        <v>36489.038472232438</v>
      </c>
    </row>
    <row r="147" spans="1:12" x14ac:dyDescent="0.35">
      <c r="A147" s="48" t="s">
        <v>262</v>
      </c>
      <c r="B147" s="54">
        <v>1</v>
      </c>
      <c r="C147" s="57">
        <v>35700</v>
      </c>
      <c r="D147" s="57">
        <v>32253.903789429263</v>
      </c>
      <c r="E147" s="57">
        <v>3446.0962105707367</v>
      </c>
      <c r="F147" s="57">
        <v>0.44232469017350107</v>
      </c>
      <c r="G147" s="57">
        <v>917.34018884394584</v>
      </c>
      <c r="H147" s="57">
        <v>30432.997906245037</v>
      </c>
      <c r="I147" s="57">
        <v>34074.80967261349</v>
      </c>
      <c r="J147" s="57">
        <v>7844.6950643042146</v>
      </c>
      <c r="K147" s="57">
        <v>16682.307158108215</v>
      </c>
      <c r="L147" s="57">
        <v>47825.500420750308</v>
      </c>
    </row>
    <row r="148" spans="1:12" x14ac:dyDescent="0.35">
      <c r="A148" s="48" t="s">
        <v>263</v>
      </c>
      <c r="B148" s="54">
        <v>1</v>
      </c>
      <c r="C148" s="57">
        <v>21900</v>
      </c>
      <c r="D148" s="57">
        <v>21360.084294239641</v>
      </c>
      <c r="E148" s="57">
        <v>539.91570576035883</v>
      </c>
      <c r="F148" s="57">
        <v>6.9301038821172445E-2</v>
      </c>
      <c r="G148" s="57">
        <v>1221.1533920555348</v>
      </c>
      <c r="H148" s="57">
        <v>18936.113969047045</v>
      </c>
      <c r="I148" s="57">
        <v>23784.054619432238</v>
      </c>
      <c r="J148" s="57">
        <v>7885.9966546264395</v>
      </c>
      <c r="K148" s="57">
        <v>5706.5046540880521</v>
      </c>
      <c r="L148" s="57">
        <v>37013.663934391232</v>
      </c>
    </row>
    <row r="149" spans="1:12" x14ac:dyDescent="0.35">
      <c r="A149" s="48" t="s">
        <v>264</v>
      </c>
      <c r="B149" s="54">
        <v>1</v>
      </c>
      <c r="C149" s="57">
        <v>24000</v>
      </c>
      <c r="D149" s="57">
        <v>25187.15635984455</v>
      </c>
      <c r="E149" s="57">
        <v>-1187.15635984455</v>
      </c>
      <c r="F149" s="57">
        <v>-0.15237780287300054</v>
      </c>
      <c r="G149" s="57">
        <v>1429.5312983971678</v>
      </c>
      <c r="H149" s="57">
        <v>22349.559159695928</v>
      </c>
      <c r="I149" s="57">
        <v>28024.753559993173</v>
      </c>
      <c r="J149" s="57">
        <v>7920.939803012503</v>
      </c>
      <c r="K149" s="57">
        <v>9464.2151183514252</v>
      </c>
      <c r="L149" s="57">
        <v>40910.097601337678</v>
      </c>
    </row>
    <row r="150" spans="1:12" x14ac:dyDescent="0.35">
      <c r="A150" s="48" t="s">
        <v>265</v>
      </c>
      <c r="B150" s="54">
        <v>1</v>
      </c>
      <c r="C150" s="57">
        <v>60000</v>
      </c>
      <c r="D150" s="57">
        <v>64115.969593438756</v>
      </c>
      <c r="E150" s="57">
        <v>-4115.9695934387564</v>
      </c>
      <c r="F150" s="57">
        <v>-0.52830648476869579</v>
      </c>
      <c r="G150" s="57">
        <v>1832.2480754904984</v>
      </c>
      <c r="H150" s="57">
        <v>60478.985908773015</v>
      </c>
      <c r="I150" s="57">
        <v>67752.953278104498</v>
      </c>
      <c r="J150" s="57">
        <v>8003.4280555265377</v>
      </c>
      <c r="K150" s="57">
        <v>48229.290464820377</v>
      </c>
      <c r="L150" s="57">
        <v>80002.648722057143</v>
      </c>
    </row>
    <row r="151" spans="1:12" x14ac:dyDescent="0.35">
      <c r="A151" s="48" t="s">
        <v>266</v>
      </c>
      <c r="B151" s="54">
        <v>1</v>
      </c>
      <c r="C151" s="57">
        <v>23700</v>
      </c>
      <c r="D151" s="57">
        <v>26090.205469361092</v>
      </c>
      <c r="E151" s="57">
        <v>-2390.2054693610917</v>
      </c>
      <c r="F151" s="57">
        <v>-0.306795524292995</v>
      </c>
      <c r="G151" s="57">
        <v>2590.0164665680963</v>
      </c>
      <c r="H151" s="57">
        <v>20949.063416638746</v>
      </c>
      <c r="I151" s="57">
        <v>31231.347522083437</v>
      </c>
      <c r="J151" s="57">
        <v>8210.1104089375403</v>
      </c>
      <c r="K151" s="57">
        <v>9793.2651117533424</v>
      </c>
      <c r="L151" s="57">
        <v>42387.145826968845</v>
      </c>
    </row>
    <row r="152" spans="1:12" x14ac:dyDescent="0.35">
      <c r="A152" s="48" t="s">
        <v>267</v>
      </c>
      <c r="B152" s="54">
        <v>1</v>
      </c>
      <c r="C152" s="57">
        <v>26700</v>
      </c>
      <c r="D152" s="57">
        <v>26614.017598211496</v>
      </c>
      <c r="E152" s="57">
        <v>85.982401788503921</v>
      </c>
      <c r="F152" s="57">
        <v>1.1036296408327689E-2</v>
      </c>
      <c r="G152" s="57">
        <v>1071.6753336754175</v>
      </c>
      <c r="H152" s="57">
        <v>24486.758873820261</v>
      </c>
      <c r="I152" s="57">
        <v>28741.276322602731</v>
      </c>
      <c r="J152" s="57">
        <v>7864.236495087046</v>
      </c>
      <c r="K152" s="57">
        <v>11003.631533361828</v>
      </c>
      <c r="L152" s="57">
        <v>42224.403663061166</v>
      </c>
    </row>
    <row r="153" spans="1:12" x14ac:dyDescent="0.35">
      <c r="A153" s="48" t="s">
        <v>268</v>
      </c>
      <c r="B153" s="54">
        <v>1</v>
      </c>
      <c r="C153" s="57">
        <v>23100</v>
      </c>
      <c r="D153" s="57">
        <v>22766.307583135742</v>
      </c>
      <c r="E153" s="57">
        <v>333.69241686425812</v>
      </c>
      <c r="F153" s="57">
        <v>4.2831188070133537E-2</v>
      </c>
      <c r="G153" s="57">
        <v>1394.8486161554215</v>
      </c>
      <c r="H153" s="57">
        <v>19997.554963118506</v>
      </c>
      <c r="I153" s="57">
        <v>25535.060203152978</v>
      </c>
      <c r="J153" s="57">
        <v>7914.7539628115637</v>
      </c>
      <c r="K153" s="57">
        <v>7055.6451373950658</v>
      </c>
      <c r="L153" s="57">
        <v>38476.970028876414</v>
      </c>
    </row>
    <row r="154" spans="1:12" x14ac:dyDescent="0.35">
      <c r="A154" s="48" t="s">
        <v>269</v>
      </c>
      <c r="B154" s="54">
        <v>1</v>
      </c>
      <c r="C154" s="57">
        <v>25800</v>
      </c>
      <c r="D154" s="57">
        <v>28884.1366831786</v>
      </c>
      <c r="E154" s="57">
        <v>-3084.1366831785999</v>
      </c>
      <c r="F154" s="57">
        <v>-0.39586526883814671</v>
      </c>
      <c r="G154" s="57">
        <v>908.16611162273477</v>
      </c>
      <c r="H154" s="57">
        <v>27081.441199351175</v>
      </c>
      <c r="I154" s="57">
        <v>30686.832167006025</v>
      </c>
      <c r="J154" s="57">
        <v>7843.6275610300763</v>
      </c>
      <c r="K154" s="57">
        <v>13314.659029109216</v>
      </c>
      <c r="L154" s="57">
        <v>44453.614337247986</v>
      </c>
    </row>
    <row r="155" spans="1:12" x14ac:dyDescent="0.35">
      <c r="A155" s="48" t="s">
        <v>270</v>
      </c>
      <c r="B155" s="54">
        <v>1</v>
      </c>
      <c r="C155" s="57">
        <v>37650</v>
      </c>
      <c r="D155" s="57">
        <v>30301.79610901916</v>
      </c>
      <c r="E155" s="57">
        <v>7348.2038909808398</v>
      </c>
      <c r="F155" s="57">
        <v>0.94318086634949372</v>
      </c>
      <c r="G155" s="57">
        <v>882.04262827941727</v>
      </c>
      <c r="H155" s="57">
        <v>28550.955329790537</v>
      </c>
      <c r="I155" s="57">
        <v>32052.636888247784</v>
      </c>
      <c r="J155" s="57">
        <v>7840.6458170199685</v>
      </c>
      <c r="K155" s="57">
        <v>14738.237170030816</v>
      </c>
      <c r="L155" s="57">
        <v>45865.355048007506</v>
      </c>
    </row>
    <row r="156" spans="1:12" x14ac:dyDescent="0.35">
      <c r="A156" s="48" t="s">
        <v>271</v>
      </c>
      <c r="B156" s="54">
        <v>1</v>
      </c>
      <c r="C156" s="57">
        <v>22950</v>
      </c>
      <c r="D156" s="57">
        <v>30544.509355677244</v>
      </c>
      <c r="E156" s="57">
        <v>-7594.5093556772445</v>
      </c>
      <c r="F156" s="57">
        <v>-0.97479547653527088</v>
      </c>
      <c r="G156" s="57">
        <v>1178.162090199263</v>
      </c>
      <c r="H156" s="57">
        <v>28205.876090201273</v>
      </c>
      <c r="I156" s="57">
        <v>32883.142621153216</v>
      </c>
      <c r="J156" s="57">
        <v>7879.4538859386284</v>
      </c>
      <c r="K156" s="57">
        <v>14903.91700872488</v>
      </c>
      <c r="L156" s="57">
        <v>46185.10170262961</v>
      </c>
    </row>
    <row r="157" spans="1:12" x14ac:dyDescent="0.35">
      <c r="A157" s="48" t="s">
        <v>272</v>
      </c>
      <c r="B157" s="54">
        <v>1</v>
      </c>
      <c r="C157" s="57">
        <v>40200</v>
      </c>
      <c r="D157" s="57">
        <v>39416.091977552016</v>
      </c>
      <c r="E157" s="57">
        <v>783.90802244798397</v>
      </c>
      <c r="F157" s="57">
        <v>0.10061874421561771</v>
      </c>
      <c r="G157" s="57">
        <v>1182.2327776876969</v>
      </c>
      <c r="H157" s="57">
        <v>37069.378461274391</v>
      </c>
      <c r="I157" s="57">
        <v>41762.805493829641</v>
      </c>
      <c r="J157" s="57">
        <v>7880.0635765512598</v>
      </c>
      <c r="K157" s="57">
        <v>23774.289404298695</v>
      </c>
      <c r="L157" s="57">
        <v>55057.894550805337</v>
      </c>
    </row>
    <row r="158" spans="1:12" x14ac:dyDescent="0.35">
      <c r="A158" s="48" t="s">
        <v>273</v>
      </c>
      <c r="B158" s="54">
        <v>1</v>
      </c>
      <c r="C158" s="57">
        <v>29700</v>
      </c>
      <c r="D158" s="57">
        <v>27564.90573731724</v>
      </c>
      <c r="E158" s="57">
        <v>2135.09426268276</v>
      </c>
      <c r="F158" s="57">
        <v>0.2740506505115714</v>
      </c>
      <c r="G158" s="57">
        <v>1034.4523240381154</v>
      </c>
      <c r="H158" s="57">
        <v>25511.534103083697</v>
      </c>
      <c r="I158" s="57">
        <v>29618.277371550783</v>
      </c>
      <c r="J158" s="57">
        <v>7859.2505520920076</v>
      </c>
      <c r="K158" s="57">
        <v>11964.416691090868</v>
      </c>
      <c r="L158" s="57">
        <v>43165.394783543612</v>
      </c>
    </row>
    <row r="159" spans="1:12" x14ac:dyDescent="0.35">
      <c r="A159" s="48" t="s">
        <v>274</v>
      </c>
      <c r="B159" s="54">
        <v>1</v>
      </c>
      <c r="C159" s="57">
        <v>35250</v>
      </c>
      <c r="D159" s="57">
        <v>32012.235668862253</v>
      </c>
      <c r="E159" s="57">
        <v>3237.7643311377469</v>
      </c>
      <c r="F159" s="57">
        <v>0.41558419066545088</v>
      </c>
      <c r="G159" s="57">
        <v>1077.4173939216573</v>
      </c>
      <c r="H159" s="57">
        <v>29873.579044966416</v>
      </c>
      <c r="I159" s="57">
        <v>34150.892292758086</v>
      </c>
      <c r="J159" s="57">
        <v>7865.0210343377721</v>
      </c>
      <c r="K159" s="57">
        <v>16400.292305908119</v>
      </c>
      <c r="L159" s="57">
        <v>47624.179031816384</v>
      </c>
    </row>
    <row r="160" spans="1:12" x14ac:dyDescent="0.35">
      <c r="A160" s="48" t="s">
        <v>275</v>
      </c>
      <c r="B160" s="54">
        <v>1</v>
      </c>
      <c r="C160" s="57">
        <v>21300</v>
      </c>
      <c r="D160" s="57">
        <v>21336.260122664105</v>
      </c>
      <c r="E160" s="57">
        <v>-36.260122664105438</v>
      </c>
      <c r="F160" s="57">
        <v>-4.6541786830720175E-3</v>
      </c>
      <c r="G160" s="57">
        <v>1947.5512160500946</v>
      </c>
      <c r="H160" s="57">
        <v>17470.401512918303</v>
      </c>
      <c r="I160" s="57">
        <v>25202.118732409908</v>
      </c>
      <c r="J160" s="57">
        <v>8030.6091530461663</v>
      </c>
      <c r="K160" s="57">
        <v>5395.6269418993015</v>
      </c>
      <c r="L160" s="57">
        <v>37276.893303428908</v>
      </c>
    </row>
    <row r="161" spans="1:12" x14ac:dyDescent="0.35">
      <c r="A161" s="48" t="s">
        <v>276</v>
      </c>
      <c r="B161" s="54">
        <v>1</v>
      </c>
      <c r="C161" s="57">
        <v>22350</v>
      </c>
      <c r="D161" s="57">
        <v>23900.911250545694</v>
      </c>
      <c r="E161" s="57">
        <v>-1550.9112505456942</v>
      </c>
      <c r="F161" s="57">
        <v>-0.19906766859263225</v>
      </c>
      <c r="G161" s="57">
        <v>1154.608525083376</v>
      </c>
      <c r="H161" s="57">
        <v>21609.031442305179</v>
      </c>
      <c r="I161" s="57">
        <v>26192.79105878621</v>
      </c>
      <c r="J161" s="57">
        <v>7875.9665105970244</v>
      </c>
      <c r="K161" s="57">
        <v>8267.2412889348034</v>
      </c>
      <c r="L161" s="57">
        <v>39534.581212156583</v>
      </c>
    </row>
    <row r="162" spans="1:12" x14ac:dyDescent="0.35">
      <c r="A162" s="48" t="s">
        <v>277</v>
      </c>
      <c r="B162" s="54">
        <v>1</v>
      </c>
      <c r="C162" s="57">
        <v>25050</v>
      </c>
      <c r="D162" s="57">
        <v>28085.723678063703</v>
      </c>
      <c r="E162" s="57">
        <v>-3035.7236780637031</v>
      </c>
      <c r="F162" s="57">
        <v>-0.38965120336251446</v>
      </c>
      <c r="G162" s="57">
        <v>1586.9444765454455</v>
      </c>
      <c r="H162" s="57">
        <v>24935.663788863872</v>
      </c>
      <c r="I162" s="57">
        <v>31235.783567263534</v>
      </c>
      <c r="J162" s="57">
        <v>7950.8565828776436</v>
      </c>
      <c r="K162" s="57">
        <v>12303.398097887006</v>
      </c>
      <c r="L162" s="57">
        <v>43868.049258240397</v>
      </c>
    </row>
    <row r="163" spans="1:12" x14ac:dyDescent="0.35">
      <c r="A163" s="48" t="s">
        <v>278</v>
      </c>
      <c r="B163" s="54">
        <v>1</v>
      </c>
      <c r="C163" s="57">
        <v>23400</v>
      </c>
      <c r="D163" s="57">
        <v>23759.11885647622</v>
      </c>
      <c r="E163" s="57">
        <v>-359.11885647621966</v>
      </c>
      <c r="F163" s="57">
        <v>-4.6094806186504543E-2</v>
      </c>
      <c r="G163" s="57">
        <v>1100.0718750413694</v>
      </c>
      <c r="H163" s="57">
        <v>21575.493442972074</v>
      </c>
      <c r="I163" s="57">
        <v>25942.744269980365</v>
      </c>
      <c r="J163" s="57">
        <v>7868.1564397327338</v>
      </c>
      <c r="K163" s="57">
        <v>8140.951763002824</v>
      </c>
      <c r="L163" s="57">
        <v>39377.285949949612</v>
      </c>
    </row>
    <row r="164" spans="1:12" x14ac:dyDescent="0.35">
      <c r="A164" s="48" t="s">
        <v>279</v>
      </c>
      <c r="B164" s="54">
        <v>1</v>
      </c>
      <c r="C164" s="57">
        <v>20550</v>
      </c>
      <c r="D164" s="57">
        <v>22275.752272364814</v>
      </c>
      <c r="E164" s="57">
        <v>-1725.7522723648144</v>
      </c>
      <c r="F164" s="57">
        <v>-0.22150943924562058</v>
      </c>
      <c r="G164" s="57">
        <v>1071.2025113869702</v>
      </c>
      <c r="H164" s="57">
        <v>20149.432092798288</v>
      </c>
      <c r="I164" s="57">
        <v>24402.072451931341</v>
      </c>
      <c r="J164" s="57">
        <v>7864.1720765921964</v>
      </c>
      <c r="K164" s="57">
        <v>6665.4940772167938</v>
      </c>
      <c r="L164" s="57">
        <v>37886.010467512839</v>
      </c>
    </row>
    <row r="165" spans="1:12" x14ac:dyDescent="0.35">
      <c r="A165" s="48" t="s">
        <v>280</v>
      </c>
      <c r="B165" s="54">
        <v>1</v>
      </c>
      <c r="C165" s="57">
        <v>21750</v>
      </c>
      <c r="D165" s="57">
        <v>19686.788090738773</v>
      </c>
      <c r="E165" s="57">
        <v>2063.2119092612265</v>
      </c>
      <c r="F165" s="57">
        <v>0.26482416994826291</v>
      </c>
      <c r="G165" s="57">
        <v>2213.7632019428047</v>
      </c>
      <c r="H165" s="57">
        <v>15292.502865456718</v>
      </c>
      <c r="I165" s="57">
        <v>24081.073316020829</v>
      </c>
      <c r="J165" s="57">
        <v>8099.2885578998057</v>
      </c>
      <c r="K165" s="57">
        <v>3609.8273688148001</v>
      </c>
      <c r="L165" s="57">
        <v>35763.748812662743</v>
      </c>
    </row>
    <row r="166" spans="1:12" x14ac:dyDescent="0.35">
      <c r="A166" s="48" t="s">
        <v>281</v>
      </c>
      <c r="B166" s="54">
        <v>1</v>
      </c>
      <c r="C166" s="57">
        <v>27750</v>
      </c>
      <c r="D166" s="57">
        <v>25133.149853372321</v>
      </c>
      <c r="E166" s="57">
        <v>2616.8501466276794</v>
      </c>
      <c r="F166" s="57">
        <v>0.33588656833985092</v>
      </c>
      <c r="G166" s="57">
        <v>1113.270536829433</v>
      </c>
      <c r="H166" s="57">
        <v>22923.325303285779</v>
      </c>
      <c r="I166" s="57">
        <v>27342.974403458862</v>
      </c>
      <c r="J166" s="57">
        <v>7870.012637729571</v>
      </c>
      <c r="K166" s="57">
        <v>9511.2982359961243</v>
      </c>
      <c r="L166" s="57">
        <v>40755.001470748517</v>
      </c>
    </row>
    <row r="167" spans="1:12" x14ac:dyDescent="0.35">
      <c r="A167" s="48" t="s">
        <v>282</v>
      </c>
      <c r="B167" s="54">
        <v>1</v>
      </c>
      <c r="C167" s="57">
        <v>16350</v>
      </c>
      <c r="D167" s="57">
        <v>20360.834562499163</v>
      </c>
      <c r="E167" s="57">
        <v>-4010.8345624991634</v>
      </c>
      <c r="F167" s="57">
        <v>-0.51481184702640381</v>
      </c>
      <c r="G167" s="57">
        <v>1168.4174361333007</v>
      </c>
      <c r="H167" s="57">
        <v>18041.54428246534</v>
      </c>
      <c r="I167" s="57">
        <v>22680.124842532987</v>
      </c>
      <c r="J167" s="57">
        <v>7878.002724987532</v>
      </c>
      <c r="K167" s="57">
        <v>4723.1227472682185</v>
      </c>
      <c r="L167" s="57">
        <v>35998.546377730105</v>
      </c>
    </row>
    <row r="168" spans="1:12" x14ac:dyDescent="0.35">
      <c r="A168" s="48" t="s">
        <v>283</v>
      </c>
      <c r="B168" s="54">
        <v>1</v>
      </c>
      <c r="C168" s="57">
        <v>24450</v>
      </c>
      <c r="D168" s="57">
        <v>30792.615934644251</v>
      </c>
      <c r="E168" s="57">
        <v>-6342.615934644251</v>
      </c>
      <c r="F168" s="57">
        <v>-0.81410832917992959</v>
      </c>
      <c r="G168" s="57">
        <v>871.93305781115362</v>
      </c>
      <c r="H168" s="57">
        <v>29061.842494191358</v>
      </c>
      <c r="I168" s="57">
        <v>32523.389375097144</v>
      </c>
      <c r="J168" s="57">
        <v>7839.5149650443664</v>
      </c>
      <c r="K168" s="57">
        <v>15231.30171908613</v>
      </c>
      <c r="L168" s="57">
        <v>46353.930150202374</v>
      </c>
    </row>
    <row r="169" spans="1:12" x14ac:dyDescent="0.35">
      <c r="A169" s="48" t="s">
        <v>300</v>
      </c>
      <c r="B169" s="54">
        <v>1</v>
      </c>
      <c r="C169" s="57">
        <v>18150</v>
      </c>
      <c r="D169" s="57">
        <v>23436.374288228937</v>
      </c>
      <c r="E169" s="57">
        <v>-5286.3742882289371</v>
      </c>
      <c r="F169" s="57">
        <v>-0.67853412275879621</v>
      </c>
      <c r="G169" s="57">
        <v>1184.1703223306538</v>
      </c>
      <c r="H169" s="57">
        <v>21085.814776232168</v>
      </c>
      <c r="I169" s="57">
        <v>25786.933800225706</v>
      </c>
      <c r="J169" s="57">
        <v>7880.3544959690325</v>
      </c>
      <c r="K169" s="57">
        <v>7793.9942444954213</v>
      </c>
      <c r="L169" s="57">
        <v>39078.754331962453</v>
      </c>
    </row>
    <row r="170" spans="1:12" x14ac:dyDescent="0.35">
      <c r="A170" s="48" t="s">
        <v>301</v>
      </c>
      <c r="B170" s="54">
        <v>1</v>
      </c>
      <c r="C170" s="57">
        <v>30300</v>
      </c>
      <c r="D170" s="57">
        <v>33299.00980786945</v>
      </c>
      <c r="E170" s="57">
        <v>-2999.00980786945</v>
      </c>
      <c r="F170" s="57">
        <v>-0.38493878378208329</v>
      </c>
      <c r="G170" s="57">
        <v>1040.6028552562238</v>
      </c>
      <c r="H170" s="57">
        <v>31233.429465660432</v>
      </c>
      <c r="I170" s="57">
        <v>35364.590150078468</v>
      </c>
      <c r="J170" s="57">
        <v>7860.0624636333559</v>
      </c>
      <c r="K170" s="57">
        <v>17696.909129971158</v>
      </c>
      <c r="L170" s="57">
        <v>48901.110485767742</v>
      </c>
    </row>
    <row r="171" spans="1:12" x14ac:dyDescent="0.35">
      <c r="A171" s="48" t="s">
        <v>302</v>
      </c>
      <c r="B171" s="54">
        <v>1</v>
      </c>
      <c r="C171" s="57">
        <v>70000</v>
      </c>
      <c r="D171" s="57">
        <v>44792.237785539175</v>
      </c>
      <c r="E171" s="57">
        <v>25207.762214460825</v>
      </c>
      <c r="F171" s="57">
        <v>3.2355497148560528</v>
      </c>
      <c r="G171" s="57">
        <v>1211.5021643868556</v>
      </c>
      <c r="H171" s="57">
        <v>42387.424995855836</v>
      </c>
      <c r="I171" s="57">
        <v>47197.050575222514</v>
      </c>
      <c r="J171" s="57">
        <v>7884.5079189613789</v>
      </c>
      <c r="K171" s="57">
        <v>29141.613262326733</v>
      </c>
      <c r="L171" s="57">
        <v>60442.862308751617</v>
      </c>
    </row>
    <row r="172" spans="1:12" x14ac:dyDescent="0.35">
      <c r="A172" s="48" t="s">
        <v>303</v>
      </c>
      <c r="B172" s="54">
        <v>1</v>
      </c>
      <c r="C172" s="57">
        <v>21450</v>
      </c>
      <c r="D172" s="57">
        <v>21097.52017601041</v>
      </c>
      <c r="E172" s="57">
        <v>352.47982398958993</v>
      </c>
      <c r="F172" s="57">
        <v>4.5242651223827528E-2</v>
      </c>
      <c r="G172" s="57">
        <v>2421.175531212325</v>
      </c>
      <c r="H172" s="57">
        <v>16291.52473111204</v>
      </c>
      <c r="I172" s="57">
        <v>25903.51562090878</v>
      </c>
      <c r="J172" s="57">
        <v>8158.4201033528516</v>
      </c>
      <c r="K172" s="57">
        <v>4903.1842640460673</v>
      </c>
      <c r="L172" s="57">
        <v>37291.856087974753</v>
      </c>
    </row>
    <row r="173" spans="1:12" x14ac:dyDescent="0.35">
      <c r="A173" s="48" t="s">
        <v>304</v>
      </c>
      <c r="B173" s="54">
        <v>1</v>
      </c>
      <c r="C173" s="57">
        <v>19650</v>
      </c>
      <c r="D173" s="57">
        <v>23316.396108631689</v>
      </c>
      <c r="E173" s="57">
        <v>-3666.3961086316885</v>
      </c>
      <c r="F173" s="57">
        <v>-0.47060134822389421</v>
      </c>
      <c r="G173" s="57">
        <v>1136.5285754010056</v>
      </c>
      <c r="H173" s="57">
        <v>21060.404716863792</v>
      </c>
      <c r="I173" s="57">
        <v>25572.387500399585</v>
      </c>
      <c r="J173" s="57">
        <v>7873.3363215700183</v>
      </c>
      <c r="K173" s="57">
        <v>7687.9470309757435</v>
      </c>
      <c r="L173" s="57">
        <v>38944.845186287632</v>
      </c>
    </row>
    <row r="174" spans="1:12" x14ac:dyDescent="0.35">
      <c r="A174" s="48" t="s">
        <v>305</v>
      </c>
      <c r="B174" s="54">
        <v>1</v>
      </c>
      <c r="C174" s="57">
        <v>26550</v>
      </c>
      <c r="D174" s="57">
        <v>30638.204671966152</v>
      </c>
      <c r="E174" s="57">
        <v>-4088.2046719661521</v>
      </c>
      <c r="F174" s="57">
        <v>-0.52474271012700424</v>
      </c>
      <c r="G174" s="57">
        <v>1116.2903714645893</v>
      </c>
      <c r="H174" s="57">
        <v>28422.385797505434</v>
      </c>
      <c r="I174" s="57">
        <v>32854.02354642687</v>
      </c>
      <c r="J174" s="57">
        <v>7870.4403830583215</v>
      </c>
      <c r="K174" s="57">
        <v>15015.50398682306</v>
      </c>
      <c r="L174" s="57">
        <v>46260.905357109245</v>
      </c>
    </row>
    <row r="175" spans="1:12" x14ac:dyDescent="0.35">
      <c r="A175" s="48" t="s">
        <v>306</v>
      </c>
      <c r="B175" s="54">
        <v>1</v>
      </c>
      <c r="C175" s="57">
        <v>23850</v>
      </c>
      <c r="D175" s="57">
        <v>28675.189884319934</v>
      </c>
      <c r="E175" s="57">
        <v>-4825.1898843199342</v>
      </c>
      <c r="F175" s="57">
        <v>-0.619338663286086</v>
      </c>
      <c r="G175" s="57">
        <v>1255.6882357461475</v>
      </c>
      <c r="H175" s="57">
        <v>26182.668436200594</v>
      </c>
      <c r="I175" s="57">
        <v>31167.711332439274</v>
      </c>
      <c r="J175" s="57">
        <v>7891.4181599533767</v>
      </c>
      <c r="K175" s="57">
        <v>13010.84864114954</v>
      </c>
      <c r="L175" s="57">
        <v>44339.531127490329</v>
      </c>
    </row>
    <row r="176" spans="1:12" x14ac:dyDescent="0.35">
      <c r="A176" s="48" t="s">
        <v>307</v>
      </c>
      <c r="B176" s="54">
        <v>1</v>
      </c>
      <c r="C176" s="57">
        <v>36000</v>
      </c>
      <c r="D176" s="57">
        <v>37846.215465911999</v>
      </c>
      <c r="E176" s="57">
        <v>-1846.2154659119988</v>
      </c>
      <c r="F176" s="57">
        <v>-0.23697152779660857</v>
      </c>
      <c r="G176" s="57">
        <v>975.64697777755168</v>
      </c>
      <c r="H176" s="57">
        <v>35909.57152143932</v>
      </c>
      <c r="I176" s="57">
        <v>39782.859410384677</v>
      </c>
      <c r="J176" s="57">
        <v>7851.7268581565631</v>
      </c>
      <c r="K176" s="57">
        <v>22260.660834112179</v>
      </c>
      <c r="L176" s="57">
        <v>53431.770097711822</v>
      </c>
    </row>
    <row r="177" spans="1:12" x14ac:dyDescent="0.35">
      <c r="A177" s="48" t="s">
        <v>308</v>
      </c>
      <c r="B177" s="54">
        <v>1</v>
      </c>
      <c r="C177" s="57">
        <v>17100</v>
      </c>
      <c r="D177" s="57">
        <v>19262.204453092865</v>
      </c>
      <c r="E177" s="57">
        <v>-2162.2044530928652</v>
      </c>
      <c r="F177" s="57">
        <v>-0.27753038695564136</v>
      </c>
      <c r="G177" s="57">
        <v>2001.1922496909483</v>
      </c>
      <c r="H177" s="57">
        <v>15289.869233116122</v>
      </c>
      <c r="I177" s="57">
        <v>23234.539673069608</v>
      </c>
      <c r="J177" s="57">
        <v>8043.7863006219768</v>
      </c>
      <c r="K177" s="57">
        <v>3295.4148411194619</v>
      </c>
      <c r="L177" s="57">
        <v>35228.994065066268</v>
      </c>
    </row>
    <row r="178" spans="1:12" x14ac:dyDescent="0.35">
      <c r="A178" s="48" t="s">
        <v>309</v>
      </c>
      <c r="B178" s="54">
        <v>1</v>
      </c>
      <c r="C178" s="57">
        <v>30750</v>
      </c>
      <c r="D178" s="57">
        <v>29833.055012720455</v>
      </c>
      <c r="E178" s="57">
        <v>916.94498727954488</v>
      </c>
      <c r="F178" s="57">
        <v>0.11769474286888724</v>
      </c>
      <c r="G178" s="57">
        <v>931.02151522628515</v>
      </c>
      <c r="H178" s="57">
        <v>27984.991911306468</v>
      </c>
      <c r="I178" s="57">
        <v>31681.118114134442</v>
      </c>
      <c r="J178" s="57">
        <v>7846.3066911550759</v>
      </c>
      <c r="K178" s="57">
        <v>14258.25932738442</v>
      </c>
      <c r="L178" s="57">
        <v>45407.850698056493</v>
      </c>
    </row>
    <row r="179" spans="1:12" x14ac:dyDescent="0.35">
      <c r="A179" s="48" t="s">
        <v>310</v>
      </c>
      <c r="B179" s="54">
        <v>1</v>
      </c>
      <c r="C179" s="57">
        <v>21600</v>
      </c>
      <c r="D179" s="57">
        <v>22485.181486729598</v>
      </c>
      <c r="E179" s="57">
        <v>-885.18148672959796</v>
      </c>
      <c r="F179" s="57">
        <v>-0.11361772943656226</v>
      </c>
      <c r="G179" s="57">
        <v>1888.3557628488079</v>
      </c>
      <c r="H179" s="57">
        <v>18736.824922901807</v>
      </c>
      <c r="I179" s="57">
        <v>26233.538050557388</v>
      </c>
      <c r="J179" s="57">
        <v>8016.4590136128663</v>
      </c>
      <c r="K179" s="57">
        <v>6572.6361107457487</v>
      </c>
      <c r="L179" s="57">
        <v>38397.726862713447</v>
      </c>
    </row>
    <row r="180" spans="1:12" x14ac:dyDescent="0.35">
      <c r="A180" s="48" t="s">
        <v>311</v>
      </c>
      <c r="B180" s="54">
        <v>1</v>
      </c>
      <c r="C180" s="57">
        <v>22200</v>
      </c>
      <c r="D180" s="57">
        <v>32962.865759776621</v>
      </c>
      <c r="E180" s="57">
        <v>-10762.865759776621</v>
      </c>
      <c r="F180" s="57">
        <v>-1.3814707923618073</v>
      </c>
      <c r="G180" s="57">
        <v>1177.6729207931999</v>
      </c>
      <c r="H180" s="57">
        <v>30625.203487897361</v>
      </c>
      <c r="I180" s="57">
        <v>35300.528031655878</v>
      </c>
      <c r="J180" s="57">
        <v>7879.3807585507793</v>
      </c>
      <c r="K180" s="57">
        <v>17322.418569541878</v>
      </c>
      <c r="L180" s="57">
        <v>48603.312950011365</v>
      </c>
    </row>
    <row r="181" spans="1:12" x14ac:dyDescent="0.35">
      <c r="A181" s="48" t="s">
        <v>312</v>
      </c>
      <c r="B181" s="54">
        <v>1</v>
      </c>
      <c r="C181" s="57">
        <v>24300</v>
      </c>
      <c r="D181" s="57">
        <v>29124.093042373097</v>
      </c>
      <c r="E181" s="57">
        <v>-4824.093042373097</v>
      </c>
      <c r="F181" s="57">
        <v>-0.61919787781619229</v>
      </c>
      <c r="G181" s="57">
        <v>865.47151564794933</v>
      </c>
      <c r="H181" s="57">
        <v>27406.145661742408</v>
      </c>
      <c r="I181" s="57">
        <v>30842.040423003786</v>
      </c>
      <c r="J181" s="57">
        <v>7838.7989242133654</v>
      </c>
      <c r="K181" s="57">
        <v>13564.200156630923</v>
      </c>
      <c r="L181" s="57">
        <v>44683.985928115275</v>
      </c>
    </row>
    <row r="182" spans="1:12" x14ac:dyDescent="0.35">
      <c r="A182" s="48" t="s">
        <v>313</v>
      </c>
      <c r="B182" s="54">
        <v>1</v>
      </c>
      <c r="C182" s="57">
        <v>27900</v>
      </c>
      <c r="D182" s="57">
        <v>27453.858388729419</v>
      </c>
      <c r="E182" s="57">
        <v>446.14161127058105</v>
      </c>
      <c r="F182" s="57">
        <v>5.7264637410132921E-2</v>
      </c>
      <c r="G182" s="57">
        <v>1291.6589194489331</v>
      </c>
      <c r="H182" s="57">
        <v>24889.935697785317</v>
      </c>
      <c r="I182" s="57">
        <v>30017.781079673521</v>
      </c>
      <c r="J182" s="57">
        <v>7897.2216882928296</v>
      </c>
      <c r="K182" s="57">
        <v>11777.997232853735</v>
      </c>
      <c r="L182" s="57">
        <v>43129.719544605105</v>
      </c>
    </row>
    <row r="183" spans="1:12" x14ac:dyDescent="0.35">
      <c r="A183" s="48" t="s">
        <v>314</v>
      </c>
      <c r="B183" s="54">
        <v>1</v>
      </c>
      <c r="C183" s="57">
        <v>57000</v>
      </c>
      <c r="D183" s="57">
        <v>51793.495957504987</v>
      </c>
      <c r="E183" s="57">
        <v>5206.504042495013</v>
      </c>
      <c r="F183" s="57">
        <v>0.66828235393412716</v>
      </c>
      <c r="G183" s="57">
        <v>1251.335753092535</v>
      </c>
      <c r="H183" s="57">
        <v>49309.614119169244</v>
      </c>
      <c r="I183" s="57">
        <v>54277.37779584073</v>
      </c>
      <c r="J183" s="57">
        <v>7890.726759736287</v>
      </c>
      <c r="K183" s="57">
        <v>36130.527132918498</v>
      </c>
      <c r="L183" s="57">
        <v>67456.464782091469</v>
      </c>
    </row>
    <row r="184" spans="1:12" x14ac:dyDescent="0.35">
      <c r="A184" s="48" t="s">
        <v>315</v>
      </c>
      <c r="B184" s="54">
        <v>1</v>
      </c>
      <c r="C184" s="57">
        <v>26700</v>
      </c>
      <c r="D184" s="57">
        <v>31990.421454390027</v>
      </c>
      <c r="E184" s="57">
        <v>-5290.4214543900271</v>
      </c>
      <c r="F184" s="57">
        <v>-0.67905359795881925</v>
      </c>
      <c r="G184" s="57">
        <v>1076.1048419521012</v>
      </c>
      <c r="H184" s="57">
        <v>29854.370225561819</v>
      </c>
      <c r="I184" s="57">
        <v>34126.472683218235</v>
      </c>
      <c r="J184" s="57">
        <v>7864.8413372885925</v>
      </c>
      <c r="K184" s="57">
        <v>16378.834787259342</v>
      </c>
      <c r="L184" s="57">
        <v>47602.00812152071</v>
      </c>
    </row>
    <row r="185" spans="1:12" x14ac:dyDescent="0.35">
      <c r="A185" s="48" t="s">
        <v>316</v>
      </c>
      <c r="B185" s="54">
        <v>1</v>
      </c>
      <c r="C185" s="57">
        <v>20400</v>
      </c>
      <c r="D185" s="57">
        <v>23955.446786726257</v>
      </c>
      <c r="E185" s="57">
        <v>-3555.4467867262574</v>
      </c>
      <c r="F185" s="57">
        <v>-0.45636041545880113</v>
      </c>
      <c r="G185" s="57">
        <v>1177.2209178165738</v>
      </c>
      <c r="H185" s="57">
        <v>21618.681733664362</v>
      </c>
      <c r="I185" s="57">
        <v>26292.211839788153</v>
      </c>
      <c r="J185" s="57">
        <v>7879.3132136751337</v>
      </c>
      <c r="K185" s="57">
        <v>8315.1336720099953</v>
      </c>
      <c r="L185" s="57">
        <v>39595.759901442521</v>
      </c>
    </row>
    <row r="186" spans="1:12" x14ac:dyDescent="0.35">
      <c r="A186" s="48" t="s">
        <v>317</v>
      </c>
      <c r="B186" s="54">
        <v>1</v>
      </c>
      <c r="C186" s="57">
        <v>28500</v>
      </c>
      <c r="D186" s="57">
        <v>23911.818357781805</v>
      </c>
      <c r="E186" s="57">
        <v>4588.1816422181946</v>
      </c>
      <c r="F186" s="57">
        <v>0.58891740083420119</v>
      </c>
      <c r="G186" s="57">
        <v>1159.0620967489192</v>
      </c>
      <c r="H186" s="57">
        <v>21611.098279654947</v>
      </c>
      <c r="I186" s="57">
        <v>26212.538435908664</v>
      </c>
      <c r="J186" s="57">
        <v>7876.6206315888203</v>
      </c>
      <c r="K186" s="57">
        <v>8276.8499762643623</v>
      </c>
      <c r="L186" s="57">
        <v>39546.786739299248</v>
      </c>
    </row>
    <row r="187" spans="1:12" x14ac:dyDescent="0.35">
      <c r="A187" s="48" t="s">
        <v>318</v>
      </c>
      <c r="B187" s="54">
        <v>1</v>
      </c>
      <c r="C187" s="57">
        <v>61875</v>
      </c>
      <c r="D187" s="57">
        <v>70939.949849574521</v>
      </c>
      <c r="E187" s="57">
        <v>-9064.9498495745211</v>
      </c>
      <c r="F187" s="57">
        <v>-1.1635342975486176</v>
      </c>
      <c r="G187" s="57">
        <v>2311.8696798856922</v>
      </c>
      <c r="H187" s="57">
        <v>66350.924804717113</v>
      </c>
      <c r="I187" s="57">
        <v>75528.974894431929</v>
      </c>
      <c r="J187" s="57">
        <v>8126.6517734319978</v>
      </c>
      <c r="K187" s="57">
        <v>54808.673574106338</v>
      </c>
      <c r="L187" s="57">
        <v>87071.226125042696</v>
      </c>
    </row>
    <row r="188" spans="1:12" x14ac:dyDescent="0.35">
      <c r="A188" s="48" t="s">
        <v>319</v>
      </c>
      <c r="B188" s="54">
        <v>1</v>
      </c>
      <c r="C188" s="57">
        <v>30300</v>
      </c>
      <c r="D188" s="57">
        <v>34355.987764557976</v>
      </c>
      <c r="E188" s="57">
        <v>-4055.9877645579763</v>
      </c>
      <c r="F188" s="57">
        <v>-0.52060749952436414</v>
      </c>
      <c r="G188" s="57">
        <v>1399.978055642423</v>
      </c>
      <c r="H188" s="57">
        <v>31577.053287632138</v>
      </c>
      <c r="I188" s="57">
        <v>37134.922241483815</v>
      </c>
      <c r="J188" s="57">
        <v>7915.6595547137449</v>
      </c>
      <c r="K188" s="57">
        <v>18643.527733098828</v>
      </c>
      <c r="L188" s="57">
        <v>50068.447796017121</v>
      </c>
    </row>
    <row r="189" spans="1:12" x14ac:dyDescent="0.35">
      <c r="A189" s="48" t="s">
        <v>320</v>
      </c>
      <c r="B189" s="54">
        <v>1</v>
      </c>
      <c r="C189" s="57">
        <v>27600</v>
      </c>
      <c r="D189" s="57">
        <v>29625.819975234306</v>
      </c>
      <c r="E189" s="57">
        <v>-2025.8199752343062</v>
      </c>
      <c r="F189" s="57">
        <v>-0.26002471728564958</v>
      </c>
      <c r="G189" s="57">
        <v>882.94962742622818</v>
      </c>
      <c r="H189" s="57">
        <v>27873.178816928699</v>
      </c>
      <c r="I189" s="57">
        <v>31378.461133539913</v>
      </c>
      <c r="J189" s="57">
        <v>7840.7479027464451</v>
      </c>
      <c r="K189" s="57">
        <v>14062.058397680476</v>
      </c>
      <c r="L189" s="57">
        <v>45189.581552788135</v>
      </c>
    </row>
    <row r="190" spans="1:12" x14ac:dyDescent="0.35">
      <c r="A190" s="48" t="s">
        <v>321</v>
      </c>
      <c r="B190" s="54">
        <v>1</v>
      </c>
      <c r="C190" s="57">
        <v>52125</v>
      </c>
      <c r="D190" s="57">
        <v>54660.65328681274</v>
      </c>
      <c r="E190" s="57">
        <v>-2535.6532868127397</v>
      </c>
      <c r="F190" s="57">
        <v>-0.3254645215755918</v>
      </c>
      <c r="G190" s="57">
        <v>2214.1616823751306</v>
      </c>
      <c r="H190" s="57">
        <v>50265.577084124066</v>
      </c>
      <c r="I190" s="57">
        <v>59055.729489501413</v>
      </c>
      <c r="J190" s="57">
        <v>8099.397482871731</v>
      </c>
      <c r="K190" s="57">
        <v>38583.476350528363</v>
      </c>
      <c r="L190" s="57">
        <v>70737.830223097117</v>
      </c>
    </row>
    <row r="191" spans="1:12" x14ac:dyDescent="0.35">
      <c r="A191" s="48" t="s">
        <v>322</v>
      </c>
      <c r="B191" s="54">
        <v>1</v>
      </c>
      <c r="C191" s="57">
        <v>27300</v>
      </c>
      <c r="D191" s="57">
        <v>27128.621447872705</v>
      </c>
      <c r="E191" s="57">
        <v>171.37855212729482</v>
      </c>
      <c r="F191" s="57">
        <v>2.1997344339824507E-2</v>
      </c>
      <c r="G191" s="57">
        <v>904.84769970253171</v>
      </c>
      <c r="H191" s="57">
        <v>25332.51295964605</v>
      </c>
      <c r="I191" s="57">
        <v>28924.72993609936</v>
      </c>
      <c r="J191" s="57">
        <v>7843.2440348052169</v>
      </c>
      <c r="K191" s="57">
        <v>11559.905087342724</v>
      </c>
      <c r="L191" s="57">
        <v>42697.337808402684</v>
      </c>
    </row>
    <row r="192" spans="1:12" x14ac:dyDescent="0.35">
      <c r="A192" s="48" t="s">
        <v>323</v>
      </c>
      <c r="B192" s="54">
        <v>1</v>
      </c>
      <c r="C192" s="57">
        <v>100000</v>
      </c>
      <c r="D192" s="57">
        <v>82274.264234853399</v>
      </c>
      <c r="E192" s="57">
        <v>17725.735765146601</v>
      </c>
      <c r="F192" s="57">
        <v>2.2751920147688742</v>
      </c>
      <c r="G192" s="57">
        <v>2749.5740946274386</v>
      </c>
      <c r="H192" s="57">
        <v>76816.40279364954</v>
      </c>
      <c r="I192" s="57">
        <v>87732.125676057258</v>
      </c>
      <c r="J192" s="57">
        <v>8261.8330491300148</v>
      </c>
      <c r="K192" s="57">
        <v>65874.655247913062</v>
      </c>
      <c r="L192" s="57">
        <v>98673.873221793736</v>
      </c>
    </row>
    <row r="193" spans="1:12" x14ac:dyDescent="0.35">
      <c r="A193" s="48" t="s">
        <v>324</v>
      </c>
      <c r="B193" s="54">
        <v>1</v>
      </c>
      <c r="C193" s="57">
        <v>28350</v>
      </c>
      <c r="D193" s="57">
        <v>22093.05465593786</v>
      </c>
      <c r="E193" s="57">
        <v>6256.9453440621401</v>
      </c>
      <c r="F193" s="57">
        <v>0.80311205539048214</v>
      </c>
      <c r="G193" s="57">
        <v>1955.3936315866335</v>
      </c>
      <c r="H193" s="57">
        <v>18211.628974387586</v>
      </c>
      <c r="I193" s="57">
        <v>25974.480337488134</v>
      </c>
      <c r="J193" s="57">
        <v>8032.5146675434225</v>
      </c>
      <c r="K193" s="57">
        <v>6148.6390587906226</v>
      </c>
      <c r="L193" s="57">
        <v>38037.470253085099</v>
      </c>
    </row>
    <row r="194" spans="1:12" x14ac:dyDescent="0.35">
      <c r="A194" s="48" t="s">
        <v>325</v>
      </c>
      <c r="B194" s="54">
        <v>1</v>
      </c>
      <c r="C194" s="57">
        <v>22050</v>
      </c>
      <c r="D194" s="57">
        <v>23338.210323103915</v>
      </c>
      <c r="E194" s="57">
        <v>-1288.2103231039146</v>
      </c>
      <c r="F194" s="57">
        <v>-0.16534861397583389</v>
      </c>
      <c r="G194" s="57">
        <v>1144.8634999620942</v>
      </c>
      <c r="H194" s="57">
        <v>21065.674236844534</v>
      </c>
      <c r="I194" s="57">
        <v>25610.746409363295</v>
      </c>
      <c r="J194" s="57">
        <v>7874.5438003351101</v>
      </c>
      <c r="K194" s="57">
        <v>7707.3644190427658</v>
      </c>
      <c r="L194" s="57">
        <v>38969.056227165063</v>
      </c>
    </row>
    <row r="195" spans="1:12" x14ac:dyDescent="0.35">
      <c r="A195" s="48" t="s">
        <v>326</v>
      </c>
      <c r="B195" s="54">
        <v>1</v>
      </c>
      <c r="C195" s="57">
        <v>36000</v>
      </c>
      <c r="D195" s="57">
        <v>43034.746274006597</v>
      </c>
      <c r="E195" s="57">
        <v>-7034.7462740065966</v>
      </c>
      <c r="F195" s="57">
        <v>-0.90294692195602222</v>
      </c>
      <c r="G195" s="57">
        <v>1986.5341505638396</v>
      </c>
      <c r="H195" s="57">
        <v>39091.507150833902</v>
      </c>
      <c r="I195" s="57">
        <v>46977.985397179291</v>
      </c>
      <c r="J195" s="57">
        <v>8040.1520857013056</v>
      </c>
      <c r="K195" s="57">
        <v>27075.170521635424</v>
      </c>
      <c r="L195" s="57">
        <v>58994.322026377769</v>
      </c>
    </row>
    <row r="196" spans="1:12" x14ac:dyDescent="0.35">
      <c r="A196" s="48" t="s">
        <v>327</v>
      </c>
      <c r="B196" s="54">
        <v>1</v>
      </c>
      <c r="C196" s="57">
        <v>66000</v>
      </c>
      <c r="D196" s="57">
        <v>87899.82710867867</v>
      </c>
      <c r="E196" s="57">
        <v>-21899.82710867867</v>
      </c>
      <c r="F196" s="57">
        <v>-2.8109587338233992</v>
      </c>
      <c r="G196" s="57">
        <v>3087.9249198545826</v>
      </c>
      <c r="H196" s="57">
        <v>81770.34458760827</v>
      </c>
      <c r="I196" s="57">
        <v>94029.30962974907</v>
      </c>
      <c r="J196" s="57">
        <v>8380.5135845310579</v>
      </c>
      <c r="K196" s="57">
        <v>71264.639120884196</v>
      </c>
      <c r="L196" s="57">
        <v>104535.01509647314</v>
      </c>
    </row>
    <row r="197" spans="1:12" x14ac:dyDescent="0.35">
      <c r="A197" s="48" t="s">
        <v>328</v>
      </c>
      <c r="B197" s="54">
        <v>1</v>
      </c>
      <c r="C197" s="57">
        <v>49000</v>
      </c>
      <c r="D197" s="57">
        <v>41266.049459507107</v>
      </c>
      <c r="E197" s="57">
        <v>7733.9505404928932</v>
      </c>
      <c r="F197" s="57">
        <v>0.99269349072356095</v>
      </c>
      <c r="G197" s="57">
        <v>936.32834848941297</v>
      </c>
      <c r="H197" s="57">
        <v>39407.452377321948</v>
      </c>
      <c r="I197" s="57">
        <v>43124.646541692266</v>
      </c>
      <c r="J197" s="57">
        <v>7846.9381548496722</v>
      </c>
      <c r="K197" s="57">
        <v>25690.000328644004</v>
      </c>
      <c r="L197" s="57">
        <v>56842.098590370209</v>
      </c>
    </row>
    <row r="198" spans="1:12" x14ac:dyDescent="0.35">
      <c r="A198" s="48" t="s">
        <v>329</v>
      </c>
      <c r="B198" s="54">
        <v>1</v>
      </c>
      <c r="C198" s="57">
        <v>25500</v>
      </c>
      <c r="D198" s="57">
        <v>24116.819070849902</v>
      </c>
      <c r="E198" s="57">
        <v>1383.1809291500977</v>
      </c>
      <c r="F198" s="57">
        <v>0.17753859397874572</v>
      </c>
      <c r="G198" s="57">
        <v>1133.6606261872901</v>
      </c>
      <c r="H198" s="57">
        <v>21866.520513277475</v>
      </c>
      <c r="I198" s="57">
        <v>26367.117628422329</v>
      </c>
      <c r="J198" s="57">
        <v>7872.9228400396523</v>
      </c>
      <c r="K198" s="57">
        <v>8489.1907475448388</v>
      </c>
      <c r="L198" s="57">
        <v>39744.447394154966</v>
      </c>
    </row>
    <row r="199" spans="1:12" x14ac:dyDescent="0.35">
      <c r="A199" s="48" t="s">
        <v>330</v>
      </c>
      <c r="B199" s="54">
        <v>1</v>
      </c>
      <c r="C199" s="57">
        <v>27750</v>
      </c>
      <c r="D199" s="57">
        <v>30932.696567341212</v>
      </c>
      <c r="E199" s="57">
        <v>-3182.6965673412124</v>
      </c>
      <c r="F199" s="57">
        <v>-0.40851595168676735</v>
      </c>
      <c r="G199" s="57">
        <v>1140.0858371086372</v>
      </c>
      <c r="H199" s="57">
        <v>28669.644066891688</v>
      </c>
      <c r="I199" s="57">
        <v>33195.749067790734</v>
      </c>
      <c r="J199" s="57">
        <v>7873.8506047439305</v>
      </c>
      <c r="K199" s="57">
        <v>15303.226645653373</v>
      </c>
      <c r="L199" s="57">
        <v>46562.166489029056</v>
      </c>
    </row>
    <row r="200" spans="1:12" x14ac:dyDescent="0.35">
      <c r="A200" s="48" t="s">
        <v>331</v>
      </c>
      <c r="B200" s="54">
        <v>1</v>
      </c>
      <c r="C200" s="57">
        <v>52650</v>
      </c>
      <c r="D200" s="57">
        <v>40888.28693957314</v>
      </c>
      <c r="E200" s="57">
        <v>11761.71306042686</v>
      </c>
      <c r="F200" s="57">
        <v>1.5096781306930787</v>
      </c>
      <c r="G200" s="57">
        <v>1204.0264469328702</v>
      </c>
      <c r="H200" s="57">
        <v>38498.313331753336</v>
      </c>
      <c r="I200" s="57">
        <v>43278.260547392943</v>
      </c>
      <c r="J200" s="57">
        <v>7883.3626908042515</v>
      </c>
      <c r="K200" s="57">
        <v>25239.935676285713</v>
      </c>
      <c r="L200" s="57">
        <v>56536.638202860566</v>
      </c>
    </row>
    <row r="201" spans="1:12" ht="16" thickBot="1" x14ac:dyDescent="0.4">
      <c r="A201" s="52" t="s">
        <v>332</v>
      </c>
      <c r="B201" s="55">
        <v>1</v>
      </c>
      <c r="C201" s="58">
        <v>24300</v>
      </c>
      <c r="D201" s="58">
        <v>23349.117430340029</v>
      </c>
      <c r="E201" s="58">
        <v>950.88256965997061</v>
      </c>
      <c r="F201" s="58">
        <v>0.12205081121242699</v>
      </c>
      <c r="G201" s="58">
        <v>1149.0871211511876</v>
      </c>
      <c r="H201" s="58">
        <v>21068.197522282484</v>
      </c>
      <c r="I201" s="58">
        <v>25630.037338397575</v>
      </c>
      <c r="J201" s="58">
        <v>7875.1589724808855</v>
      </c>
      <c r="K201" s="58">
        <v>7717.0504192206317</v>
      </c>
      <c r="L201" s="58">
        <v>38981.184441459423</v>
      </c>
    </row>
    <row r="220" spans="4:4" x14ac:dyDescent="0.35">
      <c r="D220" t="s">
        <v>141</v>
      </c>
    </row>
    <row r="239" spans="4:4" x14ac:dyDescent="0.35">
      <c r="D239" t="s">
        <v>141</v>
      </c>
    </row>
    <row r="242" spans="1:9" x14ac:dyDescent="0.35">
      <c r="A242" s="6" t="s">
        <v>196</v>
      </c>
    </row>
    <row r="244" spans="1:9" x14ac:dyDescent="0.35">
      <c r="A244" s="2" t="s">
        <v>334</v>
      </c>
    </row>
    <row r="245" spans="1:9" ht="16" thickBot="1" x14ac:dyDescent="0.4"/>
    <row r="246" spans="1:9" x14ac:dyDescent="0.35">
      <c r="A246" s="69" t="s">
        <v>198</v>
      </c>
      <c r="B246" s="82">
        <v>0.73658140206089584</v>
      </c>
      <c r="C246" s="83"/>
    </row>
    <row r="247" spans="1:9" x14ac:dyDescent="0.35">
      <c r="A247" s="48" t="s">
        <v>199</v>
      </c>
      <c r="B247" s="75">
        <v>4.1980863230151044E-12</v>
      </c>
      <c r="C247" s="84" t="s">
        <v>125</v>
      </c>
    </row>
    <row r="248" spans="1:9" ht="16" thickBot="1" x14ac:dyDescent="0.4">
      <c r="A248" s="52" t="s">
        <v>200</v>
      </c>
      <c r="B248" s="55">
        <v>0.05</v>
      </c>
      <c r="C248" s="85"/>
    </row>
    <row r="249" spans="1:9" x14ac:dyDescent="0.35">
      <c r="A249" s="80" t="s">
        <v>201</v>
      </c>
    </row>
    <row r="251" spans="1:9" x14ac:dyDescent="0.35">
      <c r="A251" s="2" t="s">
        <v>202</v>
      </c>
    </row>
    <row r="252" spans="1:9" x14ac:dyDescent="0.35">
      <c r="A252" s="2" t="s">
        <v>203</v>
      </c>
    </row>
    <row r="253" spans="1:9" x14ac:dyDescent="0.35">
      <c r="A253" s="2" t="s">
        <v>204</v>
      </c>
    </row>
    <row r="254" spans="1:9" ht="15.65" customHeight="1" x14ac:dyDescent="0.35">
      <c r="A254" s="102" t="s">
        <v>205</v>
      </c>
      <c r="B254" s="102"/>
      <c r="C254" s="102"/>
      <c r="D254" s="102"/>
      <c r="E254" s="102"/>
      <c r="F254" s="102"/>
      <c r="G254" s="102"/>
      <c r="H254" s="102"/>
      <c r="I254" s="102"/>
    </row>
    <row r="255" spans="1:9" x14ac:dyDescent="0.35">
      <c r="A255" s="102"/>
      <c r="B255" s="102"/>
      <c r="C255" s="102"/>
      <c r="D255" s="102"/>
      <c r="E255" s="102"/>
      <c r="F255" s="102"/>
      <c r="G255" s="102"/>
      <c r="H255" s="102"/>
      <c r="I255" s="102"/>
    </row>
    <row r="258" spans="1:5" x14ac:dyDescent="0.35">
      <c r="A258" s="2" t="s">
        <v>335</v>
      </c>
    </row>
    <row r="260" spans="1:5" x14ac:dyDescent="0.35">
      <c r="A260" s="103" t="s">
        <v>336</v>
      </c>
      <c r="B260" s="104"/>
      <c r="C260" s="104"/>
      <c r="D260" s="104"/>
      <c r="E260" s="104"/>
    </row>
    <row r="261" spans="1:5" x14ac:dyDescent="0.35">
      <c r="A261" s="104"/>
      <c r="B261" s="104"/>
      <c r="C261" s="104"/>
      <c r="D261" s="104"/>
      <c r="E261" s="104"/>
    </row>
    <row r="263" spans="1:5" x14ac:dyDescent="0.35">
      <c r="A263" s="103" t="s">
        <v>208</v>
      </c>
      <c r="B263" s="104"/>
      <c r="C263" s="104"/>
      <c r="D263" s="104"/>
      <c r="E263" s="104"/>
    </row>
    <row r="264" spans="1:5" x14ac:dyDescent="0.35">
      <c r="A264" s="104"/>
      <c r="B264" s="104"/>
      <c r="C264" s="104"/>
      <c r="D264" s="104"/>
      <c r="E264" s="104"/>
    </row>
    <row r="265" spans="1:5" x14ac:dyDescent="0.35">
      <c r="A265" s="104"/>
      <c r="B265" s="104"/>
      <c r="C265" s="104"/>
      <c r="D265" s="104"/>
      <c r="E265" s="104"/>
    </row>
    <row r="996" spans="648:648" x14ac:dyDescent="0.35">
      <c r="XX996" s="47">
        <v>166765</v>
      </c>
    </row>
  </sheetData>
  <mergeCells count="3">
    <mergeCell ref="A254:I255"/>
    <mergeCell ref="A260:E261"/>
    <mergeCell ref="A263:E26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DD628616">
              <controlPr defaultSize="0" autoFill="0" autoPict="0" macro="[0]!GoToResultsNew2111202508003738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DC6E-2A24-4F64-9D6A-67F8C9FF0F3A}">
  <sheetPr codeName="Sheet5_HID">
    <tabColor rgb="FF007800"/>
  </sheetPr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15650.8866193759+(A1-1)*1678.30860486731</f>
        <v>15650.8866193759</v>
      </c>
      <c r="D1">
        <f t="shared" ref="D1:D32" si="1">0+1*C1-15464.7639300816*(1.01+(C1-33632.6)^2/23766951871.5343)^0.5</f>
        <v>4.6667660777766287</v>
      </c>
      <c r="E1">
        <v>1</v>
      </c>
      <c r="G1">
        <f t="shared" ref="G1:G32" si="2">15409.7635624743+(E1-1)*1681.80314192386</f>
        <v>15409.7635624743</v>
      </c>
      <c r="H1">
        <f t="shared" ref="H1:H32" si="3">0+1*G1+15464.7639300816*(1.01+(G1-33632.6)^2/23766951871.5343)^0.5</f>
        <v>31058.790378310609</v>
      </c>
    </row>
    <row r="2" spans="1:8" x14ac:dyDescent="0.35">
      <c r="A2">
        <v>2</v>
      </c>
      <c r="C2">
        <f t="shared" si="0"/>
        <v>17329.195224243209</v>
      </c>
      <c r="D2">
        <f t="shared" si="1"/>
        <v>1701.4897085761804</v>
      </c>
      <c r="E2">
        <v>2</v>
      </c>
      <c r="G2">
        <f t="shared" si="2"/>
        <v>17091.566704398159</v>
      </c>
      <c r="H2">
        <f t="shared" si="3"/>
        <v>32721.784762335395</v>
      </c>
    </row>
    <row r="3" spans="1:8" x14ac:dyDescent="0.35">
      <c r="A3">
        <v>3</v>
      </c>
      <c r="C3">
        <f t="shared" si="0"/>
        <v>19007.503829110519</v>
      </c>
      <c r="D3">
        <f t="shared" si="1"/>
        <v>3396.5188794808128</v>
      </c>
      <c r="E3">
        <v>3</v>
      </c>
      <c r="G3">
        <f t="shared" si="2"/>
        <v>18773.369846322021</v>
      </c>
      <c r="H3">
        <f t="shared" si="3"/>
        <v>34386.579527019778</v>
      </c>
    </row>
    <row r="4" spans="1:8" x14ac:dyDescent="0.35">
      <c r="A4">
        <v>4</v>
      </c>
      <c r="C4">
        <f t="shared" si="0"/>
        <v>20685.81243397783</v>
      </c>
      <c r="D4">
        <f t="shared" si="1"/>
        <v>5089.7485094740969</v>
      </c>
      <c r="E4">
        <v>4</v>
      </c>
      <c r="G4">
        <f t="shared" si="2"/>
        <v>20455.172988245882</v>
      </c>
      <c r="H4">
        <f t="shared" si="3"/>
        <v>36053.180561877358</v>
      </c>
    </row>
    <row r="5" spans="1:8" x14ac:dyDescent="0.35">
      <c r="A5">
        <v>5</v>
      </c>
      <c r="C5">
        <f t="shared" si="0"/>
        <v>22364.12103884514</v>
      </c>
      <c r="D5">
        <f t="shared" si="1"/>
        <v>6781.1734292516794</v>
      </c>
      <c r="E5">
        <v>5</v>
      </c>
      <c r="G5">
        <f t="shared" si="2"/>
        <v>22136.97613016974</v>
      </c>
      <c r="H5">
        <f t="shared" si="3"/>
        <v>37721.59315271987</v>
      </c>
    </row>
    <row r="6" spans="1:8" x14ac:dyDescent="0.35">
      <c r="A6">
        <v>6</v>
      </c>
      <c r="C6">
        <f t="shared" si="0"/>
        <v>24042.42964371245</v>
      </c>
      <c r="D6">
        <f t="shared" si="1"/>
        <v>8470.7890783786752</v>
      </c>
      <c r="E6">
        <v>6</v>
      </c>
      <c r="G6">
        <f t="shared" si="2"/>
        <v>23818.779272093598</v>
      </c>
      <c r="H6">
        <f t="shared" si="3"/>
        <v>39391.821972571801</v>
      </c>
    </row>
    <row r="7" spans="1:8" x14ac:dyDescent="0.35">
      <c r="A7">
        <v>7</v>
      </c>
      <c r="C7">
        <f t="shared" si="0"/>
        <v>25720.738248579757</v>
      </c>
      <c r="D7">
        <f t="shared" si="1"/>
        <v>10158.591513149961</v>
      </c>
      <c r="E7">
        <v>7</v>
      </c>
      <c r="G7">
        <f t="shared" si="2"/>
        <v>25500.582414017459</v>
      </c>
      <c r="H7">
        <f t="shared" si="3"/>
        <v>41063.871073588722</v>
      </c>
    </row>
    <row r="8" spans="1:8" x14ac:dyDescent="0.35">
      <c r="A8">
        <v>8</v>
      </c>
      <c r="C8">
        <f t="shared" si="0"/>
        <v>27399.046853447071</v>
      </c>
      <c r="D8">
        <f t="shared" si="1"/>
        <v>11844.577413423271</v>
      </c>
      <c r="E8">
        <v>8</v>
      </c>
      <c r="G8">
        <f t="shared" si="2"/>
        <v>27182.38555594132</v>
      </c>
      <c r="H8">
        <f t="shared" si="3"/>
        <v>42737.74388001168</v>
      </c>
    </row>
    <row r="9" spans="1:8" x14ac:dyDescent="0.35">
      <c r="A9">
        <v>9</v>
      </c>
      <c r="C9">
        <f t="shared" si="0"/>
        <v>29077.355458314378</v>
      </c>
      <c r="D9">
        <f t="shared" si="1"/>
        <v>13528.74408839756</v>
      </c>
      <c r="E9">
        <v>9</v>
      </c>
      <c r="G9">
        <f t="shared" si="2"/>
        <v>28864.188697865182</v>
      </c>
      <c r="H9">
        <f t="shared" si="3"/>
        <v>44413.4431821861</v>
      </c>
    </row>
    <row r="10" spans="1:8" x14ac:dyDescent="0.35">
      <c r="A10">
        <v>10</v>
      </c>
      <c r="C10">
        <f t="shared" si="0"/>
        <v>30755.664063181692</v>
      </c>
      <c r="D10">
        <f t="shared" si="1"/>
        <v>15211.089481313433</v>
      </c>
      <c r="E10">
        <v>10</v>
      </c>
      <c r="G10">
        <f t="shared" si="2"/>
        <v>30545.99183978904</v>
      </c>
      <c r="H10">
        <f t="shared" si="3"/>
        <v>46090.971131669328</v>
      </c>
    </row>
    <row r="11" spans="1:8" x14ac:dyDescent="0.35">
      <c r="A11">
        <v>11</v>
      </c>
      <c r="C11">
        <f t="shared" si="0"/>
        <v>32433.972668048998</v>
      </c>
      <c r="D11">
        <f t="shared" si="1"/>
        <v>16891.612173056317</v>
      </c>
      <c r="E11">
        <v>11</v>
      </c>
      <c r="G11">
        <f t="shared" si="2"/>
        <v>32227.794981712897</v>
      </c>
      <c r="H11">
        <f t="shared" si="3"/>
        <v>47770.329237446858</v>
      </c>
    </row>
    <row r="12" spans="1:8" x14ac:dyDescent="0.35">
      <c r="A12">
        <v>12</v>
      </c>
      <c r="C12">
        <f t="shared" si="0"/>
        <v>34112.281272916312</v>
      </c>
      <c r="D12">
        <f t="shared" si="1"/>
        <v>18570.311384647976</v>
      </c>
      <c r="E12">
        <v>12</v>
      </c>
      <c r="G12">
        <f t="shared" si="2"/>
        <v>33909.598123636759</v>
      </c>
      <c r="H12">
        <f t="shared" si="3"/>
        <v>49451.518363272662</v>
      </c>
    </row>
    <row r="13" spans="1:8" x14ac:dyDescent="0.35">
      <c r="A13">
        <v>13</v>
      </c>
      <c r="C13">
        <f t="shared" si="0"/>
        <v>35790.589877783619</v>
      </c>
      <c r="D13">
        <f t="shared" si="1"/>
        <v>20247.186978615875</v>
      </c>
      <c r="E13">
        <v>13</v>
      </c>
      <c r="G13">
        <f t="shared" si="2"/>
        <v>35591.40126556062</v>
      </c>
      <c r="H13">
        <f t="shared" si="3"/>
        <v>51134.538726144572</v>
      </c>
    </row>
    <row r="14" spans="1:8" x14ac:dyDescent="0.35">
      <c r="A14">
        <v>14</v>
      </c>
      <c r="C14">
        <f t="shared" si="0"/>
        <v>37468.898482650926</v>
      </c>
      <c r="D14">
        <f t="shared" si="1"/>
        <v>21922.239459235028</v>
      </c>
      <c r="E14">
        <v>14</v>
      </c>
      <c r="G14">
        <f t="shared" si="2"/>
        <v>37273.204407484482</v>
      </c>
      <c r="H14">
        <f t="shared" si="3"/>
        <v>52819.389895921056</v>
      </c>
    </row>
    <row r="15" spans="1:8" x14ac:dyDescent="0.35">
      <c r="A15">
        <v>15</v>
      </c>
      <c r="C15">
        <f t="shared" si="0"/>
        <v>39147.20708751824</v>
      </c>
      <c r="D15">
        <f t="shared" si="1"/>
        <v>23595.469971641189</v>
      </c>
      <c r="E15">
        <v>15</v>
      </c>
      <c r="G15">
        <f t="shared" si="2"/>
        <v>38955.007549408343</v>
      </c>
      <c r="H15">
        <f t="shared" si="3"/>
        <v>54506.070796080821</v>
      </c>
    </row>
    <row r="16" spans="1:8" x14ac:dyDescent="0.35">
      <c r="A16">
        <v>16</v>
      </c>
      <c r="C16">
        <f t="shared" si="0"/>
        <v>40825.515692385547</v>
      </c>
      <c r="D16">
        <f t="shared" si="1"/>
        <v>25266.880299819051</v>
      </c>
      <c r="E16">
        <v>16</v>
      </c>
      <c r="G16">
        <f t="shared" si="2"/>
        <v>40636.810691332197</v>
      </c>
      <c r="H16">
        <f t="shared" si="3"/>
        <v>56194.579705622222</v>
      </c>
    </row>
    <row r="17" spans="1:8" x14ac:dyDescent="0.35">
      <c r="A17">
        <v>17</v>
      </c>
      <c r="C17">
        <f t="shared" si="0"/>
        <v>42503.824297252861</v>
      </c>
      <c r="D17">
        <f t="shared" si="1"/>
        <v>26936.472863473773</v>
      </c>
      <c r="E17">
        <v>17</v>
      </c>
      <c r="G17">
        <f t="shared" si="2"/>
        <v>42318.613833256059</v>
      </c>
      <c r="H17">
        <f t="shared" si="3"/>
        <v>57884.91426209468</v>
      </c>
    </row>
    <row r="18" spans="1:8" x14ac:dyDescent="0.35">
      <c r="A18">
        <v>18</v>
      </c>
      <c r="C18">
        <f t="shared" si="0"/>
        <v>44182.132902120167</v>
      </c>
      <c r="D18">
        <f t="shared" si="1"/>
        <v>28604.25071379845</v>
      </c>
      <c r="E18">
        <v>18</v>
      </c>
      <c r="G18">
        <f t="shared" si="2"/>
        <v>44000.41697517992</v>
      </c>
      <c r="H18">
        <f t="shared" si="3"/>
        <v>59577.071465749585</v>
      </c>
    </row>
    <row r="19" spans="1:8" x14ac:dyDescent="0.35">
      <c r="A19">
        <v>19</v>
      </c>
      <c r="C19">
        <f t="shared" si="0"/>
        <v>45860.441506987481</v>
      </c>
      <c r="D19">
        <f t="shared" si="1"/>
        <v>30270.217528154972</v>
      </c>
      <c r="E19">
        <v>19</v>
      </c>
      <c r="G19">
        <f t="shared" si="2"/>
        <v>45682.220117103781</v>
      </c>
      <c r="H19">
        <f t="shared" si="3"/>
        <v>61271.047684793746</v>
      </c>
    </row>
    <row r="20" spans="1:8" x14ac:dyDescent="0.35">
      <c r="A20">
        <v>20</v>
      </c>
      <c r="C20">
        <f t="shared" si="0"/>
        <v>47538.750111854788</v>
      </c>
      <c r="D20">
        <f t="shared" si="1"/>
        <v>31934.377603689536</v>
      </c>
      <c r="E20">
        <v>20</v>
      </c>
      <c r="G20">
        <f t="shared" si="2"/>
        <v>47364.023259027643</v>
      </c>
      <c r="H20">
        <f t="shared" si="3"/>
        <v>62966.838661724061</v>
      </c>
    </row>
    <row r="21" spans="1:8" x14ac:dyDescent="0.35">
      <c r="A21">
        <v>21</v>
      </c>
      <c r="C21">
        <f t="shared" si="0"/>
        <v>49217.058716722102</v>
      </c>
      <c r="D21">
        <f t="shared" si="1"/>
        <v>33596.735849908844</v>
      </c>
      <c r="E21">
        <v>21</v>
      </c>
      <c r="G21">
        <f t="shared" si="2"/>
        <v>49045.826400951497</v>
      </c>
      <c r="H21">
        <f t="shared" si="3"/>
        <v>64664.439520717744</v>
      </c>
    </row>
    <row r="22" spans="1:8" x14ac:dyDescent="0.35">
      <c r="A22">
        <v>22</v>
      </c>
      <c r="C22">
        <f t="shared" si="0"/>
        <v>50895.367321589409</v>
      </c>
      <c r="D22">
        <f t="shared" si="1"/>
        <v>35257.297780246372</v>
      </c>
      <c r="E22">
        <v>22</v>
      </c>
      <c r="G22">
        <f t="shared" si="2"/>
        <v>50727.629542875358</v>
      </c>
      <c r="H22">
        <f t="shared" si="3"/>
        <v>66363.844776048369</v>
      </c>
    </row>
    <row r="23" spans="1:8" x14ac:dyDescent="0.35">
      <c r="A23">
        <v>23</v>
      </c>
      <c r="C23">
        <f t="shared" si="0"/>
        <v>52573.675926456723</v>
      </c>
      <c r="D23">
        <f t="shared" si="1"/>
        <v>36916.069502652397</v>
      </c>
      <c r="E23">
        <v>23</v>
      </c>
      <c r="G23">
        <f t="shared" si="2"/>
        <v>52409.43268479922</v>
      </c>
      <c r="H23">
        <f t="shared" si="3"/>
        <v>68065.048341494199</v>
      </c>
    </row>
    <row r="24" spans="1:8" x14ac:dyDescent="0.35">
      <c r="A24">
        <v>24</v>
      </c>
      <c r="C24">
        <f t="shared" si="0"/>
        <v>54251.984531324029</v>
      </c>
      <c r="D24">
        <f t="shared" si="1"/>
        <v>38573.057709244582</v>
      </c>
      <c r="E24">
        <v>24</v>
      </c>
      <c r="G24">
        <f t="shared" si="2"/>
        <v>54091.235826723081</v>
      </c>
      <c r="H24">
        <f t="shared" si="3"/>
        <v>69768.043540701634</v>
      </c>
    </row>
    <row r="25" spans="1:8" x14ac:dyDescent="0.35">
      <c r="A25">
        <v>25</v>
      </c>
      <c r="C25">
        <f t="shared" si="0"/>
        <v>55930.293136191336</v>
      </c>
      <c r="D25">
        <f t="shared" si="1"/>
        <v>40228.26966505959</v>
      </c>
      <c r="E25">
        <v>25</v>
      </c>
      <c r="G25">
        <f t="shared" si="2"/>
        <v>55773.038968646943</v>
      </c>
      <c r="H25">
        <f t="shared" si="3"/>
        <v>71472.823118463333</v>
      </c>
    </row>
    <row r="26" spans="1:8" x14ac:dyDescent="0.35">
      <c r="A26">
        <v>26</v>
      </c>
      <c r="C26">
        <f t="shared" si="0"/>
        <v>57608.60174105865</v>
      </c>
      <c r="D26">
        <f t="shared" si="1"/>
        <v>41881.713195948774</v>
      </c>
      <c r="E26">
        <v>26</v>
      </c>
      <c r="G26">
        <f t="shared" si="2"/>
        <v>57454.842110570797</v>
      </c>
      <c r="H26">
        <f t="shared" si="3"/>
        <v>73179.379252867177</v>
      </c>
    </row>
    <row r="27" spans="1:8" x14ac:dyDescent="0.35">
      <c r="A27">
        <v>27</v>
      </c>
      <c r="C27">
        <f t="shared" si="0"/>
        <v>59286.910345925957</v>
      </c>
      <c r="D27">
        <f t="shared" si="1"/>
        <v>43533.396675664</v>
      </c>
      <c r="E27">
        <v>27</v>
      </c>
      <c r="G27">
        <f t="shared" si="2"/>
        <v>59136.645252494658</v>
      </c>
      <c r="H27">
        <f t="shared" si="3"/>
        <v>74887.703568269964</v>
      </c>
    </row>
    <row r="28" spans="1:8" x14ac:dyDescent="0.35">
      <c r="A28">
        <v>28</v>
      </c>
      <c r="C28">
        <f t="shared" si="0"/>
        <v>60965.218950793271</v>
      </c>
      <c r="D28">
        <f t="shared" si="1"/>
        <v>45183.329012182032</v>
      </c>
      <c r="E28">
        <v>28</v>
      </c>
      <c r="G28">
        <f t="shared" si="2"/>
        <v>60818.448394418519</v>
      </c>
      <c r="H28">
        <f t="shared" si="3"/>
        <v>76597.78714904681</v>
      </c>
    </row>
    <row r="29" spans="1:8" x14ac:dyDescent="0.35">
      <c r="A29">
        <v>29</v>
      </c>
      <c r="C29">
        <f t="shared" si="0"/>
        <v>62643.527555660577</v>
      </c>
      <c r="D29">
        <f t="shared" si="1"/>
        <v>46831.519633317723</v>
      </c>
      <c r="E29">
        <v>29</v>
      </c>
      <c r="G29">
        <f t="shared" si="2"/>
        <v>62500.251536342381</v>
      </c>
      <c r="H29">
        <f t="shared" si="3"/>
        <v>78309.620554065303</v>
      </c>
    </row>
    <row r="30" spans="1:8" x14ac:dyDescent="0.35">
      <c r="A30">
        <v>30</v>
      </c>
      <c r="C30">
        <f t="shared" si="0"/>
        <v>64321.836160527891</v>
      </c>
      <c r="D30">
        <f t="shared" si="1"/>
        <v>48477.978471678449</v>
      </c>
      <c r="E30">
        <v>30</v>
      </c>
      <c r="G30">
        <f t="shared" si="2"/>
        <v>64182.054678266242</v>
      </c>
      <c r="H30">
        <f t="shared" si="3"/>
        <v>80023.193831831697</v>
      </c>
    </row>
    <row r="31" spans="1:8" x14ac:dyDescent="0.35">
      <c r="A31">
        <v>31</v>
      </c>
      <c r="C31">
        <f t="shared" si="0"/>
        <v>66000.144765395191</v>
      </c>
      <c r="D31">
        <f t="shared" si="1"/>
        <v>50122.715949013109</v>
      </c>
      <c r="E31">
        <v>31</v>
      </c>
      <c r="G31">
        <f t="shared" si="2"/>
        <v>65863.857820190096</v>
      </c>
      <c r="H31">
        <f t="shared" si="3"/>
        <v>81738.496536254635</v>
      </c>
    </row>
    <row r="32" spans="1:8" x14ac:dyDescent="0.35">
      <c r="A32">
        <v>32</v>
      </c>
      <c r="C32">
        <f t="shared" si="0"/>
        <v>67678.453370262505</v>
      </c>
      <c r="D32">
        <f t="shared" si="1"/>
        <v>51765.742960010801</v>
      </c>
      <c r="E32">
        <v>32</v>
      </c>
      <c r="G32">
        <f t="shared" si="2"/>
        <v>67545.660962113965</v>
      </c>
      <c r="H32">
        <f t="shared" si="3"/>
        <v>83455.51774297122</v>
      </c>
    </row>
    <row r="33" spans="1:8" x14ac:dyDescent="0.35">
      <c r="A33">
        <v>33</v>
      </c>
      <c r="C33">
        <f t="shared" ref="C33:C64" si="4">15650.8866193759+(A33-1)*1678.30860486731</f>
        <v>69356.761975129819</v>
      </c>
      <c r="D33">
        <f t="shared" ref="D33:D64" si="5">0+1*C33-15464.7639300816*(1.01+(C33-33632.6)^2/23766951871.5343)^0.5</f>
        <v>53407.070855604281</v>
      </c>
      <c r="E33">
        <v>33</v>
      </c>
      <c r="G33">
        <f t="shared" ref="G33:G64" si="6">15409.7635624743+(E33-1)*1681.80314192386</f>
        <v>69227.464104037819</v>
      </c>
      <c r="H33">
        <f t="shared" ref="H33:H64" si="7">0+1*G33+15464.7639300816*(1.01+(G33-33632.6)^2/23766951871.5343)^0.5</f>
        <v>85174.246066178894</v>
      </c>
    </row>
    <row r="34" spans="1:8" x14ac:dyDescent="0.35">
      <c r="A34">
        <v>34</v>
      </c>
      <c r="C34">
        <f t="shared" si="4"/>
        <v>71035.070579997118</v>
      </c>
      <c r="D34">
        <f t="shared" si="5"/>
        <v>55046.711425834466</v>
      </c>
      <c r="E34">
        <v>34</v>
      </c>
      <c r="G34">
        <f t="shared" si="6"/>
        <v>70909.267245961688</v>
      </c>
      <c r="H34">
        <f t="shared" si="7"/>
        <v>86894.669675916637</v>
      </c>
    </row>
    <row r="35" spans="1:8" x14ac:dyDescent="0.35">
      <c r="A35">
        <v>35</v>
      </c>
      <c r="C35">
        <f t="shared" si="4"/>
        <v>72713.379184864432</v>
      </c>
      <c r="D35">
        <f t="shared" si="5"/>
        <v>56684.676882332024</v>
      </c>
      <c r="E35">
        <v>35</v>
      </c>
      <c r="G35">
        <f t="shared" si="6"/>
        <v>72591.070387885542</v>
      </c>
      <c r="H35">
        <f t="shared" si="7"/>
        <v>88616.776315738316</v>
      </c>
    </row>
    <row r="36" spans="1:8" x14ac:dyDescent="0.35">
      <c r="A36">
        <v>36</v>
      </c>
      <c r="C36">
        <f t="shared" si="4"/>
        <v>74391.687789731746</v>
      </c>
      <c r="D36">
        <f t="shared" si="5"/>
        <v>58320.97984047186</v>
      </c>
      <c r="E36">
        <v>36</v>
      </c>
      <c r="G36">
        <f t="shared" si="6"/>
        <v>74272.873529809396</v>
      </c>
      <c r="H36">
        <f t="shared" si="7"/>
        <v>90340.55332072149</v>
      </c>
    </row>
    <row r="37" spans="1:8" x14ac:dyDescent="0.35">
      <c r="A37">
        <v>37</v>
      </c>
      <c r="C37">
        <f t="shared" si="4"/>
        <v>76069.99639459906</v>
      </c>
      <c r="D37">
        <f t="shared" si="5"/>
        <v>59955.633301256268</v>
      </c>
      <c r="E37">
        <v>37</v>
      </c>
      <c r="G37">
        <f t="shared" si="6"/>
        <v>75954.676671733265</v>
      </c>
      <c r="H37">
        <f t="shared" si="7"/>
        <v>92065.987635755329</v>
      </c>
    </row>
    <row r="38" spans="1:8" x14ac:dyDescent="0.35">
      <c r="A38">
        <v>38</v>
      </c>
      <c r="C38">
        <f t="shared" si="4"/>
        <v>77748.30499946636</v>
      </c>
      <c r="D38">
        <f t="shared" si="5"/>
        <v>61588.650632981364</v>
      </c>
      <c r="E38">
        <v>38</v>
      </c>
      <c r="G38">
        <f t="shared" si="6"/>
        <v>77636.479813657119</v>
      </c>
      <c r="H38">
        <f t="shared" si="7"/>
        <v>93793.065834051842</v>
      </c>
    </row>
    <row r="39" spans="1:8" x14ac:dyDescent="0.35">
      <c r="A39">
        <v>39</v>
      </c>
      <c r="C39">
        <f t="shared" si="4"/>
        <v>79426.613604333674</v>
      </c>
      <c r="D39">
        <f t="shared" si="5"/>
        <v>63220.045552740732</v>
      </c>
      <c r="E39">
        <v>39</v>
      </c>
      <c r="G39">
        <f t="shared" si="6"/>
        <v>79318.282955580988</v>
      </c>
      <c r="H39">
        <f t="shared" si="7"/>
        <v>95521.774135825908</v>
      </c>
    </row>
    <row r="40" spans="1:8" x14ac:dyDescent="0.35">
      <c r="A40">
        <v>40</v>
      </c>
      <c r="C40">
        <f t="shared" si="4"/>
        <v>81104.922209200988</v>
      </c>
      <c r="D40">
        <f t="shared" si="5"/>
        <v>64849.832107818758</v>
      </c>
      <c r="E40">
        <v>40</v>
      </c>
      <c r="G40">
        <f t="shared" si="6"/>
        <v>81000.086097504842</v>
      </c>
      <c r="H40">
        <f t="shared" si="7"/>
        <v>97252.098427090343</v>
      </c>
    </row>
    <row r="41" spans="1:8" x14ac:dyDescent="0.35">
      <c r="A41">
        <v>41</v>
      </c>
      <c r="C41">
        <f t="shared" si="4"/>
        <v>82783.230814068302</v>
      </c>
      <c r="D41">
        <f t="shared" si="5"/>
        <v>66478.024657025002</v>
      </c>
      <c r="E41">
        <v>41</v>
      </c>
      <c r="G41">
        <f t="shared" si="6"/>
        <v>82681.889239428696</v>
      </c>
      <c r="H41">
        <f t="shared" si="7"/>
        <v>98984.024278514436</v>
      </c>
    </row>
    <row r="42" spans="1:8" x14ac:dyDescent="0.35">
      <c r="A42">
        <v>42</v>
      </c>
      <c r="C42">
        <f t="shared" si="4"/>
        <v>84461.539418935601</v>
      </c>
      <c r="D42">
        <f t="shared" si="5"/>
        <v>68104.637852019077</v>
      </c>
      <c r="E42">
        <v>42</v>
      </c>
      <c r="G42">
        <f t="shared" si="6"/>
        <v>84363.692381352565</v>
      </c>
      <c r="H42">
        <f t="shared" si="7"/>
        <v>100717.53696429508</v>
      </c>
    </row>
    <row r="43" spans="1:8" x14ac:dyDescent="0.35">
      <c r="A43">
        <v>43</v>
      </c>
      <c r="C43">
        <f t="shared" si="4"/>
        <v>86139.848023802915</v>
      </c>
      <c r="D43">
        <f t="shared" si="5"/>
        <v>69729.686618673586</v>
      </c>
      <c r="E43">
        <v>43</v>
      </c>
      <c r="G43">
        <f t="shared" si="6"/>
        <v>86045.495523276419</v>
      </c>
      <c r="H43">
        <f t="shared" si="7"/>
        <v>102452.62148099228</v>
      </c>
    </row>
    <row r="44" spans="1:8" x14ac:dyDescent="0.35">
      <c r="A44">
        <v>44</v>
      </c>
      <c r="C44">
        <f t="shared" si="4"/>
        <v>87818.156628670229</v>
      </c>
      <c r="D44">
        <f t="shared" si="5"/>
        <v>71353.18613852108</v>
      </c>
      <c r="E44">
        <v>44</v>
      </c>
      <c r="G44">
        <f t="shared" si="6"/>
        <v>87727.298665200273</v>
      </c>
      <c r="H44">
        <f t="shared" si="7"/>
        <v>104189.26256628244</v>
      </c>
    </row>
    <row r="45" spans="1:8" x14ac:dyDescent="0.35">
      <c r="A45">
        <v>45</v>
      </c>
      <c r="C45">
        <f t="shared" si="4"/>
        <v>89496.465233537543</v>
      </c>
      <c r="D45">
        <f t="shared" si="5"/>
        <v>72975.151830328512</v>
      </c>
      <c r="E45">
        <v>45</v>
      </c>
      <c r="G45">
        <f t="shared" si="6"/>
        <v>89409.101807124141</v>
      </c>
      <c r="H45">
        <f t="shared" si="7"/>
        <v>105927.44471758508</v>
      </c>
    </row>
    <row r="46" spans="1:8" x14ac:dyDescent="0.35">
      <c r="A46">
        <v>46</v>
      </c>
      <c r="C46">
        <f t="shared" si="4"/>
        <v>91174.773838404843</v>
      </c>
      <c r="D46">
        <f t="shared" si="5"/>
        <v>74595.599331840509</v>
      </c>
      <c r="E46">
        <v>46</v>
      </c>
      <c r="G46">
        <f t="shared" si="6"/>
        <v>91090.904949047996</v>
      </c>
      <c r="H46">
        <f t="shared" si="7"/>
        <v>107667.1522105207</v>
      </c>
    </row>
    <row r="47" spans="1:8" x14ac:dyDescent="0.35">
      <c r="A47">
        <v>47</v>
      </c>
      <c r="C47">
        <f t="shared" si="4"/>
        <v>92853.082443272157</v>
      </c>
      <c r="D47">
        <f t="shared" si="5"/>
        <v>76214.544481730671</v>
      </c>
      <c r="E47">
        <v>47</v>
      </c>
      <c r="G47">
        <f t="shared" si="6"/>
        <v>92772.708090971864</v>
      </c>
      <c r="H47">
        <f t="shared" si="7"/>
        <v>109408.3691171605</v>
      </c>
    </row>
    <row r="48" spans="1:8" x14ac:dyDescent="0.35">
      <c r="A48">
        <v>48</v>
      </c>
      <c r="C48">
        <f t="shared" si="4"/>
        <v>94531.391048139471</v>
      </c>
      <c r="D48">
        <f t="shared" si="5"/>
        <v>77832.003301797158</v>
      </c>
      <c r="E48">
        <v>48</v>
      </c>
      <c r="G48">
        <f t="shared" si="6"/>
        <v>94454.511232895718</v>
      </c>
      <c r="H48">
        <f t="shared" si="7"/>
        <v>111151.07932403006</v>
      </c>
    </row>
    <row r="49" spans="1:8" x14ac:dyDescent="0.35">
      <c r="A49">
        <v>49</v>
      </c>
      <c r="C49">
        <f t="shared" si="4"/>
        <v>96209.69965300677</v>
      </c>
      <c r="D49">
        <f t="shared" si="5"/>
        <v>79447.991979437094</v>
      </c>
      <c r="E49">
        <v>49</v>
      </c>
      <c r="G49">
        <f t="shared" si="6"/>
        <v>96136.314374819587</v>
      </c>
      <c r="H49">
        <f t="shared" si="7"/>
        <v>112895.26654983289</v>
      </c>
    </row>
    <row r="50" spans="1:8" x14ac:dyDescent="0.35">
      <c r="A50">
        <v>50</v>
      </c>
      <c r="C50">
        <f t="shared" si="4"/>
        <v>97888.008257874084</v>
      </c>
      <c r="D50">
        <f t="shared" si="5"/>
        <v>81062.526850431168</v>
      </c>
      <c r="E50">
        <v>50</v>
      </c>
      <c r="G50">
        <f t="shared" si="6"/>
        <v>97818.117516743441</v>
      </c>
      <c r="H50">
        <f t="shared" si="7"/>
        <v>114640.91436286103</v>
      </c>
    </row>
    <row r="51" spans="1:8" x14ac:dyDescent="0.35">
      <c r="A51">
        <v>51</v>
      </c>
      <c r="C51">
        <f t="shared" si="4"/>
        <v>99566.316862741398</v>
      </c>
      <c r="D51">
        <f t="shared" si="5"/>
        <v>82675.624382067443</v>
      </c>
      <c r="E51">
        <v>51</v>
      </c>
      <c r="G51">
        <f t="shared" si="6"/>
        <v>99499.920658667295</v>
      </c>
      <c r="H51">
        <f t="shared" si="7"/>
        <v>116388.00619806367</v>
      </c>
    </row>
    <row r="52" spans="1:8" x14ac:dyDescent="0.35">
      <c r="A52">
        <v>52</v>
      </c>
      <c r="C52">
        <f t="shared" si="4"/>
        <v>101244.62546760871</v>
      </c>
      <c r="D52">
        <f t="shared" si="5"/>
        <v>84287.301156631147</v>
      </c>
      <c r="E52">
        <v>52</v>
      </c>
      <c r="G52">
        <f t="shared" si="6"/>
        <v>101181.72380059116</v>
      </c>
      <c r="H52">
        <f t="shared" si="7"/>
        <v>118136.5253737461</v>
      </c>
    </row>
    <row r="53" spans="1:8" x14ac:dyDescent="0.35">
      <c r="A53">
        <v>53</v>
      </c>
      <c r="C53">
        <f t="shared" si="4"/>
        <v>102922.93407247601</v>
      </c>
      <c r="D53">
        <f t="shared" si="5"/>
        <v>85897.573855284369</v>
      </c>
      <c r="E53">
        <v>53</v>
      </c>
      <c r="G53">
        <f t="shared" si="6"/>
        <v>102863.52694251502</v>
      </c>
      <c r="H53">
        <f t="shared" si="7"/>
        <v>119886.45510787511</v>
      </c>
    </row>
    <row r="54" spans="1:8" x14ac:dyDescent="0.35">
      <c r="A54">
        <v>54</v>
      </c>
      <c r="C54">
        <f t="shared" si="4"/>
        <v>104601.24267734333</v>
      </c>
      <c r="D54">
        <f t="shared" si="5"/>
        <v>87506.459242357116</v>
      </c>
      <c r="E54">
        <v>54</v>
      </c>
      <c r="G54">
        <f t="shared" si="6"/>
        <v>104545.33008443889</v>
      </c>
      <c r="H54">
        <f t="shared" si="7"/>
        <v>121637.77853396846</v>
      </c>
    </row>
    <row r="55" spans="1:8" x14ac:dyDescent="0.35">
      <c r="A55">
        <v>55</v>
      </c>
      <c r="C55">
        <f t="shared" si="4"/>
        <v>106279.55128221064</v>
      </c>
      <c r="D55">
        <f t="shared" si="5"/>
        <v>89113.974150068767</v>
      </c>
      <c r="E55">
        <v>55</v>
      </c>
      <c r="G55">
        <f t="shared" si="6"/>
        <v>106227.13322636274</v>
      </c>
      <c r="H55">
        <f t="shared" si="7"/>
        <v>123390.47871654925</v>
      </c>
    </row>
    <row r="56" spans="1:8" x14ac:dyDescent="0.35">
      <c r="A56">
        <v>56</v>
      </c>
      <c r="C56">
        <f t="shared" si="4"/>
        <v>107957.85988707795</v>
      </c>
      <c r="D56">
        <f t="shared" si="5"/>
        <v>90720.135463696788</v>
      </c>
      <c r="E56">
        <v>56</v>
      </c>
      <c r="G56">
        <f t="shared" si="6"/>
        <v>107908.9363682866</v>
      </c>
      <c r="H56">
        <f t="shared" si="7"/>
        <v>125144.5386661481</v>
      </c>
    </row>
    <row r="57" spans="1:8" x14ac:dyDescent="0.35">
      <c r="A57">
        <v>57</v>
      </c>
      <c r="C57">
        <f t="shared" si="4"/>
        <v>109636.16849194525</v>
      </c>
      <c r="D57">
        <f t="shared" si="5"/>
        <v>92324.960107206847</v>
      </c>
      <c r="E57">
        <v>57</v>
      </c>
      <c r="G57">
        <f t="shared" si="6"/>
        <v>109590.73951021046</v>
      </c>
      <c r="H57">
        <f t="shared" si="7"/>
        <v>126899.9413538385</v>
      </c>
    </row>
    <row r="58" spans="1:8" x14ac:dyDescent="0.35">
      <c r="A58">
        <v>58</v>
      </c>
      <c r="C58">
        <f t="shared" si="4"/>
        <v>111314.47709681257</v>
      </c>
      <c r="D58">
        <f t="shared" si="5"/>
        <v>93928.465029356477</v>
      </c>
      <c r="E58">
        <v>58</v>
      </c>
      <c r="G58">
        <f t="shared" si="6"/>
        <v>111272.54265213432</v>
      </c>
      <c r="H58">
        <f t="shared" si="7"/>
        <v>128656.66972529294</v>
      </c>
    </row>
    <row r="59" spans="1:8" x14ac:dyDescent="0.35">
      <c r="A59">
        <v>59</v>
      </c>
      <c r="C59">
        <f t="shared" si="4"/>
        <v>112992.78570167988</v>
      </c>
      <c r="D59">
        <f t="shared" si="5"/>
        <v>95530.667190281936</v>
      </c>
      <c r="E59">
        <v>59</v>
      </c>
      <c r="G59">
        <f t="shared" si="6"/>
        <v>112954.34579405819</v>
      </c>
      <c r="H59">
        <f t="shared" si="7"/>
        <v>130414.70671435022</v>
      </c>
    </row>
    <row r="60" spans="1:8" x14ac:dyDescent="0.35">
      <c r="A60">
        <v>60</v>
      </c>
      <c r="C60">
        <f t="shared" si="4"/>
        <v>114671.09430654718</v>
      </c>
      <c r="D60">
        <f t="shared" si="5"/>
        <v>97131.583548576469</v>
      </c>
      <c r="E60">
        <v>60</v>
      </c>
      <c r="G60">
        <f t="shared" si="6"/>
        <v>114636.14893598204</v>
      </c>
      <c r="H60">
        <f t="shared" si="7"/>
        <v>132174.03525608513</v>
      </c>
    </row>
    <row r="61" spans="1:8" x14ac:dyDescent="0.35">
      <c r="A61">
        <v>61</v>
      </c>
      <c r="C61">
        <f t="shared" si="4"/>
        <v>116349.40291141449</v>
      </c>
      <c r="D61">
        <f t="shared" si="5"/>
        <v>98731.231048865302</v>
      </c>
      <c r="E61">
        <v>61</v>
      </c>
      <c r="G61">
        <f t="shared" si="6"/>
        <v>116317.95207790589</v>
      </c>
      <c r="H61">
        <f t="shared" si="7"/>
        <v>133934.63829937563</v>
      </c>
    </row>
    <row r="62" spans="1:8" x14ac:dyDescent="0.35">
      <c r="A62">
        <v>62</v>
      </c>
      <c r="C62">
        <f t="shared" si="4"/>
        <v>118027.71151628181</v>
      </c>
      <c r="D62">
        <f t="shared" si="5"/>
        <v>100329.62660988144</v>
      </c>
      <c r="E62">
        <v>62</v>
      </c>
      <c r="G62">
        <f t="shared" si="6"/>
        <v>117999.75521982976</v>
      </c>
      <c r="H62">
        <f t="shared" si="7"/>
        <v>135696.49881896254</v>
      </c>
    </row>
    <row r="63" spans="1:8" x14ac:dyDescent="0.35">
      <c r="A63">
        <v>63</v>
      </c>
      <c r="C63">
        <f t="shared" si="4"/>
        <v>119706.02012114912</v>
      </c>
      <c r="D63">
        <f t="shared" si="5"/>
        <v>101926.78711304445</v>
      </c>
      <c r="E63">
        <v>63</v>
      </c>
      <c r="G63">
        <f t="shared" si="6"/>
        <v>119681.55836175362</v>
      </c>
      <c r="H63">
        <f t="shared" si="7"/>
        <v>137459.59982700046</v>
      </c>
    </row>
    <row r="64" spans="1:8" x14ac:dyDescent="0.35">
      <c r="A64">
        <v>64</v>
      </c>
      <c r="C64">
        <f t="shared" si="4"/>
        <v>121384.32872601642</v>
      </c>
      <c r="D64">
        <f t="shared" si="5"/>
        <v>103522.72939154229</v>
      </c>
      <c r="E64">
        <v>64</v>
      </c>
      <c r="G64">
        <f t="shared" si="6"/>
        <v>121363.36150367749</v>
      </c>
      <c r="H64">
        <f t="shared" si="7"/>
        <v>139223.92438409897</v>
      </c>
    </row>
    <row r="65" spans="1:8" x14ac:dyDescent="0.35">
      <c r="A65">
        <v>65</v>
      </c>
      <c r="C65">
        <f t="shared" ref="C65:C70" si="8">15650.8866193759+(A65-1)*1678.30860486731</f>
        <v>123062.63733088374</v>
      </c>
      <c r="D65">
        <f t="shared" ref="D65:D70" si="9">0+1*C65-15464.7639300816*(1.01+(C65-33632.6)^2/23766951871.5343)^0.5</f>
        <v>105117.47021991535</v>
      </c>
      <c r="E65">
        <v>65</v>
      </c>
      <c r="G65">
        <f t="shared" ref="G65:G70" si="10">15409.7635624743+(E65-1)*1681.80314192386</f>
        <v>123045.16464560134</v>
      </c>
      <c r="H65">
        <f t="shared" ref="H65:H70" si="11">0+1*G65+15464.7639300816*(1.01+(G65-33632.6)^2/23766951871.5343)^0.5</f>
        <v>140989.4556098553</v>
      </c>
    </row>
    <row r="66" spans="1:8" x14ac:dyDescent="0.35">
      <c r="A66">
        <v>66</v>
      </c>
      <c r="C66">
        <f t="shared" si="8"/>
        <v>124740.94593575105</v>
      </c>
      <c r="D66">
        <f t="shared" si="9"/>
        <v>106711.02630413977</v>
      </c>
      <c r="E66">
        <v>66</v>
      </c>
      <c r="G66">
        <f t="shared" si="10"/>
        <v>124726.96778752519</v>
      </c>
      <c r="H66">
        <f t="shared" si="11"/>
        <v>142756.17669288171</v>
      </c>
    </row>
    <row r="67" spans="1:8" x14ac:dyDescent="0.35">
      <c r="A67">
        <v>67</v>
      </c>
      <c r="C67">
        <f t="shared" si="8"/>
        <v>126419.25454061835</v>
      </c>
      <c r="D67">
        <f t="shared" si="9"/>
        <v>108303.41427220605</v>
      </c>
      <c r="E67">
        <v>67</v>
      </c>
      <c r="G67">
        <f t="shared" si="10"/>
        <v>126408.77092944906</v>
      </c>
      <c r="H67">
        <f t="shared" si="11"/>
        <v>144524.07090033087</v>
      </c>
    </row>
    <row r="68" spans="1:8" x14ac:dyDescent="0.35">
      <c r="A68">
        <v>68</v>
      </c>
      <c r="C68">
        <f t="shared" si="8"/>
        <v>128097.56314548566</v>
      </c>
      <c r="D68">
        <f t="shared" si="9"/>
        <v>109894.65066518787</v>
      </c>
      <c r="E68">
        <v>68</v>
      </c>
      <c r="G68">
        <f t="shared" si="10"/>
        <v>128090.57407137292</v>
      </c>
      <c r="H68">
        <f t="shared" si="11"/>
        <v>146293.1215869252</v>
      </c>
    </row>
    <row r="69" spans="1:8" x14ac:dyDescent="0.35">
      <c r="A69">
        <v>69</v>
      </c>
      <c r="C69">
        <f t="shared" si="8"/>
        <v>129775.87175035298</v>
      </c>
      <c r="D69">
        <f t="shared" si="9"/>
        <v>111484.75192879421</v>
      </c>
      <c r="E69">
        <v>69</v>
      </c>
      <c r="G69">
        <f t="shared" si="10"/>
        <v>129772.37721329679</v>
      </c>
      <c r="H69">
        <f t="shared" si="11"/>
        <v>148063.31220349646</v>
      </c>
    </row>
    <row r="70" spans="1:8" x14ac:dyDescent="0.35">
      <c r="A70">
        <v>70</v>
      </c>
      <c r="C70">
        <f t="shared" si="8"/>
        <v>131454.18035522028</v>
      </c>
      <c r="D70">
        <f t="shared" si="9"/>
        <v>113073.73440539782</v>
      </c>
      <c r="E70">
        <v>70</v>
      </c>
      <c r="G70">
        <f t="shared" si="10"/>
        <v>131454.18035522065</v>
      </c>
      <c r="H70">
        <f t="shared" si="11"/>
        <v>149834.62630504314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3633-3EA0-49E1-8D56-0539E1644577}">
  <sheetPr codeName="Sheet6">
    <tabColor rgb="FF007800"/>
  </sheetPr>
  <dimension ref="A1:XX996"/>
  <sheetViews>
    <sheetView zoomScaleNormal="100" workbookViewId="0">
      <selection activeCell="A3" activeCellId="1" sqref="A3"/>
    </sheetView>
  </sheetViews>
  <sheetFormatPr defaultRowHeight="15.5" x14ac:dyDescent="0.35"/>
  <cols>
    <col min="1" max="1" width="8.83203125" customWidth="1"/>
    <col min="2" max="2" width="12.5" bestFit="1" customWidth="1"/>
    <col min="3" max="4" width="15.5" bestFit="1" customWidth="1"/>
    <col min="5" max="5" width="10.08203125" bestFit="1" customWidth="1"/>
    <col min="6" max="6" width="10.5" bestFit="1" customWidth="1"/>
    <col min="7" max="7" width="9.5" bestFit="1" customWidth="1"/>
    <col min="8" max="9" width="10.4140625" bestFit="1" customWidth="1"/>
    <col min="11" max="11" width="9.4140625" bestFit="1" customWidth="1"/>
    <col min="12" max="12" width="10.4140625" bestFit="1" customWidth="1"/>
  </cols>
  <sheetData>
    <row r="1" spans="1:8" x14ac:dyDescent="0.35">
      <c r="A1" s="94" t="s">
        <v>340</v>
      </c>
    </row>
    <row r="2" spans="1:8" x14ac:dyDescent="0.35">
      <c r="A2" s="94" t="s">
        <v>88</v>
      </c>
    </row>
    <row r="3" spans="1:8" x14ac:dyDescent="0.35">
      <c r="A3" s="94" t="s">
        <v>89</v>
      </c>
    </row>
    <row r="4" spans="1:8" ht="38" customHeight="1" x14ac:dyDescent="0.35"/>
    <row r="5" spans="1:8" ht="15.65" customHeight="1" x14ac:dyDescent="0.35">
      <c r="A5" s="95"/>
    </row>
    <row r="8" spans="1:8" x14ac:dyDescent="0.35">
      <c r="A8" s="96" t="s">
        <v>90</v>
      </c>
    </row>
    <row r="9" spans="1:8" ht="16" thickBot="1" x14ac:dyDescent="0.4"/>
    <row r="10" spans="1:8" ht="31.25" customHeight="1" x14ac:dyDescent="0.35">
      <c r="A10" s="97" t="s">
        <v>91</v>
      </c>
      <c r="B10" s="50" t="s">
        <v>92</v>
      </c>
      <c r="C10" s="50" t="s">
        <v>93</v>
      </c>
      <c r="D10" s="50" t="s">
        <v>94</v>
      </c>
      <c r="E10" s="50" t="s">
        <v>95</v>
      </c>
      <c r="F10" s="50" t="s">
        <v>96</v>
      </c>
      <c r="G10" s="50" t="s">
        <v>97</v>
      </c>
      <c r="H10" s="50" t="s">
        <v>98</v>
      </c>
    </row>
    <row r="11" spans="1:8" x14ac:dyDescent="0.35">
      <c r="A11" s="98" t="s">
        <v>17</v>
      </c>
      <c r="B11" s="53">
        <v>100</v>
      </c>
      <c r="C11" s="53">
        <v>0</v>
      </c>
      <c r="D11" s="53">
        <v>100</v>
      </c>
      <c r="E11" s="56">
        <v>16350</v>
      </c>
      <c r="F11" s="56">
        <v>103750</v>
      </c>
      <c r="G11" s="56">
        <v>33632.600000000006</v>
      </c>
      <c r="H11" s="56">
        <v>17289.552437086029</v>
      </c>
    </row>
    <row r="12" spans="1:8" x14ac:dyDescent="0.35">
      <c r="A12" s="48" t="s">
        <v>18</v>
      </c>
      <c r="B12" s="54">
        <v>100</v>
      </c>
      <c r="C12" s="54">
        <v>0</v>
      </c>
      <c r="D12" s="54">
        <v>100</v>
      </c>
      <c r="E12" s="57">
        <v>9750</v>
      </c>
      <c r="F12" s="57">
        <v>60000</v>
      </c>
      <c r="G12" s="57">
        <v>16938.600000000002</v>
      </c>
      <c r="H12" s="57">
        <v>8347.8290917731756</v>
      </c>
    </row>
    <row r="13" spans="1:8" ht="16" thickBot="1" x14ac:dyDescent="0.4">
      <c r="A13" s="52" t="s">
        <v>20</v>
      </c>
      <c r="B13" s="55">
        <v>100</v>
      </c>
      <c r="C13" s="55">
        <v>0</v>
      </c>
      <c r="D13" s="55">
        <v>100</v>
      </c>
      <c r="E13" s="58">
        <v>8</v>
      </c>
      <c r="F13" s="58">
        <v>19</v>
      </c>
      <c r="G13" s="58">
        <v>13.219999999999995</v>
      </c>
      <c r="H13" s="58">
        <v>2.7176192789746221</v>
      </c>
    </row>
    <row r="16" spans="1:8" x14ac:dyDescent="0.35">
      <c r="A16" s="6" t="s">
        <v>99</v>
      </c>
    </row>
    <row r="17" spans="1:4" ht="16" thickBot="1" x14ac:dyDescent="0.4"/>
    <row r="18" spans="1:4" ht="31" x14ac:dyDescent="0.35">
      <c r="A18" s="49"/>
      <c r="B18" s="50" t="s">
        <v>18</v>
      </c>
      <c r="C18" s="50" t="s">
        <v>20</v>
      </c>
      <c r="D18" s="59" t="s">
        <v>17</v>
      </c>
    </row>
    <row r="19" spans="1:4" x14ac:dyDescent="0.35">
      <c r="A19" s="60" t="s">
        <v>18</v>
      </c>
      <c r="B19" s="66">
        <v>1</v>
      </c>
      <c r="C19" s="62">
        <v>0.52516672297133782</v>
      </c>
      <c r="D19" s="63">
        <v>0.88659216218443004</v>
      </c>
    </row>
    <row r="20" spans="1:4" x14ac:dyDescent="0.35">
      <c r="A20" s="48" t="s">
        <v>20</v>
      </c>
      <c r="B20" s="57">
        <v>0.52516672297133782</v>
      </c>
      <c r="C20" s="67">
        <v>1</v>
      </c>
      <c r="D20" s="64">
        <v>0.56269702210853989</v>
      </c>
    </row>
    <row r="21" spans="1:4" ht="16" thickBot="1" x14ac:dyDescent="0.4">
      <c r="A21" s="61" t="s">
        <v>17</v>
      </c>
      <c r="B21" s="65">
        <v>0.88659216218443004</v>
      </c>
      <c r="C21" s="65">
        <v>0.56269702210853989</v>
      </c>
      <c r="D21" s="68">
        <v>1</v>
      </c>
    </row>
    <row r="24" spans="1:4" x14ac:dyDescent="0.35">
      <c r="A24" s="6" t="s">
        <v>292</v>
      </c>
    </row>
    <row r="26" spans="1:4" x14ac:dyDescent="0.35">
      <c r="A26" s="2" t="s">
        <v>293</v>
      </c>
    </row>
    <row r="27" spans="1:4" ht="16" thickBot="1" x14ac:dyDescent="0.4"/>
    <row r="28" spans="1:4" x14ac:dyDescent="0.35">
      <c r="A28" s="69" t="s">
        <v>92</v>
      </c>
      <c r="B28" s="70">
        <v>100</v>
      </c>
    </row>
    <row r="29" spans="1:4" x14ac:dyDescent="0.35">
      <c r="A29" s="48" t="s">
        <v>102</v>
      </c>
      <c r="B29" s="54">
        <v>100</v>
      </c>
    </row>
    <row r="30" spans="1:4" x14ac:dyDescent="0.35">
      <c r="A30" s="48" t="s">
        <v>103</v>
      </c>
      <c r="B30" s="54">
        <v>97</v>
      </c>
    </row>
    <row r="31" spans="1:4" x14ac:dyDescent="0.35">
      <c r="A31" s="48" t="s">
        <v>104</v>
      </c>
      <c r="B31" s="57">
        <v>0.79906160148119076</v>
      </c>
    </row>
    <row r="32" spans="1:4" x14ac:dyDescent="0.35">
      <c r="A32" s="48" t="s">
        <v>105</v>
      </c>
      <c r="B32" s="57">
        <v>0.79491854171791632</v>
      </c>
    </row>
    <row r="33" spans="1:7" x14ac:dyDescent="0.35">
      <c r="A33" s="48" t="s">
        <v>106</v>
      </c>
      <c r="B33" s="57">
        <v>61304718.024457105</v>
      </c>
    </row>
    <row r="34" spans="1:7" x14ac:dyDescent="0.35">
      <c r="A34" s="48" t="s">
        <v>107</v>
      </c>
      <c r="B34" s="57">
        <v>7829.732947199228</v>
      </c>
    </row>
    <row r="35" spans="1:7" x14ac:dyDescent="0.35">
      <c r="A35" s="48" t="s">
        <v>108</v>
      </c>
      <c r="B35" s="57">
        <v>12.33968580422002</v>
      </c>
    </row>
    <row r="36" spans="1:7" x14ac:dyDescent="0.35">
      <c r="A36" s="48" t="s">
        <v>109</v>
      </c>
      <c r="B36" s="57">
        <v>1.9759387001874329</v>
      </c>
    </row>
    <row r="37" spans="1:7" x14ac:dyDescent="0.35">
      <c r="A37" s="48" t="s">
        <v>110</v>
      </c>
      <c r="B37" s="57">
        <v>3</v>
      </c>
    </row>
    <row r="38" spans="1:7" x14ac:dyDescent="0.35">
      <c r="A38" s="48" t="s">
        <v>111</v>
      </c>
      <c r="B38" s="57">
        <v>1796.0908156601215</v>
      </c>
    </row>
    <row r="39" spans="1:7" x14ac:dyDescent="0.35">
      <c r="A39" s="48" t="s">
        <v>112</v>
      </c>
      <c r="B39" s="57">
        <v>1796.3408156601215</v>
      </c>
    </row>
    <row r="40" spans="1:7" x14ac:dyDescent="0.35">
      <c r="A40" s="48" t="s">
        <v>113</v>
      </c>
      <c r="B40" s="57">
        <v>1803.9063262180857</v>
      </c>
    </row>
    <row r="41" spans="1:7" ht="16" thickBot="1" x14ac:dyDescent="0.4">
      <c r="A41" s="52" t="s">
        <v>114</v>
      </c>
      <c r="B41" s="58">
        <v>0.2133675778086325</v>
      </c>
    </row>
    <row r="44" spans="1:7" x14ac:dyDescent="0.35">
      <c r="A44" s="2" t="s">
        <v>294</v>
      </c>
    </row>
    <row r="45" spans="1:7" ht="16" thickBot="1" x14ac:dyDescent="0.4"/>
    <row r="46" spans="1:7" ht="46.5" x14ac:dyDescent="0.35">
      <c r="A46" s="49" t="s">
        <v>116</v>
      </c>
      <c r="B46" s="50" t="s">
        <v>103</v>
      </c>
      <c r="C46" s="50" t="s">
        <v>117</v>
      </c>
      <c r="D46" s="50" t="s">
        <v>118</v>
      </c>
      <c r="E46" s="50" t="s">
        <v>119</v>
      </c>
      <c r="F46" s="50" t="s">
        <v>120</v>
      </c>
      <c r="G46" s="50" t="s">
        <v>121</v>
      </c>
    </row>
    <row r="47" spans="1:7" x14ac:dyDescent="0.35">
      <c r="A47" s="60" t="s">
        <v>122</v>
      </c>
      <c r="B47" s="62">
        <v>2</v>
      </c>
      <c r="C47" s="62">
        <v>23647376075.627647</v>
      </c>
      <c r="D47" s="62">
        <v>11823688037.813824</v>
      </c>
      <c r="E47" s="62">
        <v>192.86750545197586</v>
      </c>
      <c r="F47" s="74">
        <v>1.5796192782053554E-34</v>
      </c>
      <c r="G47" s="77" t="s">
        <v>125</v>
      </c>
    </row>
    <row r="48" spans="1:7" x14ac:dyDescent="0.35">
      <c r="A48" s="48" t="s">
        <v>123</v>
      </c>
      <c r="B48" s="57">
        <v>97</v>
      </c>
      <c r="C48" s="57">
        <v>5946557648.3723392</v>
      </c>
      <c r="D48" s="57">
        <v>61304718.024457105</v>
      </c>
      <c r="E48" s="57"/>
      <c r="F48" s="75"/>
      <c r="G48" s="78" t="s">
        <v>126</v>
      </c>
    </row>
    <row r="49" spans="1:8" ht="16" thickBot="1" x14ac:dyDescent="0.4">
      <c r="A49" s="52" t="s">
        <v>124</v>
      </c>
      <c r="B49" s="58">
        <v>99</v>
      </c>
      <c r="C49" s="58">
        <v>29593933723.999989</v>
      </c>
      <c r="D49" s="58"/>
      <c r="E49" s="58"/>
      <c r="F49" s="76"/>
      <c r="G49" s="79" t="s">
        <v>126</v>
      </c>
    </row>
    <row r="50" spans="1:8" x14ac:dyDescent="0.35">
      <c r="A50" s="80" t="s">
        <v>127</v>
      </c>
    </row>
    <row r="51" spans="1:8" x14ac:dyDescent="0.35">
      <c r="A51" s="80" t="s">
        <v>128</v>
      </c>
    </row>
    <row r="54" spans="1:8" x14ac:dyDescent="0.35">
      <c r="A54" s="2" t="s">
        <v>295</v>
      </c>
    </row>
    <row r="55" spans="1:8" ht="16" thickBot="1" x14ac:dyDescent="0.4"/>
    <row r="56" spans="1:8" ht="46.5" x14ac:dyDescent="0.35">
      <c r="A56" s="49" t="s">
        <v>116</v>
      </c>
      <c r="B56" s="50" t="s">
        <v>130</v>
      </c>
      <c r="C56" s="50" t="s">
        <v>131</v>
      </c>
      <c r="D56" s="50" t="s">
        <v>132</v>
      </c>
      <c r="E56" s="50" t="s">
        <v>133</v>
      </c>
      <c r="F56" s="50" t="s">
        <v>134</v>
      </c>
      <c r="G56" s="50" t="s">
        <v>135</v>
      </c>
      <c r="H56" s="50" t="s">
        <v>121</v>
      </c>
    </row>
    <row r="57" spans="1:8" x14ac:dyDescent="0.35">
      <c r="A57" s="60" t="s">
        <v>16</v>
      </c>
      <c r="B57" s="62">
        <v>-6276.5696179137194</v>
      </c>
      <c r="C57" s="62">
        <v>3937.3676994948687</v>
      </c>
      <c r="D57" s="62">
        <v>-1.5941029888366665</v>
      </c>
      <c r="E57" s="71">
        <v>0.11416634329179867</v>
      </c>
      <c r="F57" s="62">
        <v>-14091.154582963511</v>
      </c>
      <c r="G57" s="62">
        <v>1538.0153471360727</v>
      </c>
      <c r="H57" s="77" t="s">
        <v>137</v>
      </c>
    </row>
    <row r="58" spans="1:8" x14ac:dyDescent="0.35">
      <c r="A58" s="48" t="s">
        <v>18</v>
      </c>
      <c r="B58" s="57">
        <v>1.6904400361161798</v>
      </c>
      <c r="C58" s="57">
        <v>0.11077112567595486</v>
      </c>
      <c r="D58" s="57">
        <v>15.260655931775228</v>
      </c>
      <c r="E58" s="75">
        <v>0</v>
      </c>
      <c r="F58" s="57">
        <v>1.4705900146462492</v>
      </c>
      <c r="G58" s="57">
        <v>1.9102900575861104</v>
      </c>
      <c r="H58" s="78" t="s">
        <v>125</v>
      </c>
    </row>
    <row r="59" spans="1:8" ht="16" thickBot="1" x14ac:dyDescent="0.4">
      <c r="A59" s="52" t="s">
        <v>20</v>
      </c>
      <c r="B59" s="58">
        <v>852.91089426295036</v>
      </c>
      <c r="C59" s="58">
        <v>340.26047452647384</v>
      </c>
      <c r="D59" s="58">
        <v>2.5066411120771828</v>
      </c>
      <c r="E59" s="76">
        <v>1.3851327442019556E-2</v>
      </c>
      <c r="F59" s="58">
        <v>177.58804118615569</v>
      </c>
      <c r="G59" s="58">
        <v>1528.2337473397452</v>
      </c>
      <c r="H59" s="79" t="s">
        <v>220</v>
      </c>
    </row>
    <row r="60" spans="1:8" x14ac:dyDescent="0.35">
      <c r="A60" s="80" t="s">
        <v>128</v>
      </c>
    </row>
    <row r="63" spans="1:8" x14ac:dyDescent="0.35">
      <c r="A63" s="2" t="s">
        <v>296</v>
      </c>
    </row>
    <row r="65" spans="1:8" x14ac:dyDescent="0.35">
      <c r="A65" t="s">
        <v>338</v>
      </c>
    </row>
    <row r="68" spans="1:8" x14ac:dyDescent="0.35">
      <c r="A68" s="2" t="s">
        <v>298</v>
      </c>
    </row>
    <row r="69" spans="1:8" ht="16" thickBot="1" x14ac:dyDescent="0.4"/>
    <row r="70" spans="1:8" ht="46.5" x14ac:dyDescent="0.35">
      <c r="A70" s="49" t="s">
        <v>116</v>
      </c>
      <c r="B70" s="50" t="s">
        <v>130</v>
      </c>
      <c r="C70" s="50" t="s">
        <v>131</v>
      </c>
      <c r="D70" s="50" t="s">
        <v>132</v>
      </c>
      <c r="E70" s="50" t="s">
        <v>133</v>
      </c>
      <c r="F70" s="50" t="s">
        <v>134</v>
      </c>
      <c r="G70" s="50" t="s">
        <v>135</v>
      </c>
      <c r="H70" s="50" t="s">
        <v>121</v>
      </c>
    </row>
    <row r="71" spans="1:8" x14ac:dyDescent="0.35">
      <c r="A71" s="60" t="s">
        <v>18</v>
      </c>
      <c r="B71" s="62">
        <v>0.81618680198566718</v>
      </c>
      <c r="C71" s="62">
        <v>5.3483074753440343E-2</v>
      </c>
      <c r="D71" s="62">
        <v>15.260655931775226</v>
      </c>
      <c r="E71" s="74">
        <v>0</v>
      </c>
      <c r="F71" s="62">
        <v>0.71003770346319794</v>
      </c>
      <c r="G71" s="62">
        <v>0.92233590050813641</v>
      </c>
      <c r="H71" s="77" t="s">
        <v>125</v>
      </c>
    </row>
    <row r="72" spans="1:8" ht="16" thickBot="1" x14ac:dyDescent="0.4">
      <c r="A72" s="52" t="s">
        <v>20</v>
      </c>
      <c r="B72" s="58">
        <v>0.13406287397727082</v>
      </c>
      <c r="C72" s="58">
        <v>5.348307475344035E-2</v>
      </c>
      <c r="D72" s="58">
        <v>2.5066411120771828</v>
      </c>
      <c r="E72" s="76">
        <v>1.3851327442019556E-2</v>
      </c>
      <c r="F72" s="58">
        <v>2.7913775454801518E-2</v>
      </c>
      <c r="G72" s="58">
        <v>0.24021197249974013</v>
      </c>
      <c r="H72" s="79" t="s">
        <v>220</v>
      </c>
    </row>
    <row r="73" spans="1:8" x14ac:dyDescent="0.35">
      <c r="A73" s="80" t="s">
        <v>128</v>
      </c>
    </row>
    <row r="92" spans="1:4" x14ac:dyDescent="0.35">
      <c r="D92" t="s">
        <v>141</v>
      </c>
    </row>
    <row r="95" spans="1:4" x14ac:dyDescent="0.35">
      <c r="A95" s="2" t="s">
        <v>299</v>
      </c>
    </row>
    <row r="96" spans="1:4" ht="16" thickBot="1" x14ac:dyDescent="0.4"/>
    <row r="97" spans="1:12" ht="77.5" x14ac:dyDescent="0.35">
      <c r="A97" s="49" t="s">
        <v>143</v>
      </c>
      <c r="B97" s="50" t="s">
        <v>144</v>
      </c>
      <c r="C97" s="50" t="s">
        <v>17</v>
      </c>
      <c r="D97" s="50" t="s">
        <v>333</v>
      </c>
      <c r="E97" s="50" t="s">
        <v>188</v>
      </c>
      <c r="F97" s="50" t="s">
        <v>189</v>
      </c>
      <c r="G97" s="50" t="s">
        <v>190</v>
      </c>
      <c r="H97" s="50" t="s">
        <v>191</v>
      </c>
      <c r="I97" s="50" t="s">
        <v>192</v>
      </c>
      <c r="J97" s="50" t="s">
        <v>193</v>
      </c>
      <c r="K97" s="50" t="s">
        <v>194</v>
      </c>
      <c r="L97" s="50" t="s">
        <v>195</v>
      </c>
    </row>
    <row r="98" spans="1:12" x14ac:dyDescent="0.35">
      <c r="A98" s="60" t="s">
        <v>145</v>
      </c>
      <c r="B98" s="81">
        <v>1</v>
      </c>
      <c r="C98" s="62">
        <v>23400</v>
      </c>
      <c r="D98" s="62">
        <v>22975.811519548708</v>
      </c>
      <c r="E98" s="62">
        <v>424.18848045129198</v>
      </c>
      <c r="F98" s="62">
        <v>5.4176621771375784E-2</v>
      </c>
      <c r="G98" s="62">
        <v>952.72852119391405</v>
      </c>
      <c r="H98" s="62">
        <v>21084.909133558383</v>
      </c>
      <c r="I98" s="62">
        <v>24866.713905539033</v>
      </c>
      <c r="J98" s="62">
        <v>7887.4843682604815</v>
      </c>
      <c r="K98" s="62">
        <v>7321.3384145396976</v>
      </c>
      <c r="L98" s="62">
        <v>38630.284624557717</v>
      </c>
    </row>
    <row r="99" spans="1:12" x14ac:dyDescent="0.35">
      <c r="A99" s="48" t="s">
        <v>146</v>
      </c>
      <c r="B99" s="54">
        <v>1</v>
      </c>
      <c r="C99" s="57">
        <v>33540</v>
      </c>
      <c r="D99" s="57">
        <v>30582.791682071515</v>
      </c>
      <c r="E99" s="57">
        <v>2957.2083179284855</v>
      </c>
      <c r="F99" s="57">
        <v>0.377689550572259</v>
      </c>
      <c r="G99" s="57">
        <v>863.30673154953593</v>
      </c>
      <c r="H99" s="57">
        <v>28869.366795323247</v>
      </c>
      <c r="I99" s="57">
        <v>32296.216568819782</v>
      </c>
      <c r="J99" s="57">
        <v>7877.183287012931</v>
      </c>
      <c r="K99" s="57">
        <v>14948.763371855532</v>
      </c>
      <c r="L99" s="57">
        <v>46216.819992287499</v>
      </c>
    </row>
    <row r="100" spans="1:12" x14ac:dyDescent="0.35">
      <c r="A100" s="48" t="s">
        <v>147</v>
      </c>
      <c r="B100" s="54">
        <v>1</v>
      </c>
      <c r="C100" s="57">
        <v>26550</v>
      </c>
      <c r="D100" s="57">
        <v>26018.60358455783</v>
      </c>
      <c r="E100" s="57">
        <v>531.39641544217011</v>
      </c>
      <c r="F100" s="57">
        <v>6.7869034490155355E-2</v>
      </c>
      <c r="G100" s="57">
        <v>884.92994562021909</v>
      </c>
      <c r="H100" s="57">
        <v>24262.262603487336</v>
      </c>
      <c r="I100" s="57">
        <v>27774.944565628324</v>
      </c>
      <c r="J100" s="57">
        <v>7879.5824148943648</v>
      </c>
      <c r="K100" s="57">
        <v>10379.813669609353</v>
      </c>
      <c r="L100" s="57">
        <v>41657.393499506303</v>
      </c>
    </row>
    <row r="101" spans="1:12" x14ac:dyDescent="0.35">
      <c r="A101" s="48" t="s">
        <v>148</v>
      </c>
      <c r="B101" s="54">
        <v>1</v>
      </c>
      <c r="C101" s="57">
        <v>30900</v>
      </c>
      <c r="D101" s="57">
        <v>31873.694337773231</v>
      </c>
      <c r="E101" s="57">
        <v>-973.69433777323138</v>
      </c>
      <c r="F101" s="57">
        <v>-0.12435856297264025</v>
      </c>
      <c r="G101" s="57">
        <v>1078.2376600453401</v>
      </c>
      <c r="H101" s="57">
        <v>29733.691053847841</v>
      </c>
      <c r="I101" s="57">
        <v>34013.697621698622</v>
      </c>
      <c r="J101" s="57">
        <v>7903.6266660310539</v>
      </c>
      <c r="K101" s="57">
        <v>16187.183240103426</v>
      </c>
      <c r="L101" s="57">
        <v>47560.205435443037</v>
      </c>
    </row>
    <row r="102" spans="1:12" x14ac:dyDescent="0.35">
      <c r="A102" s="48" t="s">
        <v>149</v>
      </c>
      <c r="B102" s="54">
        <v>1</v>
      </c>
      <c r="C102" s="57">
        <v>23100</v>
      </c>
      <c r="D102" s="57">
        <v>22975.811519548708</v>
      </c>
      <c r="E102" s="57">
        <v>124.18848045129198</v>
      </c>
      <c r="F102" s="57">
        <v>1.5861138724497036E-2</v>
      </c>
      <c r="G102" s="57">
        <v>952.72852119391405</v>
      </c>
      <c r="H102" s="57">
        <v>21084.909133558383</v>
      </c>
      <c r="I102" s="57">
        <v>24866.713905539033</v>
      </c>
      <c r="J102" s="57">
        <v>7887.4843682604815</v>
      </c>
      <c r="K102" s="57">
        <v>7321.3384145396976</v>
      </c>
      <c r="L102" s="57">
        <v>38630.284624557717</v>
      </c>
    </row>
    <row r="103" spans="1:12" x14ac:dyDescent="0.35">
      <c r="A103" s="48" t="s">
        <v>150</v>
      </c>
      <c r="B103" s="54">
        <v>1</v>
      </c>
      <c r="C103" s="57">
        <v>30750</v>
      </c>
      <c r="D103" s="57">
        <v>25903.318077932581</v>
      </c>
      <c r="E103" s="57">
        <v>4846.6819220674188</v>
      </c>
      <c r="F103" s="57">
        <v>0.61900986339529296</v>
      </c>
      <c r="G103" s="57">
        <v>1847.5096783601416</v>
      </c>
      <c r="H103" s="57">
        <v>22236.522782906071</v>
      </c>
      <c r="I103" s="57">
        <v>29570.113372959091</v>
      </c>
      <c r="J103" s="57">
        <v>8044.7504645011522</v>
      </c>
      <c r="K103" s="57">
        <v>9936.7153053408147</v>
      </c>
      <c r="L103" s="57">
        <v>41869.920850524344</v>
      </c>
    </row>
    <row r="104" spans="1:12" x14ac:dyDescent="0.35">
      <c r="A104" s="48" t="s">
        <v>151</v>
      </c>
      <c r="B104" s="54">
        <v>1</v>
      </c>
      <c r="C104" s="57">
        <v>24150</v>
      </c>
      <c r="D104" s="57">
        <v>22099.827996671178</v>
      </c>
      <c r="E104" s="57">
        <v>2050.172003328822</v>
      </c>
      <c r="F104" s="57">
        <v>0.26184443545576974</v>
      </c>
      <c r="G104" s="57">
        <v>1765.6412827843303</v>
      </c>
      <c r="H104" s="57">
        <v>18595.51880454574</v>
      </c>
      <c r="I104" s="57">
        <v>25604.137188796616</v>
      </c>
      <c r="J104" s="57">
        <v>8026.3445704710066</v>
      </c>
      <c r="K104" s="57">
        <v>6169.7558287203556</v>
      </c>
      <c r="L104" s="57">
        <v>38029.900164621999</v>
      </c>
    </row>
    <row r="105" spans="1:12" x14ac:dyDescent="0.35">
      <c r="A105" s="48" t="s">
        <v>152</v>
      </c>
      <c r="B105" s="54">
        <v>1</v>
      </c>
      <c r="C105" s="57">
        <v>61250</v>
      </c>
      <c r="D105" s="57">
        <v>65713.258564916279</v>
      </c>
      <c r="E105" s="57">
        <v>-4463.2585649162793</v>
      </c>
      <c r="F105" s="57">
        <v>-0.57003969292628687</v>
      </c>
      <c r="G105" s="57">
        <v>1992.7750969261162</v>
      </c>
      <c r="H105" s="57">
        <v>61758.151625535858</v>
      </c>
      <c r="I105" s="57">
        <v>69668.3655042967</v>
      </c>
      <c r="J105" s="57">
        <v>8079.3484026489414</v>
      </c>
      <c r="K105" s="57">
        <v>49677.988462294321</v>
      </c>
      <c r="L105" s="57">
        <v>81748.528667538238</v>
      </c>
    </row>
    <row r="106" spans="1:12" x14ac:dyDescent="0.35">
      <c r="A106" s="48" t="s">
        <v>153</v>
      </c>
      <c r="B106" s="54">
        <v>1</v>
      </c>
      <c r="C106" s="57">
        <v>42300</v>
      </c>
      <c r="D106" s="57">
        <v>51744.055638343205</v>
      </c>
      <c r="E106" s="57">
        <v>-9444.0556383432049</v>
      </c>
      <c r="F106" s="57">
        <v>-1.2061785123490625</v>
      </c>
      <c r="G106" s="57">
        <v>1243.7481462614387</v>
      </c>
      <c r="H106" s="57">
        <v>49275.559854896281</v>
      </c>
      <c r="I106" s="57">
        <v>54212.551421790129</v>
      </c>
      <c r="J106" s="57">
        <v>7927.9018331325133</v>
      </c>
      <c r="K106" s="57">
        <v>36009.36505368277</v>
      </c>
      <c r="L106" s="57">
        <v>67478.746223003633</v>
      </c>
    </row>
    <row r="107" spans="1:12" x14ac:dyDescent="0.35">
      <c r="A107" s="48" t="s">
        <v>154</v>
      </c>
      <c r="B107" s="54">
        <v>1</v>
      </c>
      <c r="C107" s="57">
        <v>24900</v>
      </c>
      <c r="D107" s="57">
        <v>22975.811519548708</v>
      </c>
      <c r="E107" s="57">
        <v>1924.188480451292</v>
      </c>
      <c r="F107" s="57">
        <v>0.24575403700576953</v>
      </c>
      <c r="G107" s="57">
        <v>952.72852119391405</v>
      </c>
      <c r="H107" s="57">
        <v>21084.909133558383</v>
      </c>
      <c r="I107" s="57">
        <v>24866.713905539033</v>
      </c>
      <c r="J107" s="57">
        <v>7887.4843682604815</v>
      </c>
      <c r="K107" s="57">
        <v>7321.3384145396976</v>
      </c>
      <c r="L107" s="57">
        <v>38630.284624557717</v>
      </c>
    </row>
    <row r="108" spans="1:12" x14ac:dyDescent="0.35">
      <c r="A108" s="48" t="s">
        <v>155</v>
      </c>
      <c r="B108" s="54">
        <v>1</v>
      </c>
      <c r="C108" s="57">
        <v>34500</v>
      </c>
      <c r="D108" s="57">
        <v>36530.095313297585</v>
      </c>
      <c r="E108" s="57">
        <v>-2030.0953132975847</v>
      </c>
      <c r="F108" s="57">
        <v>-0.25928027520067204</v>
      </c>
      <c r="G108" s="57">
        <v>1214.3880413160209</v>
      </c>
      <c r="H108" s="57">
        <v>34119.871210879639</v>
      </c>
      <c r="I108" s="57">
        <v>38940.31941571553</v>
      </c>
      <c r="J108" s="57">
        <v>7923.3488083857865</v>
      </c>
      <c r="K108" s="57">
        <v>20804.441222418474</v>
      </c>
      <c r="L108" s="57">
        <v>52255.749404176691</v>
      </c>
    </row>
    <row r="109" spans="1:12" x14ac:dyDescent="0.35">
      <c r="A109" s="48" t="s">
        <v>156</v>
      </c>
      <c r="B109" s="54">
        <v>1</v>
      </c>
      <c r="C109" s="57">
        <v>46000</v>
      </c>
      <c r="D109" s="57">
        <v>30605.864310686098</v>
      </c>
      <c r="E109" s="57">
        <v>15394.135689313902</v>
      </c>
      <c r="F109" s="57">
        <v>1.9661124834175263</v>
      </c>
      <c r="G109" s="57">
        <v>1121.6190476054749</v>
      </c>
      <c r="H109" s="57">
        <v>28379.760981028652</v>
      </c>
      <c r="I109" s="57">
        <v>32831.967640343544</v>
      </c>
      <c r="J109" s="57">
        <v>7909.6616433579829</v>
      </c>
      <c r="K109" s="57">
        <v>14907.375453588467</v>
      </c>
      <c r="L109" s="57">
        <v>46304.353167783731</v>
      </c>
    </row>
    <row r="110" spans="1:12" x14ac:dyDescent="0.35">
      <c r="A110" s="48" t="s">
        <v>157</v>
      </c>
      <c r="B110" s="54">
        <v>1</v>
      </c>
      <c r="C110" s="57">
        <v>30270</v>
      </c>
      <c r="D110" s="57">
        <v>30582.791682071515</v>
      </c>
      <c r="E110" s="57">
        <v>-312.79168207151451</v>
      </c>
      <c r="F110" s="57">
        <v>-3.9949214638719338E-2</v>
      </c>
      <c r="G110" s="57">
        <v>863.30673154953593</v>
      </c>
      <c r="H110" s="57">
        <v>28869.366795323247</v>
      </c>
      <c r="I110" s="57">
        <v>32296.216568819782</v>
      </c>
      <c r="J110" s="57">
        <v>7877.183287012931</v>
      </c>
      <c r="K110" s="57">
        <v>14948.763371855532</v>
      </c>
      <c r="L110" s="57">
        <v>46216.819992287499</v>
      </c>
    </row>
    <row r="111" spans="1:12" x14ac:dyDescent="0.35">
      <c r="A111" s="48" t="s">
        <v>158</v>
      </c>
      <c r="B111" s="54">
        <v>1</v>
      </c>
      <c r="C111" s="57">
        <v>40350</v>
      </c>
      <c r="D111" s="57">
        <v>34409.354391947505</v>
      </c>
      <c r="E111" s="57">
        <v>5940.6456080524949</v>
      </c>
      <c r="F111" s="57">
        <v>0.75872902027616684</v>
      </c>
      <c r="G111" s="57">
        <v>1006.5499721445532</v>
      </c>
      <c r="H111" s="57">
        <v>32411.631324350536</v>
      </c>
      <c r="I111" s="57">
        <v>36407.077459544475</v>
      </c>
      <c r="J111" s="57">
        <v>7894.1662555890789</v>
      </c>
      <c r="K111" s="57">
        <v>18741.619590231094</v>
      </c>
      <c r="L111" s="57">
        <v>50077.089193663916</v>
      </c>
    </row>
    <row r="112" spans="1:12" x14ac:dyDescent="0.35">
      <c r="A112" s="48" t="s">
        <v>159</v>
      </c>
      <c r="B112" s="54">
        <v>1</v>
      </c>
      <c r="C112" s="57">
        <v>45000</v>
      </c>
      <c r="D112" s="57">
        <v>42016.334554470312</v>
      </c>
      <c r="E112" s="57">
        <v>2983.6654455296884</v>
      </c>
      <c r="F112" s="57">
        <v>0.38106860931916903</v>
      </c>
      <c r="G112" s="57">
        <v>946.61426818511575</v>
      </c>
      <c r="H112" s="57">
        <v>40137.567268191706</v>
      </c>
      <c r="I112" s="57">
        <v>43895.101840748917</v>
      </c>
      <c r="J112" s="57">
        <v>7886.7481636723223</v>
      </c>
      <c r="K112" s="57">
        <v>26363.322611777072</v>
      </c>
      <c r="L112" s="57">
        <v>57669.346497163555</v>
      </c>
    </row>
    <row r="113" spans="1:12" x14ac:dyDescent="0.35">
      <c r="A113" s="48" t="s">
        <v>160</v>
      </c>
      <c r="B113" s="54">
        <v>1</v>
      </c>
      <c r="C113" s="57">
        <v>27900</v>
      </c>
      <c r="D113" s="57">
        <v>26779.301600810111</v>
      </c>
      <c r="E113" s="57">
        <v>1120.6983991898887</v>
      </c>
      <c r="F113" s="57">
        <v>0.14313366838274777</v>
      </c>
      <c r="G113" s="57">
        <v>874.28655048401129</v>
      </c>
      <c r="H113" s="57">
        <v>25044.084812844358</v>
      </c>
      <c r="I113" s="57">
        <v>28514.518388775865</v>
      </c>
      <c r="J113" s="57">
        <v>7878.3941889711468</v>
      </c>
      <c r="K113" s="57">
        <v>11142.869985401669</v>
      </c>
      <c r="L113" s="57">
        <v>42415.733216218556</v>
      </c>
    </row>
    <row r="114" spans="1:12" x14ac:dyDescent="0.35">
      <c r="A114" s="48" t="s">
        <v>161</v>
      </c>
      <c r="B114" s="54">
        <v>1</v>
      </c>
      <c r="C114" s="57">
        <v>56750</v>
      </c>
      <c r="D114" s="57">
        <v>58083.205773778878</v>
      </c>
      <c r="E114" s="57">
        <v>-1333.2057737788782</v>
      </c>
      <c r="F114" s="57">
        <v>-0.17027474407741824</v>
      </c>
      <c r="G114" s="57">
        <v>1470.9356605094586</v>
      </c>
      <c r="H114" s="57">
        <v>55163.80566323104</v>
      </c>
      <c r="I114" s="57">
        <v>61002.605884326716</v>
      </c>
      <c r="J114" s="57">
        <v>7966.7038191347056</v>
      </c>
      <c r="K114" s="57">
        <v>42271.503987836506</v>
      </c>
      <c r="L114" s="57">
        <v>73894.90755972125</v>
      </c>
    </row>
    <row r="115" spans="1:12" x14ac:dyDescent="0.35">
      <c r="A115" s="48" t="s">
        <v>162</v>
      </c>
      <c r="B115" s="54">
        <v>1</v>
      </c>
      <c r="C115" s="57">
        <v>29400</v>
      </c>
      <c r="D115" s="57">
        <v>34409.354391947505</v>
      </c>
      <c r="E115" s="57">
        <v>-5009.3543919475051</v>
      </c>
      <c r="F115" s="57">
        <v>-0.63978611093490745</v>
      </c>
      <c r="G115" s="57">
        <v>1006.5499721445532</v>
      </c>
      <c r="H115" s="57">
        <v>32411.631324350536</v>
      </c>
      <c r="I115" s="57">
        <v>36407.077459544475</v>
      </c>
      <c r="J115" s="57">
        <v>7894.1662555890789</v>
      </c>
      <c r="K115" s="57">
        <v>18741.619590231094</v>
      </c>
      <c r="L115" s="57">
        <v>50077.089193663916</v>
      </c>
    </row>
    <row r="116" spans="1:12" x14ac:dyDescent="0.35">
      <c r="A116" s="48" t="s">
        <v>163</v>
      </c>
      <c r="B116" s="54">
        <v>1</v>
      </c>
      <c r="C116" s="57">
        <v>32100</v>
      </c>
      <c r="D116" s="57">
        <v>29338.034283598965</v>
      </c>
      <c r="E116" s="57">
        <v>2761.965716401035</v>
      </c>
      <c r="F116" s="57">
        <v>0.35275350194274724</v>
      </c>
      <c r="G116" s="57">
        <v>1169.3015637258559</v>
      </c>
      <c r="H116" s="57">
        <v>27017.294358629915</v>
      </c>
      <c r="I116" s="57">
        <v>31658.774208568015</v>
      </c>
      <c r="J116" s="57">
        <v>7916.5639119120888</v>
      </c>
      <c r="K116" s="57">
        <v>13625.846334065905</v>
      </c>
      <c r="L116" s="57">
        <v>45050.222233132023</v>
      </c>
    </row>
    <row r="117" spans="1:12" x14ac:dyDescent="0.35">
      <c r="A117" s="48" t="s">
        <v>164</v>
      </c>
      <c r="B117" s="54">
        <v>1</v>
      </c>
      <c r="C117" s="57">
        <v>21900</v>
      </c>
      <c r="D117" s="57">
        <v>22860.526012923456</v>
      </c>
      <c r="E117" s="57">
        <v>-960.52601292345571</v>
      </c>
      <c r="F117" s="57">
        <v>-0.12267672721418235</v>
      </c>
      <c r="G117" s="57">
        <v>1779.5254473187692</v>
      </c>
      <c r="H117" s="57">
        <v>19328.660597528084</v>
      </c>
      <c r="I117" s="57">
        <v>26392.391428318828</v>
      </c>
      <c r="J117" s="57">
        <v>8029.410242484324</v>
      </c>
      <c r="K117" s="57">
        <v>6924.3693346470882</v>
      </c>
      <c r="L117" s="57">
        <v>38796.682691199821</v>
      </c>
    </row>
    <row r="118" spans="1:12" x14ac:dyDescent="0.35">
      <c r="A118" s="48" t="s">
        <v>165</v>
      </c>
      <c r="B118" s="54">
        <v>1</v>
      </c>
      <c r="C118" s="57">
        <v>32400</v>
      </c>
      <c r="D118" s="57">
        <v>31873.694337773231</v>
      </c>
      <c r="E118" s="57">
        <v>526.30566222676862</v>
      </c>
      <c r="F118" s="57">
        <v>6.7218852261753489E-2</v>
      </c>
      <c r="G118" s="57">
        <v>1078.2376600453401</v>
      </c>
      <c r="H118" s="57">
        <v>29733.691053847841</v>
      </c>
      <c r="I118" s="57">
        <v>34013.697621698622</v>
      </c>
      <c r="J118" s="57">
        <v>7903.6266660310539</v>
      </c>
      <c r="K118" s="57">
        <v>16187.183240103426</v>
      </c>
      <c r="L118" s="57">
        <v>47560.205435443037</v>
      </c>
    </row>
    <row r="119" spans="1:12" x14ac:dyDescent="0.35">
      <c r="A119" s="48" t="s">
        <v>166</v>
      </c>
      <c r="B119" s="54">
        <v>1</v>
      </c>
      <c r="C119" s="57">
        <v>45625</v>
      </c>
      <c r="D119" s="57">
        <v>46672.735529994672</v>
      </c>
      <c r="E119" s="57">
        <v>-1047.7355299946721</v>
      </c>
      <c r="F119" s="57">
        <v>-0.13381497645707793</v>
      </c>
      <c r="G119" s="57">
        <v>1141.0469073383019</v>
      </c>
      <c r="H119" s="57">
        <v>44408.073276670853</v>
      </c>
      <c r="I119" s="57">
        <v>48937.397783318491</v>
      </c>
      <c r="J119" s="57">
        <v>7912.4399567518622</v>
      </c>
      <c r="K119" s="57">
        <v>30968.732489886199</v>
      </c>
      <c r="L119" s="57">
        <v>62376.738570103145</v>
      </c>
    </row>
    <row r="120" spans="1:12" x14ac:dyDescent="0.35">
      <c r="A120" s="48" t="s">
        <v>167</v>
      </c>
      <c r="B120" s="54">
        <v>1</v>
      </c>
      <c r="C120" s="57">
        <v>103500</v>
      </c>
      <c r="D120" s="57">
        <v>108796.40685726427</v>
      </c>
      <c r="E120" s="57">
        <v>-5296.4068572642718</v>
      </c>
      <c r="F120" s="57">
        <v>-0.67644795716293848</v>
      </c>
      <c r="G120" s="57">
        <v>4418.2813579102922</v>
      </c>
      <c r="H120" s="57">
        <v>100027.3414038866</v>
      </c>
      <c r="I120" s="57">
        <v>117565.47231064194</v>
      </c>
      <c r="J120" s="57">
        <v>8990.3241422161591</v>
      </c>
      <c r="K120" s="57">
        <v>90953.102082427067</v>
      </c>
      <c r="L120" s="57">
        <v>126639.71163210148</v>
      </c>
    </row>
    <row r="121" spans="1:12" x14ac:dyDescent="0.35">
      <c r="A121" s="48" t="s">
        <v>168</v>
      </c>
      <c r="B121" s="54">
        <v>1</v>
      </c>
      <c r="C121" s="57">
        <v>19650</v>
      </c>
      <c r="D121" s="57">
        <v>22975.811519548708</v>
      </c>
      <c r="E121" s="57">
        <v>-3325.811519548708</v>
      </c>
      <c r="F121" s="57">
        <v>-0.42476691631460856</v>
      </c>
      <c r="G121" s="57">
        <v>952.72852119391405</v>
      </c>
      <c r="H121" s="57">
        <v>21084.909133558383</v>
      </c>
      <c r="I121" s="57">
        <v>24866.713905539033</v>
      </c>
      <c r="J121" s="57">
        <v>7887.4843682604815</v>
      </c>
      <c r="K121" s="57">
        <v>7321.3384145396976</v>
      </c>
      <c r="L121" s="57">
        <v>38630.284624557717</v>
      </c>
    </row>
    <row r="122" spans="1:12" x14ac:dyDescent="0.35">
      <c r="A122" s="48" t="s">
        <v>169</v>
      </c>
      <c r="B122" s="54">
        <v>1</v>
      </c>
      <c r="C122" s="57">
        <v>21300</v>
      </c>
      <c r="D122" s="57">
        <v>22975.811519548708</v>
      </c>
      <c r="E122" s="57">
        <v>-1675.811519548708</v>
      </c>
      <c r="F122" s="57">
        <v>-0.21403175955677545</v>
      </c>
      <c r="G122" s="57">
        <v>952.72852119391405</v>
      </c>
      <c r="H122" s="57">
        <v>21084.909133558383</v>
      </c>
      <c r="I122" s="57">
        <v>24866.713905539033</v>
      </c>
      <c r="J122" s="57">
        <v>7887.4843682604815</v>
      </c>
      <c r="K122" s="57">
        <v>7321.3384145396976</v>
      </c>
      <c r="L122" s="57">
        <v>38630.284624557717</v>
      </c>
    </row>
    <row r="123" spans="1:12" x14ac:dyDescent="0.35">
      <c r="A123" s="48" t="s">
        <v>170</v>
      </c>
      <c r="B123" s="54">
        <v>1</v>
      </c>
      <c r="C123" s="57">
        <v>103750</v>
      </c>
      <c r="D123" s="57">
        <v>53874.010083849593</v>
      </c>
      <c r="E123" s="57">
        <v>49875.989916150407</v>
      </c>
      <c r="F123" s="57">
        <v>6.3700754869285214</v>
      </c>
      <c r="G123" s="57">
        <v>1309.8237265275093</v>
      </c>
      <c r="H123" s="57">
        <v>51274.372564219273</v>
      </c>
      <c r="I123" s="57">
        <v>56473.647603479913</v>
      </c>
      <c r="J123" s="57">
        <v>7938.5361508927772</v>
      </c>
      <c r="K123" s="57">
        <v>38118.213322162919</v>
      </c>
      <c r="L123" s="57">
        <v>69629.806845536266</v>
      </c>
    </row>
    <row r="124" spans="1:12" x14ac:dyDescent="0.35">
      <c r="A124" s="48" t="s">
        <v>171</v>
      </c>
      <c r="B124" s="54">
        <v>1</v>
      </c>
      <c r="C124" s="57">
        <v>29100</v>
      </c>
      <c r="D124" s="57">
        <v>29776.026045037732</v>
      </c>
      <c r="E124" s="57">
        <v>-676.02604503773182</v>
      </c>
      <c r="F124" s="57">
        <v>-8.634088155963901E-2</v>
      </c>
      <c r="G124" s="57">
        <v>1763.3454804325022</v>
      </c>
      <c r="H124" s="57">
        <v>26276.273385070472</v>
      </c>
      <c r="I124" s="57">
        <v>33275.778705004988</v>
      </c>
      <c r="J124" s="57">
        <v>8025.8398506211697</v>
      </c>
      <c r="K124" s="57">
        <v>13846.955606275324</v>
      </c>
      <c r="L124" s="57">
        <v>45705.096483800138</v>
      </c>
    </row>
    <row r="125" spans="1:12" x14ac:dyDescent="0.35">
      <c r="A125" s="48" t="s">
        <v>172</v>
      </c>
      <c r="B125" s="54">
        <v>1</v>
      </c>
      <c r="C125" s="57">
        <v>59400</v>
      </c>
      <c r="D125" s="57">
        <v>61010.712332162744</v>
      </c>
      <c r="E125" s="57">
        <v>-1610.7123321627441</v>
      </c>
      <c r="F125" s="57">
        <v>-0.20571740352126719</v>
      </c>
      <c r="G125" s="57">
        <v>2250.594176686061</v>
      </c>
      <c r="H125" s="57">
        <v>56543.90588738599</v>
      </c>
      <c r="I125" s="57">
        <v>65477.518776939498</v>
      </c>
      <c r="J125" s="57">
        <v>8146.7718866180558</v>
      </c>
      <c r="K125" s="57">
        <v>44841.625277625441</v>
      </c>
      <c r="L125" s="57">
        <v>77179.799386700048</v>
      </c>
    </row>
    <row r="126" spans="1:12" x14ac:dyDescent="0.35">
      <c r="A126" s="48" t="s">
        <v>173</v>
      </c>
      <c r="B126" s="54">
        <v>1</v>
      </c>
      <c r="C126" s="57">
        <v>19650</v>
      </c>
      <c r="D126" s="57">
        <v>27539.999617062393</v>
      </c>
      <c r="E126" s="57">
        <v>-7889.9996170623926</v>
      </c>
      <c r="F126" s="57">
        <v>-1.0076971552247798</v>
      </c>
      <c r="G126" s="57">
        <v>866.38466294359341</v>
      </c>
      <c r="H126" s="57">
        <v>25820.465888511379</v>
      </c>
      <c r="I126" s="57">
        <v>29259.533345613407</v>
      </c>
      <c r="J126" s="57">
        <v>7877.5212096598625</v>
      </c>
      <c r="K126" s="57">
        <v>11905.300623933965</v>
      </c>
      <c r="L126" s="57">
        <v>43174.698610190819</v>
      </c>
    </row>
    <row r="127" spans="1:12" x14ac:dyDescent="0.35">
      <c r="A127" s="48" t="s">
        <v>174</v>
      </c>
      <c r="B127" s="54">
        <v>1</v>
      </c>
      <c r="C127" s="57">
        <v>31200</v>
      </c>
      <c r="D127" s="57">
        <v>30582.791682071515</v>
      </c>
      <c r="E127" s="57">
        <v>617.20831792848549</v>
      </c>
      <c r="F127" s="57">
        <v>7.8828782806604783E-2</v>
      </c>
      <c r="G127" s="57">
        <v>863.30673154953593</v>
      </c>
      <c r="H127" s="57">
        <v>28869.366795323247</v>
      </c>
      <c r="I127" s="57">
        <v>32296.216568819782</v>
      </c>
      <c r="J127" s="57">
        <v>7877.183287012931</v>
      </c>
      <c r="K127" s="57">
        <v>14948.763371855532</v>
      </c>
      <c r="L127" s="57">
        <v>46216.819992287499</v>
      </c>
    </row>
    <row r="128" spans="1:12" x14ac:dyDescent="0.35">
      <c r="A128" s="48" t="s">
        <v>175</v>
      </c>
      <c r="B128" s="54">
        <v>1</v>
      </c>
      <c r="C128" s="57">
        <v>35100</v>
      </c>
      <c r="D128" s="57">
        <v>34916.486402782357</v>
      </c>
      <c r="E128" s="57">
        <v>183.51359721764311</v>
      </c>
      <c r="F128" s="57">
        <v>2.3438040410214467E-2</v>
      </c>
      <c r="G128" s="57">
        <v>994.92615617146714</v>
      </c>
      <c r="H128" s="57">
        <v>32941.833392257133</v>
      </c>
      <c r="I128" s="57">
        <v>36891.139413307581</v>
      </c>
      <c r="J128" s="57">
        <v>7892.6925748245912</v>
      </c>
      <c r="K128" s="57">
        <v>19251.676449448008</v>
      </c>
      <c r="L128" s="57">
        <v>50581.296356116705</v>
      </c>
    </row>
    <row r="129" spans="1:12" x14ac:dyDescent="0.35">
      <c r="A129" s="48" t="s">
        <v>176</v>
      </c>
      <c r="B129" s="54">
        <v>1</v>
      </c>
      <c r="C129" s="57">
        <v>24450</v>
      </c>
      <c r="D129" s="57">
        <v>28047.131627897244</v>
      </c>
      <c r="E129" s="57">
        <v>-3597.1316278972445</v>
      </c>
      <c r="F129" s="57">
        <v>-0.45941945302029408</v>
      </c>
      <c r="G129" s="57">
        <v>862.67807625369574</v>
      </c>
      <c r="H129" s="57">
        <v>26334.954447890643</v>
      </c>
      <c r="I129" s="57">
        <v>29759.308807903846</v>
      </c>
      <c r="J129" s="57">
        <v>7877.1144137752553</v>
      </c>
      <c r="K129" s="57">
        <v>12413.240011992972</v>
      </c>
      <c r="L129" s="57">
        <v>43681.023243801515</v>
      </c>
    </row>
    <row r="130" spans="1:12" x14ac:dyDescent="0.35">
      <c r="A130" s="48" t="s">
        <v>177</v>
      </c>
      <c r="B130" s="54">
        <v>1</v>
      </c>
      <c r="C130" s="57">
        <v>40800</v>
      </c>
      <c r="D130" s="57">
        <v>29314.961654984381</v>
      </c>
      <c r="E130" s="57">
        <v>11485.038345015619</v>
      </c>
      <c r="F130" s="57">
        <v>1.4668493066706609</v>
      </c>
      <c r="G130" s="57">
        <v>858.98427035032535</v>
      </c>
      <c r="H130" s="57">
        <v>27610.115657198832</v>
      </c>
      <c r="I130" s="57">
        <v>31019.80765276993</v>
      </c>
      <c r="J130" s="57">
        <v>7876.7107348922236</v>
      </c>
      <c r="K130" s="57">
        <v>13681.871229918966</v>
      </c>
      <c r="L130" s="57">
        <v>44948.052080049798</v>
      </c>
    </row>
    <row r="131" spans="1:12" x14ac:dyDescent="0.35">
      <c r="A131" s="48" t="s">
        <v>178</v>
      </c>
      <c r="B131" s="54">
        <v>1</v>
      </c>
      <c r="C131" s="57">
        <v>25500</v>
      </c>
      <c r="D131" s="57">
        <v>24243.641546635841</v>
      </c>
      <c r="E131" s="57">
        <v>1256.3584533641588</v>
      </c>
      <c r="F131" s="57">
        <v>0.16045993673559078</v>
      </c>
      <c r="G131" s="57">
        <v>919.8456709041003</v>
      </c>
      <c r="H131" s="57">
        <v>22418.002516037934</v>
      </c>
      <c r="I131" s="57">
        <v>26069.280577233749</v>
      </c>
      <c r="J131" s="57">
        <v>7883.5800295765448</v>
      </c>
      <c r="K131" s="57">
        <v>8596.9174731388921</v>
      </c>
      <c r="L131" s="57">
        <v>39890.36562013279</v>
      </c>
    </row>
    <row r="132" spans="1:12" x14ac:dyDescent="0.35">
      <c r="A132" s="48" t="s">
        <v>179</v>
      </c>
      <c r="B132" s="54">
        <v>1</v>
      </c>
      <c r="C132" s="57">
        <v>28200</v>
      </c>
      <c r="D132" s="57">
        <v>28070.204256511832</v>
      </c>
      <c r="E132" s="57">
        <v>129.79574348816823</v>
      </c>
      <c r="F132" s="57">
        <v>1.6577288697259773E-2</v>
      </c>
      <c r="G132" s="57">
        <v>1220.7813188614127</v>
      </c>
      <c r="H132" s="57">
        <v>25647.291267914923</v>
      </c>
      <c r="I132" s="57">
        <v>30493.11724510874</v>
      </c>
      <c r="J132" s="57">
        <v>7924.3312054039052</v>
      </c>
      <c r="K132" s="57">
        <v>12342.600379492989</v>
      </c>
      <c r="L132" s="57">
        <v>43797.808133530678</v>
      </c>
    </row>
    <row r="133" spans="1:12" x14ac:dyDescent="0.35">
      <c r="A133" s="48" t="s">
        <v>180</v>
      </c>
      <c r="B133" s="54">
        <v>1</v>
      </c>
      <c r="C133" s="57">
        <v>34950</v>
      </c>
      <c r="D133" s="57">
        <v>41601.415421646125</v>
      </c>
      <c r="E133" s="57">
        <v>-6651.4154216461247</v>
      </c>
      <c r="F133" s="57">
        <v>-0.84950731608609986</v>
      </c>
      <c r="G133" s="57">
        <v>1130.4561023176304</v>
      </c>
      <c r="H133" s="57">
        <v>39357.772984605392</v>
      </c>
      <c r="I133" s="57">
        <v>43845.057858686858</v>
      </c>
      <c r="J133" s="57">
        <v>7910.9196067033999</v>
      </c>
      <c r="K133" s="57">
        <v>25900.429855529692</v>
      </c>
      <c r="L133" s="57">
        <v>57302.400987762558</v>
      </c>
    </row>
    <row r="134" spans="1:12" x14ac:dyDescent="0.35">
      <c r="A134" s="48" t="s">
        <v>181</v>
      </c>
      <c r="B134" s="54">
        <v>1</v>
      </c>
      <c r="C134" s="57">
        <v>28050</v>
      </c>
      <c r="D134" s="57">
        <v>34409.354391947505</v>
      </c>
      <c r="E134" s="57">
        <v>-6359.3543919475051</v>
      </c>
      <c r="F134" s="57">
        <v>-0.81220578464586179</v>
      </c>
      <c r="G134" s="57">
        <v>1006.5499721445532</v>
      </c>
      <c r="H134" s="57">
        <v>32411.631324350536</v>
      </c>
      <c r="I134" s="57">
        <v>36407.077459544475</v>
      </c>
      <c r="J134" s="57">
        <v>7894.1662555890789</v>
      </c>
      <c r="K134" s="57">
        <v>18741.619590231094</v>
      </c>
      <c r="L134" s="57">
        <v>50077.089193663916</v>
      </c>
    </row>
    <row r="135" spans="1:12" x14ac:dyDescent="0.35">
      <c r="A135" s="48" t="s">
        <v>182</v>
      </c>
      <c r="B135" s="54">
        <v>1</v>
      </c>
      <c r="C135" s="57">
        <v>20850</v>
      </c>
      <c r="D135" s="57">
        <v>24243.641546635841</v>
      </c>
      <c r="E135" s="57">
        <v>-3393.6415466358412</v>
      </c>
      <c r="F135" s="57">
        <v>-0.43343005049102984</v>
      </c>
      <c r="G135" s="57">
        <v>919.8456709041003</v>
      </c>
      <c r="H135" s="57">
        <v>22418.002516037934</v>
      </c>
      <c r="I135" s="57">
        <v>26069.280577233749</v>
      </c>
      <c r="J135" s="57">
        <v>7883.5800295765448</v>
      </c>
      <c r="K135" s="57">
        <v>8596.9174731388921</v>
      </c>
      <c r="L135" s="57">
        <v>39890.36562013279</v>
      </c>
    </row>
    <row r="136" spans="1:12" x14ac:dyDescent="0.35">
      <c r="A136" s="48" t="s">
        <v>183</v>
      </c>
      <c r="B136" s="54">
        <v>1</v>
      </c>
      <c r="C136" s="57">
        <v>25200</v>
      </c>
      <c r="D136" s="57">
        <v>32242.468213368255</v>
      </c>
      <c r="E136" s="57">
        <v>-7042.4682133682545</v>
      </c>
      <c r="F136" s="57">
        <v>-0.89945190479164605</v>
      </c>
      <c r="G136" s="57">
        <v>2045.0861228687618</v>
      </c>
      <c r="H136" s="57">
        <v>28183.538367915291</v>
      </c>
      <c r="I136" s="57">
        <v>36301.398058821214</v>
      </c>
      <c r="J136" s="57">
        <v>8092.409732237209</v>
      </c>
      <c r="K136" s="57">
        <v>16181.274987072289</v>
      </c>
      <c r="L136" s="57">
        <v>48303.661439664218</v>
      </c>
    </row>
    <row r="137" spans="1:12" x14ac:dyDescent="0.35">
      <c r="A137" s="48" t="s">
        <v>184</v>
      </c>
      <c r="B137" s="54">
        <v>1</v>
      </c>
      <c r="C137" s="57">
        <v>30600</v>
      </c>
      <c r="D137" s="57">
        <v>30582.791682071515</v>
      </c>
      <c r="E137" s="57">
        <v>17.208317928485485</v>
      </c>
      <c r="F137" s="57">
        <v>2.1978167128472842E-3</v>
      </c>
      <c r="G137" s="57">
        <v>863.30673154953593</v>
      </c>
      <c r="H137" s="57">
        <v>28869.366795323247</v>
      </c>
      <c r="I137" s="57">
        <v>32296.216568819782</v>
      </c>
      <c r="J137" s="57">
        <v>7877.183287012931</v>
      </c>
      <c r="K137" s="57">
        <v>14948.763371855532</v>
      </c>
      <c r="L137" s="57">
        <v>46216.819992287499</v>
      </c>
    </row>
    <row r="138" spans="1:12" x14ac:dyDescent="0.35">
      <c r="A138" s="48" t="s">
        <v>185</v>
      </c>
      <c r="B138" s="54">
        <v>1</v>
      </c>
      <c r="C138" s="57">
        <v>19950</v>
      </c>
      <c r="D138" s="57">
        <v>22975.811519548708</v>
      </c>
      <c r="E138" s="57">
        <v>-3025.811519548708</v>
      </c>
      <c r="F138" s="57">
        <v>-0.38645143326772985</v>
      </c>
      <c r="G138" s="57">
        <v>952.72852119391405</v>
      </c>
      <c r="H138" s="57">
        <v>21084.909133558383</v>
      </c>
      <c r="I138" s="57">
        <v>24866.713905539033</v>
      </c>
      <c r="J138" s="57">
        <v>7887.4843682604815</v>
      </c>
      <c r="K138" s="57">
        <v>7321.3384145396976</v>
      </c>
      <c r="L138" s="57">
        <v>38630.284624557717</v>
      </c>
    </row>
    <row r="139" spans="1:12" x14ac:dyDescent="0.35">
      <c r="A139" s="48" t="s">
        <v>186</v>
      </c>
      <c r="B139" s="54">
        <v>1</v>
      </c>
      <c r="C139" s="57">
        <v>20700</v>
      </c>
      <c r="D139" s="57">
        <v>22975.811519548708</v>
      </c>
      <c r="E139" s="57">
        <v>-2275.811519548708</v>
      </c>
      <c r="F139" s="57">
        <v>-0.29066272565053297</v>
      </c>
      <c r="G139" s="57">
        <v>952.72852119391405</v>
      </c>
      <c r="H139" s="57">
        <v>21084.909133558383</v>
      </c>
      <c r="I139" s="57">
        <v>24866.713905539033</v>
      </c>
      <c r="J139" s="57">
        <v>7887.4843682604815</v>
      </c>
      <c r="K139" s="57">
        <v>7321.3384145396976</v>
      </c>
      <c r="L139" s="57">
        <v>38630.284624557717</v>
      </c>
    </row>
    <row r="140" spans="1:12" x14ac:dyDescent="0.35">
      <c r="A140" s="48" t="s">
        <v>259</v>
      </c>
      <c r="B140" s="54">
        <v>1</v>
      </c>
      <c r="C140" s="57">
        <v>26250</v>
      </c>
      <c r="D140" s="57">
        <v>27678.28011585457</v>
      </c>
      <c r="E140" s="57">
        <v>-1428.2801158545699</v>
      </c>
      <c r="F140" s="57">
        <v>-0.18241747521739929</v>
      </c>
      <c r="G140" s="57">
        <v>1895.745167866477</v>
      </c>
      <c r="H140" s="57">
        <v>23915.750726416103</v>
      </c>
      <c r="I140" s="57">
        <v>31440.809505293037</v>
      </c>
      <c r="J140" s="57">
        <v>8055.964732168718</v>
      </c>
      <c r="K140" s="57">
        <v>11689.420126208819</v>
      </c>
      <c r="L140" s="57">
        <v>43667.140105500323</v>
      </c>
    </row>
    <row r="141" spans="1:12" x14ac:dyDescent="0.35">
      <c r="A141" s="48" t="s">
        <v>260</v>
      </c>
      <c r="B141" s="54">
        <v>1</v>
      </c>
      <c r="C141" s="57">
        <v>68125</v>
      </c>
      <c r="D141" s="57">
        <v>63998.223252234064</v>
      </c>
      <c r="E141" s="57">
        <v>4126.7767477659363</v>
      </c>
      <c r="F141" s="57">
        <v>0.52706481505759717</v>
      </c>
      <c r="G141" s="57">
        <v>1811.9236563393372</v>
      </c>
      <c r="H141" s="57">
        <v>60402.056360210248</v>
      </c>
      <c r="I141" s="57">
        <v>67594.390144257879</v>
      </c>
      <c r="J141" s="57">
        <v>8036.6526216366483</v>
      </c>
      <c r="K141" s="57">
        <v>48047.692456132179</v>
      </c>
      <c r="L141" s="57">
        <v>79948.754048335948</v>
      </c>
    </row>
    <row r="142" spans="1:12" x14ac:dyDescent="0.35">
      <c r="A142" s="48" t="s">
        <v>261</v>
      </c>
      <c r="B142" s="54">
        <v>1</v>
      </c>
      <c r="C142" s="57">
        <v>21150</v>
      </c>
      <c r="D142" s="57">
        <v>20831.997969584041</v>
      </c>
      <c r="E142" s="57">
        <v>318.00203041595887</v>
      </c>
      <c r="F142" s="57">
        <v>4.0614671350918972E-2</v>
      </c>
      <c r="G142" s="57">
        <v>1745.4215041710827</v>
      </c>
      <c r="H142" s="57">
        <v>17367.819440888386</v>
      </c>
      <c r="I142" s="57">
        <v>24296.176498279696</v>
      </c>
      <c r="J142" s="57">
        <v>8021.9208579790884</v>
      </c>
      <c r="K142" s="57">
        <v>4910.7056463841891</v>
      </c>
      <c r="L142" s="57">
        <v>36753.290292783895</v>
      </c>
    </row>
    <row r="143" spans="1:12" x14ac:dyDescent="0.35">
      <c r="A143" s="48" t="s">
        <v>262</v>
      </c>
      <c r="B143" s="54">
        <v>1</v>
      </c>
      <c r="C143" s="57">
        <v>35700</v>
      </c>
      <c r="D143" s="57">
        <v>31850.621709158651</v>
      </c>
      <c r="E143" s="57">
        <v>3849.3782908413486</v>
      </c>
      <c r="F143" s="57">
        <v>0.49163596214584931</v>
      </c>
      <c r="G143" s="57">
        <v>875.52673936160397</v>
      </c>
      <c r="H143" s="57">
        <v>30112.943489572503</v>
      </c>
      <c r="I143" s="57">
        <v>33588.299928744804</v>
      </c>
      <c r="J143" s="57">
        <v>7878.5319124691159</v>
      </c>
      <c r="K143" s="57">
        <v>16213.91675073053</v>
      </c>
      <c r="L143" s="57">
        <v>47487.326667586771</v>
      </c>
    </row>
    <row r="144" spans="1:12" x14ac:dyDescent="0.35">
      <c r="A144" s="48" t="s">
        <v>263</v>
      </c>
      <c r="B144" s="54">
        <v>1</v>
      </c>
      <c r="C144" s="57">
        <v>21900</v>
      </c>
      <c r="D144" s="57">
        <v>20440.151465374438</v>
      </c>
      <c r="E144" s="57">
        <v>1459.848534625562</v>
      </c>
      <c r="F144" s="57">
        <v>0.18644933926485502</v>
      </c>
      <c r="G144" s="57">
        <v>1035.4973956673541</v>
      </c>
      <c r="H144" s="57">
        <v>18384.975775136401</v>
      </c>
      <c r="I144" s="57">
        <v>22495.327155612475</v>
      </c>
      <c r="J144" s="57">
        <v>7897.9093993848128</v>
      </c>
      <c r="K144" s="57">
        <v>4764.9875593780507</v>
      </c>
      <c r="L144" s="57">
        <v>36115.315371370823</v>
      </c>
    </row>
    <row r="145" spans="1:12" x14ac:dyDescent="0.35">
      <c r="A145" s="48" t="s">
        <v>264</v>
      </c>
      <c r="B145" s="54">
        <v>1</v>
      </c>
      <c r="C145" s="57">
        <v>24000</v>
      </c>
      <c r="D145" s="57">
        <v>26779.301600810111</v>
      </c>
      <c r="E145" s="57">
        <v>-2779.3016008101113</v>
      </c>
      <c r="F145" s="57">
        <v>-0.35496761122667597</v>
      </c>
      <c r="G145" s="57">
        <v>874.28655048401129</v>
      </c>
      <c r="H145" s="57">
        <v>25044.084812844358</v>
      </c>
      <c r="I145" s="57">
        <v>28514.518388775865</v>
      </c>
      <c r="J145" s="57">
        <v>7878.3941889711468</v>
      </c>
      <c r="K145" s="57">
        <v>11142.869985401669</v>
      </c>
      <c r="L145" s="57">
        <v>42415.733216218556</v>
      </c>
    </row>
    <row r="146" spans="1:12" x14ac:dyDescent="0.35">
      <c r="A146" s="48" t="s">
        <v>265</v>
      </c>
      <c r="B146" s="54">
        <v>1</v>
      </c>
      <c r="C146" s="57">
        <v>60000</v>
      </c>
      <c r="D146" s="57">
        <v>63145.31235797111</v>
      </c>
      <c r="E146" s="57">
        <v>-3145.31235797111</v>
      </c>
      <c r="F146" s="57">
        <v>-0.40171387442993428</v>
      </c>
      <c r="G146" s="57">
        <v>1705.1879154302342</v>
      </c>
      <c r="H146" s="57">
        <v>59760.986365705961</v>
      </c>
      <c r="I146" s="57">
        <v>66529.638350236259</v>
      </c>
      <c r="J146" s="57">
        <v>8013.2629965193591</v>
      </c>
      <c r="K146" s="57">
        <v>47241.203493151683</v>
      </c>
      <c r="L146" s="57">
        <v>79049.421222790537</v>
      </c>
    </row>
    <row r="147" spans="1:12" x14ac:dyDescent="0.35">
      <c r="A147" s="48" t="s">
        <v>266</v>
      </c>
      <c r="B147" s="54">
        <v>1</v>
      </c>
      <c r="C147" s="57">
        <v>23700</v>
      </c>
      <c r="D147" s="57">
        <v>29338.034283598965</v>
      </c>
      <c r="E147" s="57">
        <v>-5638.034283598965</v>
      </c>
      <c r="F147" s="57">
        <v>-0.72008002336985766</v>
      </c>
      <c r="G147" s="57">
        <v>1169.3015637258559</v>
      </c>
      <c r="H147" s="57">
        <v>27017.294358629915</v>
      </c>
      <c r="I147" s="57">
        <v>31658.774208568015</v>
      </c>
      <c r="J147" s="57">
        <v>7916.5639119120888</v>
      </c>
      <c r="K147" s="57">
        <v>13625.846334065905</v>
      </c>
      <c r="L147" s="57">
        <v>45050.222233132023</v>
      </c>
    </row>
    <row r="148" spans="1:12" x14ac:dyDescent="0.35">
      <c r="A148" s="48" t="s">
        <v>267</v>
      </c>
      <c r="B148" s="54">
        <v>1</v>
      </c>
      <c r="C148" s="57">
        <v>26700</v>
      </c>
      <c r="D148" s="57">
        <v>25765.037579140404</v>
      </c>
      <c r="E148" s="57">
        <v>934.96242085959602</v>
      </c>
      <c r="F148" s="57">
        <v>0.11941178928638188</v>
      </c>
      <c r="G148" s="57">
        <v>889.07068104490145</v>
      </c>
      <c r="H148" s="57">
        <v>24000.478384465394</v>
      </c>
      <c r="I148" s="57">
        <v>27529.596773815414</v>
      </c>
      <c r="J148" s="57">
        <v>7880.0485214464734</v>
      </c>
      <c r="K148" s="57">
        <v>10125.322571710803</v>
      </c>
      <c r="L148" s="57">
        <v>41404.752586570001</v>
      </c>
    </row>
    <row r="149" spans="1:12" x14ac:dyDescent="0.35">
      <c r="A149" s="48" t="s">
        <v>268</v>
      </c>
      <c r="B149" s="54">
        <v>1</v>
      </c>
      <c r="C149" s="57">
        <v>23100</v>
      </c>
      <c r="D149" s="57">
        <v>24243.641546635841</v>
      </c>
      <c r="E149" s="57">
        <v>-1143.6415466358412</v>
      </c>
      <c r="F149" s="57">
        <v>-0.14606392763943923</v>
      </c>
      <c r="G149" s="57">
        <v>919.8456709041003</v>
      </c>
      <c r="H149" s="57">
        <v>22418.002516037934</v>
      </c>
      <c r="I149" s="57">
        <v>26069.280577233749</v>
      </c>
      <c r="J149" s="57">
        <v>7883.5800295765448</v>
      </c>
      <c r="K149" s="57">
        <v>8596.9174731388921</v>
      </c>
      <c r="L149" s="57">
        <v>39890.36562013279</v>
      </c>
    </row>
    <row r="150" spans="1:12" x14ac:dyDescent="0.35">
      <c r="A150" s="48" t="s">
        <v>269</v>
      </c>
      <c r="B150" s="54">
        <v>1</v>
      </c>
      <c r="C150" s="57">
        <v>25800</v>
      </c>
      <c r="D150" s="57">
        <v>29314.961654984381</v>
      </c>
      <c r="E150" s="57">
        <v>-3514.9616549843813</v>
      </c>
      <c r="F150" s="57">
        <v>-0.44892484567327645</v>
      </c>
      <c r="G150" s="57">
        <v>858.98427035032535</v>
      </c>
      <c r="H150" s="57">
        <v>27610.115657198832</v>
      </c>
      <c r="I150" s="57">
        <v>31019.80765276993</v>
      </c>
      <c r="J150" s="57">
        <v>7876.7107348922236</v>
      </c>
      <c r="K150" s="57">
        <v>13681.871229918966</v>
      </c>
      <c r="L150" s="57">
        <v>44948.052080049798</v>
      </c>
    </row>
    <row r="151" spans="1:12" x14ac:dyDescent="0.35">
      <c r="A151" s="48" t="s">
        <v>270</v>
      </c>
      <c r="B151" s="54">
        <v>1</v>
      </c>
      <c r="C151" s="57">
        <v>37650</v>
      </c>
      <c r="D151" s="57">
        <v>30582.791682071515</v>
      </c>
      <c r="E151" s="57">
        <v>7067.2083179284855</v>
      </c>
      <c r="F151" s="57">
        <v>0.90261166831449791</v>
      </c>
      <c r="G151" s="57">
        <v>863.30673154953593</v>
      </c>
      <c r="H151" s="57">
        <v>28869.366795323247</v>
      </c>
      <c r="I151" s="57">
        <v>32296.216568819782</v>
      </c>
      <c r="J151" s="57">
        <v>7877.183287012931</v>
      </c>
      <c r="K151" s="57">
        <v>14948.763371855532</v>
      </c>
      <c r="L151" s="57">
        <v>46216.819992287499</v>
      </c>
    </row>
    <row r="152" spans="1:12" x14ac:dyDescent="0.35">
      <c r="A152" s="48" t="s">
        <v>271</v>
      </c>
      <c r="B152" s="54">
        <v>1</v>
      </c>
      <c r="C152" s="57">
        <v>22950</v>
      </c>
      <c r="D152" s="57">
        <v>30098.732299851246</v>
      </c>
      <c r="E152" s="57">
        <v>-7148.7322998512464</v>
      </c>
      <c r="F152" s="57">
        <v>-0.91302377080541652</v>
      </c>
      <c r="G152" s="57">
        <v>1140.205046838184</v>
      </c>
      <c r="H152" s="57">
        <v>27835.740906581403</v>
      </c>
      <c r="I152" s="57">
        <v>32361.72369312109</v>
      </c>
      <c r="J152" s="57">
        <v>7912.3185965488246</v>
      </c>
      <c r="K152" s="57">
        <v>14394.970126151598</v>
      </c>
      <c r="L152" s="57">
        <v>45802.494473550891</v>
      </c>
    </row>
    <row r="153" spans="1:12" x14ac:dyDescent="0.35">
      <c r="A153" s="48" t="s">
        <v>272</v>
      </c>
      <c r="B153" s="54">
        <v>1</v>
      </c>
      <c r="C153" s="57">
        <v>40200</v>
      </c>
      <c r="D153" s="57">
        <v>39065.755367471858</v>
      </c>
      <c r="E153" s="57">
        <v>1134.2446325281417</v>
      </c>
      <c r="F153" s="57">
        <v>0.14486376996215075</v>
      </c>
      <c r="G153" s="57">
        <v>1161.3468956092961</v>
      </c>
      <c r="H153" s="57">
        <v>36760.803256750791</v>
      </c>
      <c r="I153" s="57">
        <v>41370.707478192926</v>
      </c>
      <c r="J153" s="57">
        <v>7915.3928921057641</v>
      </c>
      <c r="K153" s="57">
        <v>23355.891568099694</v>
      </c>
      <c r="L153" s="57">
        <v>54775.619166844022</v>
      </c>
    </row>
    <row r="154" spans="1:12" x14ac:dyDescent="0.35">
      <c r="A154" s="48" t="s">
        <v>273</v>
      </c>
      <c r="B154" s="54">
        <v>1</v>
      </c>
      <c r="C154" s="57">
        <v>29700</v>
      </c>
      <c r="D154" s="57">
        <v>26779.301600810111</v>
      </c>
      <c r="E154" s="57">
        <v>2920.6983991898887</v>
      </c>
      <c r="F154" s="57">
        <v>0.37302656666402029</v>
      </c>
      <c r="G154" s="57">
        <v>874.28655048401129</v>
      </c>
      <c r="H154" s="57">
        <v>25044.084812844358</v>
      </c>
      <c r="I154" s="57">
        <v>28514.518388775865</v>
      </c>
      <c r="J154" s="57">
        <v>7878.3941889711468</v>
      </c>
      <c r="K154" s="57">
        <v>11142.869985401669</v>
      </c>
      <c r="L154" s="57">
        <v>42415.733216218556</v>
      </c>
    </row>
    <row r="155" spans="1:12" x14ac:dyDescent="0.35">
      <c r="A155" s="48" t="s">
        <v>274</v>
      </c>
      <c r="B155" s="54">
        <v>1</v>
      </c>
      <c r="C155" s="57">
        <v>35250</v>
      </c>
      <c r="D155" s="57">
        <v>31873.694337773231</v>
      </c>
      <c r="E155" s="57">
        <v>3376.3056622267686</v>
      </c>
      <c r="F155" s="57">
        <v>0.43121594120710161</v>
      </c>
      <c r="G155" s="57">
        <v>1078.2376600453401</v>
      </c>
      <c r="H155" s="57">
        <v>29733.691053847841</v>
      </c>
      <c r="I155" s="57">
        <v>34013.697621698622</v>
      </c>
      <c r="J155" s="57">
        <v>7903.6266660310539</v>
      </c>
      <c r="K155" s="57">
        <v>16187.183240103426</v>
      </c>
      <c r="L155" s="57">
        <v>47560.205435443037</v>
      </c>
    </row>
    <row r="156" spans="1:12" x14ac:dyDescent="0.35">
      <c r="A156" s="48" t="s">
        <v>275</v>
      </c>
      <c r="B156" s="54">
        <v>1</v>
      </c>
      <c r="C156" s="57">
        <v>21300</v>
      </c>
      <c r="D156" s="57">
        <v>20071.29995333176</v>
      </c>
      <c r="E156" s="57">
        <v>1228.7000466682402</v>
      </c>
      <c r="F156" s="57">
        <v>0.15692745269272029</v>
      </c>
      <c r="G156" s="57">
        <v>1735.0868597007686</v>
      </c>
      <c r="H156" s="57">
        <v>16627.632833135547</v>
      </c>
      <c r="I156" s="57">
        <v>23514.967073527972</v>
      </c>
      <c r="J156" s="57">
        <v>8019.678574304794</v>
      </c>
      <c r="K156" s="57">
        <v>4154.4579425298998</v>
      </c>
      <c r="L156" s="57">
        <v>35988.141964133618</v>
      </c>
    </row>
    <row r="157" spans="1:12" x14ac:dyDescent="0.35">
      <c r="A157" s="48" t="s">
        <v>276</v>
      </c>
      <c r="B157" s="54">
        <v>1</v>
      </c>
      <c r="C157" s="57">
        <v>22350</v>
      </c>
      <c r="D157" s="57">
        <v>22975.811519548708</v>
      </c>
      <c r="E157" s="57">
        <v>-625.81151954870802</v>
      </c>
      <c r="F157" s="57">
        <v>-7.9927568892699835E-2</v>
      </c>
      <c r="G157" s="57">
        <v>952.72852119391405</v>
      </c>
      <c r="H157" s="57">
        <v>21084.909133558383</v>
      </c>
      <c r="I157" s="57">
        <v>24866.713905539033</v>
      </c>
      <c r="J157" s="57">
        <v>7887.4843682604815</v>
      </c>
      <c r="K157" s="57">
        <v>7321.3384145396976</v>
      </c>
      <c r="L157" s="57">
        <v>38630.284624557717</v>
      </c>
    </row>
    <row r="158" spans="1:12" x14ac:dyDescent="0.35">
      <c r="A158" s="48" t="s">
        <v>277</v>
      </c>
      <c r="B158" s="54">
        <v>1</v>
      </c>
      <c r="C158" s="57">
        <v>25050</v>
      </c>
      <c r="D158" s="57">
        <v>28923.115150774778</v>
      </c>
      <c r="E158" s="57">
        <v>-3873.1151507747782</v>
      </c>
      <c r="F158" s="57">
        <v>-0.49466759299373414</v>
      </c>
      <c r="G158" s="57">
        <v>1477.8599275291251</v>
      </c>
      <c r="H158" s="57">
        <v>25989.972286926859</v>
      </c>
      <c r="I158" s="57">
        <v>31856.258014622697</v>
      </c>
      <c r="J158" s="57">
        <v>7967.9851901125858</v>
      </c>
      <c r="K158" s="57">
        <v>13108.87019814272</v>
      </c>
      <c r="L158" s="57">
        <v>44737.360103406834</v>
      </c>
    </row>
    <row r="159" spans="1:12" x14ac:dyDescent="0.35">
      <c r="A159" s="48" t="s">
        <v>278</v>
      </c>
      <c r="B159" s="54">
        <v>1</v>
      </c>
      <c r="C159" s="57">
        <v>23400</v>
      </c>
      <c r="D159" s="57">
        <v>22975.811519548708</v>
      </c>
      <c r="E159" s="57">
        <v>424.18848045129198</v>
      </c>
      <c r="F159" s="57">
        <v>5.4176621771375784E-2</v>
      </c>
      <c r="G159" s="57">
        <v>952.72852119391405</v>
      </c>
      <c r="H159" s="57">
        <v>21084.909133558383</v>
      </c>
      <c r="I159" s="57">
        <v>24866.713905539033</v>
      </c>
      <c r="J159" s="57">
        <v>7887.4843682604815</v>
      </c>
      <c r="K159" s="57">
        <v>7321.3384145396976</v>
      </c>
      <c r="L159" s="57">
        <v>38630.284624557717</v>
      </c>
    </row>
    <row r="160" spans="1:12" x14ac:dyDescent="0.35">
      <c r="A160" s="48" t="s">
        <v>279</v>
      </c>
      <c r="B160" s="54">
        <v>1</v>
      </c>
      <c r="C160" s="57">
        <v>20550</v>
      </c>
      <c r="D160" s="57">
        <v>22975.811519548708</v>
      </c>
      <c r="E160" s="57">
        <v>-2425.811519548708</v>
      </c>
      <c r="F160" s="57">
        <v>-0.30982046717397232</v>
      </c>
      <c r="G160" s="57">
        <v>952.72852119391405</v>
      </c>
      <c r="H160" s="57">
        <v>21084.909133558383</v>
      </c>
      <c r="I160" s="57">
        <v>24866.713905539033</v>
      </c>
      <c r="J160" s="57">
        <v>7887.4843682604815</v>
      </c>
      <c r="K160" s="57">
        <v>7321.3384145396976</v>
      </c>
      <c r="L160" s="57">
        <v>38630.284624557717</v>
      </c>
    </row>
    <row r="161" spans="1:12" x14ac:dyDescent="0.35">
      <c r="A161" s="48" t="s">
        <v>280</v>
      </c>
      <c r="B161" s="54">
        <v>1</v>
      </c>
      <c r="C161" s="57">
        <v>21750</v>
      </c>
      <c r="D161" s="57">
        <v>21592.695985836323</v>
      </c>
      <c r="E161" s="57">
        <v>157.30401416367749</v>
      </c>
      <c r="F161" s="57">
        <v>2.0090597626314533E-2</v>
      </c>
      <c r="G161" s="57">
        <v>1757.1099828594226</v>
      </c>
      <c r="H161" s="57">
        <v>18105.319062478688</v>
      </c>
      <c r="I161" s="57">
        <v>25080.072909193957</v>
      </c>
      <c r="J161" s="57">
        <v>8024.4721643433559</v>
      </c>
      <c r="K161" s="57">
        <v>5666.3400257406847</v>
      </c>
      <c r="L161" s="57">
        <v>37519.051945931962</v>
      </c>
    </row>
    <row r="162" spans="1:12" x14ac:dyDescent="0.35">
      <c r="A162" s="48" t="s">
        <v>281</v>
      </c>
      <c r="B162" s="54">
        <v>1</v>
      </c>
      <c r="C162" s="57">
        <v>27750</v>
      </c>
      <c r="D162" s="57">
        <v>24243.641546635841</v>
      </c>
      <c r="E162" s="57">
        <v>3506.3584533641588</v>
      </c>
      <c r="F162" s="57">
        <v>0.44782605958718136</v>
      </c>
      <c r="G162" s="57">
        <v>919.8456709041003</v>
      </c>
      <c r="H162" s="57">
        <v>22418.002516037934</v>
      </c>
      <c r="I162" s="57">
        <v>26069.280577233749</v>
      </c>
      <c r="J162" s="57">
        <v>7883.5800295765448</v>
      </c>
      <c r="K162" s="57">
        <v>8596.9174731388921</v>
      </c>
      <c r="L162" s="57">
        <v>39890.36562013279</v>
      </c>
    </row>
    <row r="163" spans="1:12" x14ac:dyDescent="0.35">
      <c r="A163" s="48" t="s">
        <v>282</v>
      </c>
      <c r="B163" s="54">
        <v>1</v>
      </c>
      <c r="C163" s="57">
        <v>16350</v>
      </c>
      <c r="D163" s="57">
        <v>21200.849481626719</v>
      </c>
      <c r="E163" s="57">
        <v>-4850.8494816267194</v>
      </c>
      <c r="F163" s="57">
        <v>-0.61954213692076376</v>
      </c>
      <c r="G163" s="57">
        <v>1008.507908027325</v>
      </c>
      <c r="H163" s="57">
        <v>19199.240453286482</v>
      </c>
      <c r="I163" s="57">
        <v>23202.458509966957</v>
      </c>
      <c r="J163" s="57">
        <v>7894.4161421229092</v>
      </c>
      <c r="K163" s="57">
        <v>5532.6187243127442</v>
      </c>
      <c r="L163" s="57">
        <v>36869.080238940696</v>
      </c>
    </row>
    <row r="164" spans="1:12" x14ac:dyDescent="0.35">
      <c r="A164" s="48" t="s">
        <v>283</v>
      </c>
      <c r="B164" s="54">
        <v>1</v>
      </c>
      <c r="C164" s="57">
        <v>24450</v>
      </c>
      <c r="D164" s="57">
        <v>30582.791682071515</v>
      </c>
      <c r="E164" s="57">
        <v>-6132.7916820715145</v>
      </c>
      <c r="F164" s="57">
        <v>-0.78326958574816707</v>
      </c>
      <c r="G164" s="57">
        <v>863.30673154953593</v>
      </c>
      <c r="H164" s="57">
        <v>28869.366795323247</v>
      </c>
      <c r="I164" s="57">
        <v>32296.216568819782</v>
      </c>
      <c r="J164" s="57">
        <v>7877.183287012931</v>
      </c>
      <c r="K164" s="57">
        <v>14948.763371855532</v>
      </c>
      <c r="L164" s="57">
        <v>46216.819992287499</v>
      </c>
    </row>
    <row r="165" spans="1:12" x14ac:dyDescent="0.35">
      <c r="A165" s="48" t="s">
        <v>300</v>
      </c>
      <c r="B165" s="54">
        <v>1</v>
      </c>
      <c r="C165" s="57">
        <v>18150</v>
      </c>
      <c r="D165" s="57">
        <v>22468.679508713853</v>
      </c>
      <c r="E165" s="57">
        <v>-4318.6795087138526</v>
      </c>
      <c r="F165" s="57">
        <v>-0.55157430500342752</v>
      </c>
      <c r="G165" s="57">
        <v>967.56756463917395</v>
      </c>
      <c r="H165" s="57">
        <v>20548.325729139451</v>
      </c>
      <c r="I165" s="57">
        <v>24389.033288288254</v>
      </c>
      <c r="J165" s="57">
        <v>7889.2905268217173</v>
      </c>
      <c r="K165" s="57">
        <v>6810.62167893074</v>
      </c>
      <c r="L165" s="57">
        <v>38126.737338496969</v>
      </c>
    </row>
    <row r="166" spans="1:12" x14ac:dyDescent="0.35">
      <c r="A166" s="48" t="s">
        <v>301</v>
      </c>
      <c r="B166" s="54">
        <v>1</v>
      </c>
      <c r="C166" s="57">
        <v>30300</v>
      </c>
      <c r="D166" s="57">
        <v>33141.524364860365</v>
      </c>
      <c r="E166" s="57">
        <v>-2841.5243648603646</v>
      </c>
      <c r="F166" s="57">
        <v>-0.362914595430334</v>
      </c>
      <c r="G166" s="57">
        <v>1039.695935212621</v>
      </c>
      <c r="H166" s="57">
        <v>31078.015735839439</v>
      </c>
      <c r="I166" s="57">
        <v>35205.032993881287</v>
      </c>
      <c r="J166" s="57">
        <v>7898.4609679452587</v>
      </c>
      <c r="K166" s="57">
        <v>17465.265747953385</v>
      </c>
      <c r="L166" s="57">
        <v>48817.782981767348</v>
      </c>
    </row>
    <row r="167" spans="1:12" x14ac:dyDescent="0.35">
      <c r="A167" s="48" t="s">
        <v>302</v>
      </c>
      <c r="B167" s="54">
        <v>1</v>
      </c>
      <c r="C167" s="57">
        <v>70000</v>
      </c>
      <c r="D167" s="57">
        <v>44137.075475820391</v>
      </c>
      <c r="E167" s="57">
        <v>25862.924524179609</v>
      </c>
      <c r="F167" s="57">
        <v>3.3031681538296946</v>
      </c>
      <c r="G167" s="57">
        <v>1123.5441588423751</v>
      </c>
      <c r="H167" s="57">
        <v>41907.15133325541</v>
      </c>
      <c r="I167" s="57">
        <v>46366.999618385373</v>
      </c>
      <c r="J167" s="57">
        <v>7909.9348607511256</v>
      </c>
      <c r="K167" s="57">
        <v>28438.04435782777</v>
      </c>
      <c r="L167" s="57">
        <v>59836.106593813012</v>
      </c>
    </row>
    <row r="168" spans="1:12" x14ac:dyDescent="0.35">
      <c r="A168" s="48" t="s">
        <v>303</v>
      </c>
      <c r="B168" s="54">
        <v>1</v>
      </c>
      <c r="C168" s="57">
        <v>21450</v>
      </c>
      <c r="D168" s="57">
        <v>24243.641546635841</v>
      </c>
      <c r="E168" s="57">
        <v>-2793.6415466358412</v>
      </c>
      <c r="F168" s="57">
        <v>-0.35679908439727231</v>
      </c>
      <c r="G168" s="57">
        <v>919.8456709041003</v>
      </c>
      <c r="H168" s="57">
        <v>22418.002516037934</v>
      </c>
      <c r="I168" s="57">
        <v>26069.280577233749</v>
      </c>
      <c r="J168" s="57">
        <v>7883.5800295765448</v>
      </c>
      <c r="K168" s="57">
        <v>8596.9174731388921</v>
      </c>
      <c r="L168" s="57">
        <v>39890.36562013279</v>
      </c>
    </row>
    <row r="169" spans="1:12" x14ac:dyDescent="0.35">
      <c r="A169" s="48" t="s">
        <v>304</v>
      </c>
      <c r="B169" s="54">
        <v>1</v>
      </c>
      <c r="C169" s="57">
        <v>19650</v>
      </c>
      <c r="D169" s="57">
        <v>22468.679508713853</v>
      </c>
      <c r="E169" s="57">
        <v>-2818.6795087138526</v>
      </c>
      <c r="F169" s="57">
        <v>-0.35999688976903377</v>
      </c>
      <c r="G169" s="57">
        <v>967.56756463917395</v>
      </c>
      <c r="H169" s="57">
        <v>20548.325729139451</v>
      </c>
      <c r="I169" s="57">
        <v>24389.033288288254</v>
      </c>
      <c r="J169" s="57">
        <v>7889.2905268217173</v>
      </c>
      <c r="K169" s="57">
        <v>6810.62167893074</v>
      </c>
      <c r="L169" s="57">
        <v>38126.737338496969</v>
      </c>
    </row>
    <row r="170" spans="1:12" x14ac:dyDescent="0.35">
      <c r="A170" s="48" t="s">
        <v>305</v>
      </c>
      <c r="B170" s="54">
        <v>1</v>
      </c>
      <c r="C170" s="57">
        <v>26550</v>
      </c>
      <c r="D170" s="57">
        <v>30605.864310686098</v>
      </c>
      <c r="E170" s="57">
        <v>-4055.8643106860982</v>
      </c>
      <c r="F170" s="57">
        <v>-0.51800800078844589</v>
      </c>
      <c r="G170" s="57">
        <v>1121.6190476054749</v>
      </c>
      <c r="H170" s="57">
        <v>28379.760981028652</v>
      </c>
      <c r="I170" s="57">
        <v>32831.967640343544</v>
      </c>
      <c r="J170" s="57">
        <v>7909.6616433579829</v>
      </c>
      <c r="K170" s="57">
        <v>14907.375453588467</v>
      </c>
      <c r="L170" s="57">
        <v>46304.353167783731</v>
      </c>
    </row>
    <row r="171" spans="1:12" x14ac:dyDescent="0.35">
      <c r="A171" s="48" t="s">
        <v>306</v>
      </c>
      <c r="B171" s="54">
        <v>1</v>
      </c>
      <c r="C171" s="57">
        <v>23850</v>
      </c>
      <c r="D171" s="57">
        <v>29338.034283598965</v>
      </c>
      <c r="E171" s="57">
        <v>-5488.034283598965</v>
      </c>
      <c r="F171" s="57">
        <v>-0.70092228184641836</v>
      </c>
      <c r="G171" s="57">
        <v>1169.3015637258559</v>
      </c>
      <c r="H171" s="57">
        <v>27017.294358629915</v>
      </c>
      <c r="I171" s="57">
        <v>31658.774208568015</v>
      </c>
      <c r="J171" s="57">
        <v>7916.5639119120888</v>
      </c>
      <c r="K171" s="57">
        <v>13625.846334065905</v>
      </c>
      <c r="L171" s="57">
        <v>45050.222233132023</v>
      </c>
    </row>
    <row r="172" spans="1:12" x14ac:dyDescent="0.35">
      <c r="A172" s="48" t="s">
        <v>307</v>
      </c>
      <c r="B172" s="54">
        <v>1</v>
      </c>
      <c r="C172" s="57">
        <v>36000</v>
      </c>
      <c r="D172" s="57">
        <v>38212.844473208905</v>
      </c>
      <c r="E172" s="57">
        <v>-2212.8444732089047</v>
      </c>
      <c r="F172" s="57">
        <v>-0.28262068299538373</v>
      </c>
      <c r="G172" s="57">
        <v>944.71826912451024</v>
      </c>
      <c r="H172" s="57">
        <v>36337.840220226542</v>
      </c>
      <c r="I172" s="57">
        <v>40087.848726191267</v>
      </c>
      <c r="J172" s="57">
        <v>7886.5208192506989</v>
      </c>
      <c r="K172" s="57">
        <v>22560.283746260473</v>
      </c>
      <c r="L172" s="57">
        <v>53865.405200157336</v>
      </c>
    </row>
    <row r="173" spans="1:12" x14ac:dyDescent="0.35">
      <c r="A173" s="48" t="s">
        <v>308</v>
      </c>
      <c r="B173" s="54">
        <v>1</v>
      </c>
      <c r="C173" s="57">
        <v>17100</v>
      </c>
      <c r="D173" s="57">
        <v>17789.205904574919</v>
      </c>
      <c r="E173" s="57">
        <v>-689.20590457491926</v>
      </c>
      <c r="F173" s="57">
        <v>-8.8024190508496844E-2</v>
      </c>
      <c r="G173" s="57">
        <v>1712.4350060383351</v>
      </c>
      <c r="H173" s="57">
        <v>14390.496443548731</v>
      </c>
      <c r="I173" s="57">
        <v>21187.915365601108</v>
      </c>
      <c r="J173" s="57">
        <v>8014.8082743358627</v>
      </c>
      <c r="K173" s="57">
        <v>1882.0300910442402</v>
      </c>
      <c r="L173" s="57">
        <v>33696.3817181056</v>
      </c>
    </row>
    <row r="174" spans="1:12" x14ac:dyDescent="0.35">
      <c r="A174" s="48" t="s">
        <v>309</v>
      </c>
      <c r="B174" s="54">
        <v>1</v>
      </c>
      <c r="C174" s="57">
        <v>30750</v>
      </c>
      <c r="D174" s="57">
        <v>29314.961654984381</v>
      </c>
      <c r="E174" s="57">
        <v>1435.0383450156187</v>
      </c>
      <c r="F174" s="57">
        <v>0.1832806246002229</v>
      </c>
      <c r="G174" s="57">
        <v>858.98427035032535</v>
      </c>
      <c r="H174" s="57">
        <v>27610.115657198832</v>
      </c>
      <c r="I174" s="57">
        <v>31019.80765276993</v>
      </c>
      <c r="J174" s="57">
        <v>7876.7107348922236</v>
      </c>
      <c r="K174" s="57">
        <v>13681.871229918966</v>
      </c>
      <c r="L174" s="57">
        <v>44948.052080049798</v>
      </c>
    </row>
    <row r="175" spans="1:12" x14ac:dyDescent="0.35">
      <c r="A175" s="48" t="s">
        <v>310</v>
      </c>
      <c r="B175" s="54">
        <v>1</v>
      </c>
      <c r="C175" s="57">
        <v>21600</v>
      </c>
      <c r="D175" s="57">
        <v>23367.658023758311</v>
      </c>
      <c r="E175" s="57">
        <v>-1767.6580237583112</v>
      </c>
      <c r="F175" s="57">
        <v>-0.22576223680663587</v>
      </c>
      <c r="G175" s="57">
        <v>1789.4932451089901</v>
      </c>
      <c r="H175" s="57">
        <v>19816.00928897519</v>
      </c>
      <c r="I175" s="57">
        <v>26919.306758541432</v>
      </c>
      <c r="J175" s="57">
        <v>8031.6252464085874</v>
      </c>
      <c r="K175" s="57">
        <v>7427.1051758363465</v>
      </c>
      <c r="L175" s="57">
        <v>39308.210871680276</v>
      </c>
    </row>
    <row r="176" spans="1:12" x14ac:dyDescent="0.35">
      <c r="A176" s="48" t="s">
        <v>311</v>
      </c>
      <c r="B176" s="54">
        <v>1</v>
      </c>
      <c r="C176" s="57">
        <v>22200</v>
      </c>
      <c r="D176" s="57">
        <v>31850.621709158651</v>
      </c>
      <c r="E176" s="57">
        <v>-9650.6217091586514</v>
      </c>
      <c r="F176" s="57">
        <v>-1.2325607749636944</v>
      </c>
      <c r="G176" s="57">
        <v>875.52673936160397</v>
      </c>
      <c r="H176" s="57">
        <v>30112.943489572503</v>
      </c>
      <c r="I176" s="57">
        <v>33588.299928744804</v>
      </c>
      <c r="J176" s="57">
        <v>7878.5319124691159</v>
      </c>
      <c r="K176" s="57">
        <v>16213.91675073053</v>
      </c>
      <c r="L176" s="57">
        <v>47487.326667586771</v>
      </c>
    </row>
    <row r="177" spans="1:12" x14ac:dyDescent="0.35">
      <c r="A177" s="48" t="s">
        <v>312</v>
      </c>
      <c r="B177" s="54">
        <v>1</v>
      </c>
      <c r="C177" s="57">
        <v>24300</v>
      </c>
      <c r="D177" s="57">
        <v>29314.961654984381</v>
      </c>
      <c r="E177" s="57">
        <v>-5014.9616549843813</v>
      </c>
      <c r="F177" s="57">
        <v>-0.64050226090767015</v>
      </c>
      <c r="G177" s="57">
        <v>858.98427035032535</v>
      </c>
      <c r="H177" s="57">
        <v>27610.115657198832</v>
      </c>
      <c r="I177" s="57">
        <v>31019.80765276993</v>
      </c>
      <c r="J177" s="57">
        <v>7876.7107348922236</v>
      </c>
      <c r="K177" s="57">
        <v>13681.871229918966</v>
      </c>
      <c r="L177" s="57">
        <v>44948.052080049798</v>
      </c>
    </row>
    <row r="178" spans="1:12" x14ac:dyDescent="0.35">
      <c r="A178" s="48" t="s">
        <v>313</v>
      </c>
      <c r="B178" s="54">
        <v>1</v>
      </c>
      <c r="C178" s="57">
        <v>27900</v>
      </c>
      <c r="D178" s="57">
        <v>28070.204256511832</v>
      </c>
      <c r="E178" s="57">
        <v>-170.20425651183177</v>
      </c>
      <c r="F178" s="57">
        <v>-2.1738194349618975E-2</v>
      </c>
      <c r="G178" s="57">
        <v>1220.7813188614127</v>
      </c>
      <c r="H178" s="57">
        <v>25647.291267914923</v>
      </c>
      <c r="I178" s="57">
        <v>30493.11724510874</v>
      </c>
      <c r="J178" s="57">
        <v>7924.3312054039052</v>
      </c>
      <c r="K178" s="57">
        <v>12342.600379492989</v>
      </c>
      <c r="L178" s="57">
        <v>43797.808133530678</v>
      </c>
    </row>
    <row r="179" spans="1:12" x14ac:dyDescent="0.35">
      <c r="A179" s="48" t="s">
        <v>314</v>
      </c>
      <c r="B179" s="54">
        <v>1</v>
      </c>
      <c r="C179" s="57">
        <v>57000</v>
      </c>
      <c r="D179" s="57">
        <v>52158.974771167392</v>
      </c>
      <c r="E179" s="57">
        <v>4841.0252288326083</v>
      </c>
      <c r="F179" s="57">
        <v>0.61828740028282703</v>
      </c>
      <c r="G179" s="57">
        <v>1230.0480227765674</v>
      </c>
      <c r="H179" s="57">
        <v>49717.66994045215</v>
      </c>
      <c r="I179" s="57">
        <v>54600.279601882634</v>
      </c>
      <c r="J179" s="57">
        <v>7925.7640743838474</v>
      </c>
      <c r="K179" s="57">
        <v>36428.527045861541</v>
      </c>
      <c r="L179" s="57">
        <v>67889.422496473242</v>
      </c>
    </row>
    <row r="180" spans="1:12" x14ac:dyDescent="0.35">
      <c r="A180" s="48" t="s">
        <v>315</v>
      </c>
      <c r="B180" s="54">
        <v>1</v>
      </c>
      <c r="C180" s="57">
        <v>26700</v>
      </c>
      <c r="D180" s="57">
        <v>31873.694337773231</v>
      </c>
      <c r="E180" s="57">
        <v>-5173.6943377732314</v>
      </c>
      <c r="F180" s="57">
        <v>-0.6607753256289427</v>
      </c>
      <c r="G180" s="57">
        <v>1078.2376600453401</v>
      </c>
      <c r="H180" s="57">
        <v>29733.691053847841</v>
      </c>
      <c r="I180" s="57">
        <v>34013.697621698622</v>
      </c>
      <c r="J180" s="57">
        <v>7903.6266660310539</v>
      </c>
      <c r="K180" s="57">
        <v>16187.183240103426</v>
      </c>
      <c r="L180" s="57">
        <v>47560.205435443037</v>
      </c>
    </row>
    <row r="181" spans="1:12" x14ac:dyDescent="0.35">
      <c r="A181" s="48" t="s">
        <v>316</v>
      </c>
      <c r="B181" s="54">
        <v>1</v>
      </c>
      <c r="C181" s="57">
        <v>20400</v>
      </c>
      <c r="D181" s="57">
        <v>22975.811519548708</v>
      </c>
      <c r="E181" s="57">
        <v>-2575.811519548708</v>
      </c>
      <c r="F181" s="57">
        <v>-0.32897820869741168</v>
      </c>
      <c r="G181" s="57">
        <v>952.72852119391405</v>
      </c>
      <c r="H181" s="57">
        <v>21084.909133558383</v>
      </c>
      <c r="I181" s="57">
        <v>24866.713905539033</v>
      </c>
      <c r="J181" s="57">
        <v>7887.4843682604815</v>
      </c>
      <c r="K181" s="57">
        <v>7321.3384145396976</v>
      </c>
      <c r="L181" s="57">
        <v>38630.284624557717</v>
      </c>
    </row>
    <row r="182" spans="1:12" x14ac:dyDescent="0.35">
      <c r="A182" s="48" t="s">
        <v>317</v>
      </c>
      <c r="B182" s="54">
        <v>1</v>
      </c>
      <c r="C182" s="57">
        <v>28500</v>
      </c>
      <c r="D182" s="57">
        <v>22975.811519548708</v>
      </c>
      <c r="E182" s="57">
        <v>5524.188480451292</v>
      </c>
      <c r="F182" s="57">
        <v>0.70553983356831451</v>
      </c>
      <c r="G182" s="57">
        <v>952.72852119391405</v>
      </c>
      <c r="H182" s="57">
        <v>21084.909133558383</v>
      </c>
      <c r="I182" s="57">
        <v>24866.713905539033</v>
      </c>
      <c r="J182" s="57">
        <v>7887.4843682604815</v>
      </c>
      <c r="K182" s="57">
        <v>7321.3384145396976</v>
      </c>
      <c r="L182" s="57">
        <v>38630.284624557717</v>
      </c>
    </row>
    <row r="183" spans="1:12" x14ac:dyDescent="0.35">
      <c r="A183" s="48" t="s">
        <v>318</v>
      </c>
      <c r="B183" s="54">
        <v>1</v>
      </c>
      <c r="C183" s="57">
        <v>61875</v>
      </c>
      <c r="D183" s="57">
        <v>72052.408700351953</v>
      </c>
      <c r="E183" s="57">
        <v>-10177.408700351953</v>
      </c>
      <c r="F183" s="57">
        <v>-1.2998411017316385</v>
      </c>
      <c r="G183" s="57">
        <v>2182.5922933984493</v>
      </c>
      <c r="H183" s="57">
        <v>67720.567170028735</v>
      </c>
      <c r="I183" s="57">
        <v>76384.25023067517</v>
      </c>
      <c r="J183" s="57">
        <v>8128.2487132013503</v>
      </c>
      <c r="K183" s="57">
        <v>55920.085017573343</v>
      </c>
      <c r="L183" s="57">
        <v>88184.732383130555</v>
      </c>
    </row>
    <row r="184" spans="1:12" x14ac:dyDescent="0.35">
      <c r="A184" s="48" t="s">
        <v>319</v>
      </c>
      <c r="B184" s="54">
        <v>1</v>
      </c>
      <c r="C184" s="57">
        <v>30300</v>
      </c>
      <c r="D184" s="57">
        <v>35262.265286210451</v>
      </c>
      <c r="E184" s="57">
        <v>-4962.2652862104514</v>
      </c>
      <c r="F184" s="57">
        <v>-0.63377197149303821</v>
      </c>
      <c r="G184" s="57">
        <v>1248.3790290692189</v>
      </c>
      <c r="H184" s="57">
        <v>32784.578482283214</v>
      </c>
      <c r="I184" s="57">
        <v>37739.952090137689</v>
      </c>
      <c r="J184" s="57">
        <v>7928.629656168644</v>
      </c>
      <c r="K184" s="57">
        <v>19526.130174294893</v>
      </c>
      <c r="L184" s="57">
        <v>50998.40039812601</v>
      </c>
    </row>
    <row r="185" spans="1:12" x14ac:dyDescent="0.35">
      <c r="A185" s="48" t="s">
        <v>320</v>
      </c>
      <c r="B185" s="54">
        <v>1</v>
      </c>
      <c r="C185" s="57">
        <v>27600</v>
      </c>
      <c r="D185" s="57">
        <v>29314.961654984381</v>
      </c>
      <c r="E185" s="57">
        <v>-1714.9616549843813</v>
      </c>
      <c r="F185" s="57">
        <v>-0.21903194739200393</v>
      </c>
      <c r="G185" s="57">
        <v>858.98427035032535</v>
      </c>
      <c r="H185" s="57">
        <v>27610.115657198832</v>
      </c>
      <c r="I185" s="57">
        <v>31019.80765276993</v>
      </c>
      <c r="J185" s="57">
        <v>7876.7107348922236</v>
      </c>
      <c r="K185" s="57">
        <v>13681.871229918966</v>
      </c>
      <c r="L185" s="57">
        <v>44948.052080049798</v>
      </c>
    </row>
    <row r="186" spans="1:12" x14ac:dyDescent="0.35">
      <c r="A186" s="48" t="s">
        <v>321</v>
      </c>
      <c r="B186" s="54">
        <v>1</v>
      </c>
      <c r="C186" s="57">
        <v>52125</v>
      </c>
      <c r="D186" s="57">
        <v>56382.029565554956</v>
      </c>
      <c r="E186" s="57">
        <v>-4257.0295655549562</v>
      </c>
      <c r="F186" s="57">
        <v>-0.54370048049694175</v>
      </c>
      <c r="G186" s="57">
        <v>1852.6690414553182</v>
      </c>
      <c r="H186" s="57">
        <v>52704.994362968384</v>
      </c>
      <c r="I186" s="57">
        <v>60059.064768141528</v>
      </c>
      <c r="J186" s="57">
        <v>8045.9369001766399</v>
      </c>
      <c r="K186" s="57">
        <v>40413.07204656933</v>
      </c>
      <c r="L186" s="57">
        <v>72350.987084540582</v>
      </c>
    </row>
    <row r="187" spans="1:12" x14ac:dyDescent="0.35">
      <c r="A187" s="48" t="s">
        <v>322</v>
      </c>
      <c r="B187" s="54">
        <v>1</v>
      </c>
      <c r="C187" s="57">
        <v>27300</v>
      </c>
      <c r="D187" s="57">
        <v>26779.301600810111</v>
      </c>
      <c r="E187" s="57">
        <v>520.69839918988873</v>
      </c>
      <c r="F187" s="57">
        <v>6.6502702288990287E-2</v>
      </c>
      <c r="G187" s="57">
        <v>874.28655048401129</v>
      </c>
      <c r="H187" s="57">
        <v>25044.084812844358</v>
      </c>
      <c r="I187" s="57">
        <v>28514.518388775865</v>
      </c>
      <c r="J187" s="57">
        <v>7878.3941889711468</v>
      </c>
      <c r="K187" s="57">
        <v>11142.869985401669</v>
      </c>
      <c r="L187" s="57">
        <v>42415.733216218556</v>
      </c>
    </row>
    <row r="188" spans="1:12" x14ac:dyDescent="0.35">
      <c r="A188" s="48" t="s">
        <v>323</v>
      </c>
      <c r="B188" s="54">
        <v>1</v>
      </c>
      <c r="C188" s="57">
        <v>100000</v>
      </c>
      <c r="D188" s="57">
        <v>81918.410283017016</v>
      </c>
      <c r="E188" s="57">
        <v>18081.589716982984</v>
      </c>
      <c r="F188" s="57">
        <v>2.3093494808722621</v>
      </c>
      <c r="G188" s="57">
        <v>2751.5156853554527</v>
      </c>
      <c r="H188" s="57">
        <v>76457.413305611044</v>
      </c>
      <c r="I188" s="57">
        <v>87379.407260422988</v>
      </c>
      <c r="J188" s="57">
        <v>8299.1298695233218</v>
      </c>
      <c r="K188" s="57">
        <v>65446.934807233323</v>
      </c>
      <c r="L188" s="57">
        <v>98389.885758800709</v>
      </c>
    </row>
    <row r="189" spans="1:12" x14ac:dyDescent="0.35">
      <c r="A189" s="48" t="s">
        <v>324</v>
      </c>
      <c r="B189" s="54">
        <v>1</v>
      </c>
      <c r="C189" s="57">
        <v>28350</v>
      </c>
      <c r="D189" s="57">
        <v>20831.997969584041</v>
      </c>
      <c r="E189" s="57">
        <v>7518.0020304159589</v>
      </c>
      <c r="F189" s="57">
        <v>0.96018626447600897</v>
      </c>
      <c r="G189" s="57">
        <v>1745.4215041710827</v>
      </c>
      <c r="H189" s="57">
        <v>17367.819440888386</v>
      </c>
      <c r="I189" s="57">
        <v>24296.176498279696</v>
      </c>
      <c r="J189" s="57">
        <v>8021.9208579790884</v>
      </c>
      <c r="K189" s="57">
        <v>4910.7056463841891</v>
      </c>
      <c r="L189" s="57">
        <v>36753.290292783895</v>
      </c>
    </row>
    <row r="190" spans="1:12" x14ac:dyDescent="0.35">
      <c r="A190" s="48" t="s">
        <v>325</v>
      </c>
      <c r="B190" s="54">
        <v>1</v>
      </c>
      <c r="C190" s="57">
        <v>22050</v>
      </c>
      <c r="D190" s="57">
        <v>22468.679508713853</v>
      </c>
      <c r="E190" s="57">
        <v>-418.67950871385256</v>
      </c>
      <c r="F190" s="57">
        <v>-5.3473025394003802E-2</v>
      </c>
      <c r="G190" s="57">
        <v>967.56756463917395</v>
      </c>
      <c r="H190" s="57">
        <v>20548.325729139451</v>
      </c>
      <c r="I190" s="57">
        <v>24389.033288288254</v>
      </c>
      <c r="J190" s="57">
        <v>7889.2905268217173</v>
      </c>
      <c r="K190" s="57">
        <v>6810.62167893074</v>
      </c>
      <c r="L190" s="57">
        <v>38126.737338496969</v>
      </c>
    </row>
    <row r="191" spans="1:12" x14ac:dyDescent="0.35">
      <c r="A191" s="48" t="s">
        <v>326</v>
      </c>
      <c r="B191" s="54">
        <v>1</v>
      </c>
      <c r="C191" s="57">
        <v>36000</v>
      </c>
      <c r="D191" s="57">
        <v>42892.318077347845</v>
      </c>
      <c r="E191" s="57">
        <v>-6892.3180773478452</v>
      </c>
      <c r="F191" s="57">
        <v>-0.88027498815439098</v>
      </c>
      <c r="G191" s="57">
        <v>1993.8359367106675</v>
      </c>
      <c r="H191" s="57">
        <v>38935.105664650378</v>
      </c>
      <c r="I191" s="57">
        <v>46849.530490045312</v>
      </c>
      <c r="J191" s="57">
        <v>8079.6101246889384</v>
      </c>
      <c r="K191" s="57">
        <v>26856.528528924813</v>
      </c>
      <c r="L191" s="57">
        <v>58928.107625770877</v>
      </c>
    </row>
    <row r="192" spans="1:12" x14ac:dyDescent="0.35">
      <c r="A192" s="48" t="s">
        <v>327</v>
      </c>
      <c r="B192" s="54">
        <v>1</v>
      </c>
      <c r="C192" s="57">
        <v>66000</v>
      </c>
      <c r="D192" s="57">
        <v>87649.002005450864</v>
      </c>
      <c r="E192" s="57">
        <v>-21649.002005450864</v>
      </c>
      <c r="F192" s="57">
        <v>-2.7649732310723221</v>
      </c>
      <c r="G192" s="57">
        <v>3098.1253208098751</v>
      </c>
      <c r="H192" s="57">
        <v>81500.080848062658</v>
      </c>
      <c r="I192" s="57">
        <v>93797.92316283907</v>
      </c>
      <c r="J192" s="57">
        <v>8420.3977654206101</v>
      </c>
      <c r="K192" s="57">
        <v>70936.843324960704</v>
      </c>
      <c r="L192" s="57">
        <v>104361.16068594102</v>
      </c>
    </row>
    <row r="193" spans="1:12" x14ac:dyDescent="0.35">
      <c r="A193" s="48" t="s">
        <v>328</v>
      </c>
      <c r="B193" s="54">
        <v>1</v>
      </c>
      <c r="C193" s="57">
        <v>49000</v>
      </c>
      <c r="D193" s="57">
        <v>41255.63653821803</v>
      </c>
      <c r="E193" s="57">
        <v>7744.3634617819698</v>
      </c>
      <c r="F193" s="57">
        <v>0.98909675642924766</v>
      </c>
      <c r="G193" s="57">
        <v>940.96890678660895</v>
      </c>
      <c r="H193" s="57">
        <v>39388.073731600467</v>
      </c>
      <c r="I193" s="57">
        <v>43123.199344835593</v>
      </c>
      <c r="J193" s="57">
        <v>7886.0725654787311</v>
      </c>
      <c r="K193" s="57">
        <v>25603.965470924042</v>
      </c>
      <c r="L193" s="57">
        <v>56907.307605512018</v>
      </c>
    </row>
    <row r="194" spans="1:12" x14ac:dyDescent="0.35">
      <c r="A194" s="48" t="s">
        <v>329</v>
      </c>
      <c r="B194" s="54">
        <v>1</v>
      </c>
      <c r="C194" s="57">
        <v>25500</v>
      </c>
      <c r="D194" s="57">
        <v>23229.377524966134</v>
      </c>
      <c r="E194" s="57">
        <v>2270.6224750338661</v>
      </c>
      <c r="F194" s="57">
        <v>0.28999998982673986</v>
      </c>
      <c r="G194" s="57">
        <v>945.65966284269541</v>
      </c>
      <c r="H194" s="57">
        <v>21352.504866044121</v>
      </c>
      <c r="I194" s="57">
        <v>25106.250183888147</v>
      </c>
      <c r="J194" s="57">
        <v>7886.6336432209691</v>
      </c>
      <c r="K194" s="57">
        <v>7576.5928736679671</v>
      </c>
      <c r="L194" s="57">
        <v>38882.162176264304</v>
      </c>
    </row>
    <row r="195" spans="1:12" x14ac:dyDescent="0.35">
      <c r="A195" s="48" t="s">
        <v>330</v>
      </c>
      <c r="B195" s="54">
        <v>1</v>
      </c>
      <c r="C195" s="57">
        <v>27750</v>
      </c>
      <c r="D195" s="57">
        <v>30605.864310686098</v>
      </c>
      <c r="E195" s="57">
        <v>-2855.8643106860982</v>
      </c>
      <c r="F195" s="57">
        <v>-0.36474606860093084</v>
      </c>
      <c r="G195" s="57">
        <v>1121.6190476054749</v>
      </c>
      <c r="H195" s="57">
        <v>28379.760981028652</v>
      </c>
      <c r="I195" s="57">
        <v>32831.967640343544</v>
      </c>
      <c r="J195" s="57">
        <v>7909.6616433579829</v>
      </c>
      <c r="K195" s="57">
        <v>14907.375453588467</v>
      </c>
      <c r="L195" s="57">
        <v>46304.353167783731</v>
      </c>
    </row>
    <row r="196" spans="1:12" x14ac:dyDescent="0.35">
      <c r="A196" s="48" t="s">
        <v>331</v>
      </c>
      <c r="B196" s="54">
        <v>1</v>
      </c>
      <c r="C196" s="57">
        <v>52650</v>
      </c>
      <c r="D196" s="57">
        <v>40333.585394558992</v>
      </c>
      <c r="E196" s="57">
        <v>12316.414605441008</v>
      </c>
      <c r="F196" s="57">
        <v>1.5730312500436825</v>
      </c>
      <c r="G196" s="57">
        <v>1142.9902861878488</v>
      </c>
      <c r="H196" s="57">
        <v>38065.066072173271</v>
      </c>
      <c r="I196" s="57">
        <v>42602.104716944712</v>
      </c>
      <c r="J196" s="57">
        <v>7912.7204436133643</v>
      </c>
      <c r="K196" s="57">
        <v>24629.025665673122</v>
      </c>
      <c r="L196" s="57">
        <v>56038.145123444861</v>
      </c>
    </row>
    <row r="197" spans="1:12" ht="16" thickBot="1" x14ac:dyDescent="0.4">
      <c r="A197" s="52" t="s">
        <v>332</v>
      </c>
      <c r="B197" s="55">
        <v>1</v>
      </c>
      <c r="C197" s="58">
        <v>24300</v>
      </c>
      <c r="D197" s="58">
        <v>22468.679508713853</v>
      </c>
      <c r="E197" s="58">
        <v>1831.3204912861474</v>
      </c>
      <c r="F197" s="58">
        <v>0.23389309745758682</v>
      </c>
      <c r="G197" s="58">
        <v>967.56756463917395</v>
      </c>
      <c r="H197" s="58">
        <v>20548.325729139451</v>
      </c>
      <c r="I197" s="58">
        <v>24389.033288288254</v>
      </c>
      <c r="J197" s="58">
        <v>7889.2905268217173</v>
      </c>
      <c r="K197" s="58">
        <v>6810.62167893074</v>
      </c>
      <c r="L197" s="58">
        <v>38126.737338496969</v>
      </c>
    </row>
    <row r="216" spans="4:4" x14ac:dyDescent="0.35">
      <c r="D216" t="s">
        <v>141</v>
      </c>
    </row>
    <row r="235" spans="1:4" x14ac:dyDescent="0.35">
      <c r="D235" t="s">
        <v>141</v>
      </c>
    </row>
    <row r="238" spans="1:4" x14ac:dyDescent="0.35">
      <c r="A238" s="6" t="s">
        <v>196</v>
      </c>
    </row>
    <row r="240" spans="1:4" x14ac:dyDescent="0.35">
      <c r="A240" s="2" t="s">
        <v>334</v>
      </c>
    </row>
    <row r="241" spans="1:9" ht="16" thickBot="1" x14ac:dyDescent="0.4"/>
    <row r="242" spans="1:9" x14ac:dyDescent="0.35">
      <c r="A242" s="69" t="s">
        <v>198</v>
      </c>
      <c r="B242" s="82">
        <v>0.73713067877117411</v>
      </c>
      <c r="C242" s="83"/>
    </row>
    <row r="243" spans="1:9" x14ac:dyDescent="0.35">
      <c r="A243" s="48" t="s">
        <v>199</v>
      </c>
      <c r="B243" s="75">
        <v>4.3357539780686238E-12</v>
      </c>
      <c r="C243" s="84" t="s">
        <v>125</v>
      </c>
    </row>
    <row r="244" spans="1:9" ht="16" thickBot="1" x14ac:dyDescent="0.4">
      <c r="A244" s="52" t="s">
        <v>200</v>
      </c>
      <c r="B244" s="55">
        <v>0.05</v>
      </c>
      <c r="C244" s="85"/>
    </row>
    <row r="245" spans="1:9" x14ac:dyDescent="0.35">
      <c r="A245" s="80" t="s">
        <v>201</v>
      </c>
    </row>
    <row r="247" spans="1:9" x14ac:dyDescent="0.35">
      <c r="A247" s="2" t="s">
        <v>202</v>
      </c>
    </row>
    <row r="248" spans="1:9" x14ac:dyDescent="0.35">
      <c r="A248" s="2" t="s">
        <v>203</v>
      </c>
    </row>
    <row r="249" spans="1:9" x14ac:dyDescent="0.35">
      <c r="A249" s="2" t="s">
        <v>204</v>
      </c>
    </row>
    <row r="250" spans="1:9" ht="15.65" customHeight="1" x14ac:dyDescent="0.35">
      <c r="A250" s="102" t="s">
        <v>205</v>
      </c>
      <c r="B250" s="102"/>
      <c r="C250" s="102"/>
      <c r="D250" s="102"/>
      <c r="E250" s="102"/>
      <c r="F250" s="102"/>
      <c r="G250" s="102"/>
      <c r="H250" s="102"/>
      <c r="I250" s="102"/>
    </row>
    <row r="251" spans="1:9" x14ac:dyDescent="0.35">
      <c r="A251" s="102"/>
      <c r="B251" s="102"/>
      <c r="C251" s="102"/>
      <c r="D251" s="102"/>
      <c r="E251" s="102"/>
      <c r="F251" s="102"/>
      <c r="G251" s="102"/>
      <c r="H251" s="102"/>
      <c r="I251" s="102"/>
    </row>
    <row r="254" spans="1:9" x14ac:dyDescent="0.35">
      <c r="A254" s="2" t="s">
        <v>335</v>
      </c>
    </row>
    <row r="256" spans="1:9" x14ac:dyDescent="0.35">
      <c r="A256" s="103" t="s">
        <v>339</v>
      </c>
      <c r="B256" s="104"/>
      <c r="C256" s="104"/>
      <c r="D256" s="104"/>
      <c r="E256" s="104"/>
    </row>
    <row r="257" spans="1:5" x14ac:dyDescent="0.35">
      <c r="A257" s="104"/>
      <c r="B257" s="104"/>
      <c r="C257" s="104"/>
      <c r="D257" s="104"/>
      <c r="E257" s="104"/>
    </row>
    <row r="259" spans="1:5" x14ac:dyDescent="0.35">
      <c r="A259" s="103" t="s">
        <v>208</v>
      </c>
      <c r="B259" s="104"/>
      <c r="C259" s="104"/>
      <c r="D259" s="104"/>
      <c r="E259" s="104"/>
    </row>
    <row r="260" spans="1:5" x14ac:dyDescent="0.35">
      <c r="A260" s="104"/>
      <c r="B260" s="104"/>
      <c r="C260" s="104"/>
      <c r="D260" s="104"/>
      <c r="E260" s="104"/>
    </row>
    <row r="261" spans="1:5" x14ac:dyDescent="0.35">
      <c r="A261" s="104"/>
      <c r="B261" s="104"/>
      <c r="C261" s="104"/>
      <c r="D261" s="104"/>
      <c r="E261" s="104"/>
    </row>
    <row r="996" spans="648:648" x14ac:dyDescent="0.35">
      <c r="XX996" s="47">
        <v>166765</v>
      </c>
    </row>
  </sheetData>
  <mergeCells count="3">
    <mergeCell ref="A250:I251"/>
    <mergeCell ref="A256:E257"/>
    <mergeCell ref="A259:E26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DD924879">
              <controlPr defaultSize="0" autoFill="0" autoPict="0" macro="[0]!GoToResultsNew2111202508022294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FB3C-5FD7-4B93-977D-2F135BDB8621}">
  <sheetPr codeName="Sheet6_HID"/>
  <dimension ref="A1:H70"/>
  <sheetViews>
    <sheetView workbookViewId="0">
      <selection activeCell="E1" sqref="E1"/>
    </sheetView>
  </sheetViews>
  <sheetFormatPr defaultRowHeight="15.5" x14ac:dyDescent="0.35"/>
  <sheetData>
    <row r="1" spans="1:8" x14ac:dyDescent="0.35">
      <c r="A1">
        <v>1</v>
      </c>
      <c r="C1">
        <f t="shared" ref="C1:C32" si="0">14148.9178664673+(A1-1)*1687.05464293116</f>
        <v>14148.9178664673</v>
      </c>
      <c r="D1">
        <f t="shared" ref="D1:D32" si="1">0+1*C1-15539.8525206035*(1.01+(C1-33632.6)^2/23647376075.6276)^0.5</f>
        <v>-1592.0637913435894</v>
      </c>
      <c r="E1">
        <v>1</v>
      </c>
      <c r="G1">
        <f t="shared" ref="G1:G32" si="2">14231.3647236599+(E1-1)*1685.85976094286</f>
        <v>14231.364723659901</v>
      </c>
      <c r="H1">
        <f t="shared" ref="H1:H32" si="3">0+1*G1+15539.8525206035*(1.01+(G1-33632.6)^2/23647376075.6276)^0.5</f>
        <v>29971.306416642277</v>
      </c>
    </row>
    <row r="2" spans="1:8" x14ac:dyDescent="0.35">
      <c r="A2">
        <v>2</v>
      </c>
      <c r="C2">
        <f t="shared" si="0"/>
        <v>15835.97250939846</v>
      </c>
      <c r="D2">
        <f t="shared" si="1"/>
        <v>115.40538175915935</v>
      </c>
      <c r="E2">
        <v>2</v>
      </c>
      <c r="G2">
        <f t="shared" si="2"/>
        <v>15917.224484602761</v>
      </c>
      <c r="H2">
        <f t="shared" si="3"/>
        <v>31636.854407096638</v>
      </c>
    </row>
    <row r="3" spans="1:8" x14ac:dyDescent="0.35">
      <c r="A3">
        <v>3</v>
      </c>
      <c r="C3">
        <f t="shared" si="0"/>
        <v>17523.027152329621</v>
      </c>
      <c r="D3">
        <f t="shared" si="1"/>
        <v>1821.0499546344254</v>
      </c>
      <c r="E3">
        <v>3</v>
      </c>
      <c r="G3">
        <f t="shared" si="2"/>
        <v>17603.084245545622</v>
      </c>
      <c r="H3">
        <f t="shared" si="3"/>
        <v>33304.224740031364</v>
      </c>
    </row>
    <row r="4" spans="1:8" x14ac:dyDescent="0.35">
      <c r="A4">
        <v>4</v>
      </c>
      <c r="C4">
        <f t="shared" si="0"/>
        <v>19210.081795260779</v>
      </c>
      <c r="D4">
        <f t="shared" si="1"/>
        <v>3524.8634397988972</v>
      </c>
      <c r="E4">
        <v>4</v>
      </c>
      <c r="G4">
        <f t="shared" si="2"/>
        <v>19288.94400648848</v>
      </c>
      <c r="H4">
        <f t="shared" si="3"/>
        <v>34973.423860176015</v>
      </c>
    </row>
    <row r="5" spans="1:8" x14ac:dyDescent="0.35">
      <c r="A5">
        <v>5</v>
      </c>
      <c r="C5">
        <f t="shared" si="0"/>
        <v>20897.136438191941</v>
      </c>
      <c r="D5">
        <f t="shared" si="1"/>
        <v>5226.8399623957976</v>
      </c>
      <c r="E5">
        <v>5</v>
      </c>
      <c r="G5">
        <f t="shared" si="2"/>
        <v>20974.803767431342</v>
      </c>
      <c r="H5">
        <f t="shared" si="3"/>
        <v>36644.457600864145</v>
      </c>
    </row>
    <row r="6" spans="1:8" x14ac:dyDescent="0.35">
      <c r="A6">
        <v>6</v>
      </c>
      <c r="C6">
        <f t="shared" si="0"/>
        <v>22584.191081123099</v>
      </c>
      <c r="D6">
        <f t="shared" si="1"/>
        <v>6926.9742703539632</v>
      </c>
      <c r="E6">
        <v>6</v>
      </c>
      <c r="G6">
        <f t="shared" si="2"/>
        <v>22660.6635283742</v>
      </c>
      <c r="H6">
        <f t="shared" si="3"/>
        <v>38317.331173956889</v>
      </c>
    </row>
    <row r="7" spans="1:8" x14ac:dyDescent="0.35">
      <c r="A7">
        <v>7</v>
      </c>
      <c r="C7">
        <f t="shared" si="0"/>
        <v>24271.245724054261</v>
      </c>
      <c r="D7">
        <f t="shared" si="1"/>
        <v>8625.261743531777</v>
      </c>
      <c r="E7">
        <v>7</v>
      </c>
      <c r="G7">
        <f t="shared" si="2"/>
        <v>24346.523289317061</v>
      </c>
      <c r="H7">
        <f t="shared" si="3"/>
        <v>39992.049160779206</v>
      </c>
    </row>
    <row r="8" spans="1:8" x14ac:dyDescent="0.35">
      <c r="A8">
        <v>8</v>
      </c>
      <c r="C8">
        <f t="shared" si="0"/>
        <v>25958.300366985422</v>
      </c>
      <c r="D8">
        <f t="shared" si="1"/>
        <v>10321.698401809203</v>
      </c>
      <c r="E8">
        <v>8</v>
      </c>
      <c r="G8">
        <f t="shared" si="2"/>
        <v>26032.383050259923</v>
      </c>
      <c r="H8">
        <f t="shared" si="3"/>
        <v>41668.615504105124</v>
      </c>
    </row>
    <row r="9" spans="1:8" x14ac:dyDescent="0.35">
      <c r="A9">
        <v>9</v>
      </c>
      <c r="C9">
        <f t="shared" si="0"/>
        <v>27645.35500991658</v>
      </c>
      <c r="D9">
        <f t="shared" si="1"/>
        <v>12016.28091209519</v>
      </c>
      <c r="E9">
        <v>9</v>
      </c>
      <c r="G9">
        <f t="shared" si="2"/>
        <v>27718.242811202781</v>
      </c>
      <c r="H9">
        <f t="shared" si="3"/>
        <v>43347.033501224432</v>
      </c>
    </row>
    <row r="10" spans="1:8" x14ac:dyDescent="0.35">
      <c r="A10">
        <v>10</v>
      </c>
      <c r="C10">
        <f t="shared" si="0"/>
        <v>29332.409652847738</v>
      </c>
      <c r="D10">
        <f t="shared" si="1"/>
        <v>13709.006594221804</v>
      </c>
      <c r="E10">
        <v>10</v>
      </c>
      <c r="G10">
        <f t="shared" si="2"/>
        <v>29404.102572145639</v>
      </c>
      <c r="H10">
        <f t="shared" si="3"/>
        <v>45027.305798119123</v>
      </c>
    </row>
    <row r="11" spans="1:8" x14ac:dyDescent="0.35">
      <c r="A11">
        <v>11</v>
      </c>
      <c r="C11">
        <f t="shared" si="0"/>
        <v>31019.464295778904</v>
      </c>
      <c r="D11">
        <f t="shared" si="1"/>
        <v>15399.873425700876</v>
      </c>
      <c r="E11">
        <v>11</v>
      </c>
      <c r="G11">
        <f t="shared" si="2"/>
        <v>31089.962333088501</v>
      </c>
      <c r="H11">
        <f t="shared" si="3"/>
        <v>46709.434384773347</v>
      </c>
    </row>
    <row r="12" spans="1:8" x14ac:dyDescent="0.35">
      <c r="A12">
        <v>12</v>
      </c>
      <c r="C12">
        <f t="shared" si="0"/>
        <v>32706.518938710062</v>
      </c>
      <c r="D12">
        <f t="shared" si="1"/>
        <v>17088.880045323534</v>
      </c>
      <c r="E12">
        <v>12</v>
      </c>
      <c r="G12">
        <f t="shared" si="2"/>
        <v>32775.822094031362</v>
      </c>
      <c r="H12">
        <f t="shared" si="3"/>
        <v>48393.420591636394</v>
      </c>
    </row>
    <row r="13" spans="1:8" x14ac:dyDescent="0.35">
      <c r="A13">
        <v>13</v>
      </c>
      <c r="C13">
        <f t="shared" si="0"/>
        <v>34393.57358164122</v>
      </c>
      <c r="D13">
        <f t="shared" si="1"/>
        <v>18776.025755587783</v>
      </c>
      <c r="E13">
        <v>13</v>
      </c>
      <c r="G13">
        <f t="shared" si="2"/>
        <v>34461.681854974224</v>
      </c>
      <c r="H13">
        <f t="shared" si="3"/>
        <v>50079.265087253181</v>
      </c>
    </row>
    <row r="14" spans="1:8" x14ac:dyDescent="0.35">
      <c r="A14">
        <v>14</v>
      </c>
      <c r="C14">
        <f t="shared" si="0"/>
        <v>36080.628224572378</v>
      </c>
      <c r="D14">
        <f t="shared" si="1"/>
        <v>20461.310523943932</v>
      </c>
      <c r="E14">
        <v>14</v>
      </c>
      <c r="G14">
        <f t="shared" si="2"/>
        <v>36147.541615917078</v>
      </c>
      <c r="H14">
        <f t="shared" si="3"/>
        <v>51766.967877072188</v>
      </c>
    </row>
    <row r="15" spans="1:8" x14ac:dyDescent="0.35">
      <c r="A15">
        <v>15</v>
      </c>
      <c r="C15">
        <f t="shared" si="0"/>
        <v>37767.682867503543</v>
      </c>
      <c r="D15">
        <f t="shared" si="1"/>
        <v>22144.734982852715</v>
      </c>
      <c r="E15">
        <v>15</v>
      </c>
      <c r="G15">
        <f t="shared" si="2"/>
        <v>37833.40137685994</v>
      </c>
      <c r="H15">
        <f t="shared" si="3"/>
        <v>53456.528303435749</v>
      </c>
    </row>
    <row r="16" spans="1:8" x14ac:dyDescent="0.35">
      <c r="A16">
        <v>16</v>
      </c>
      <c r="C16">
        <f t="shared" si="0"/>
        <v>39454.737510434701</v>
      </c>
      <c r="D16">
        <f t="shared" si="1"/>
        <v>23826.300428655901</v>
      </c>
      <c r="E16">
        <v>16</v>
      </c>
      <c r="G16">
        <f t="shared" si="2"/>
        <v>39519.261137802801</v>
      </c>
      <c r="H16">
        <f t="shared" si="3"/>
        <v>55147.945046752691</v>
      </c>
    </row>
    <row r="17" spans="1:8" x14ac:dyDescent="0.35">
      <c r="A17">
        <v>17</v>
      </c>
      <c r="C17">
        <f t="shared" si="0"/>
        <v>41141.792153365859</v>
      </c>
      <c r="D17">
        <f t="shared" si="1"/>
        <v>25506.008819264127</v>
      </c>
      <c r="E17">
        <v>17</v>
      </c>
      <c r="G17">
        <f t="shared" si="2"/>
        <v>41205.120898745663</v>
      </c>
      <c r="H17">
        <f t="shared" si="3"/>
        <v>56841.216127848602</v>
      </c>
    </row>
    <row r="18" spans="1:8" x14ac:dyDescent="0.35">
      <c r="A18">
        <v>18</v>
      </c>
      <c r="C18">
        <f t="shared" si="0"/>
        <v>42828.846796297024</v>
      </c>
      <c r="D18">
        <f t="shared" si="1"/>
        <v>27183.862770671418</v>
      </c>
      <c r="E18">
        <v>18</v>
      </c>
      <c r="G18">
        <f t="shared" si="2"/>
        <v>42890.980659688525</v>
      </c>
      <c r="H18">
        <f t="shared" si="3"/>
        <v>58536.338911483756</v>
      </c>
    </row>
    <row r="19" spans="1:8" x14ac:dyDescent="0.35">
      <c r="A19">
        <v>19</v>
      </c>
      <c r="C19">
        <f t="shared" si="0"/>
        <v>44515.901439228182</v>
      </c>
      <c r="D19">
        <f t="shared" si="1"/>
        <v>28859.865552310985</v>
      </c>
      <c r="E19">
        <v>19</v>
      </c>
      <c r="G19">
        <f t="shared" si="2"/>
        <v>44576.840420631379</v>
      </c>
      <c r="H19">
        <f t="shared" si="3"/>
        <v>60233.310111024344</v>
      </c>
    </row>
    <row r="20" spans="1:8" x14ac:dyDescent="0.35">
      <c r="A20">
        <v>20</v>
      </c>
      <c r="C20">
        <f t="shared" si="0"/>
        <v>46202.95608215934</v>
      </c>
      <c r="D20">
        <f t="shared" si="1"/>
        <v>30534.021081271436</v>
      </c>
      <c r="E20">
        <v>20</v>
      </c>
      <c r="G20">
        <f t="shared" si="2"/>
        <v>46262.700181574241</v>
      </c>
      <c r="H20">
        <f t="shared" si="3"/>
        <v>61932.125794247644</v>
      </c>
    </row>
    <row r="21" spans="1:8" x14ac:dyDescent="0.35">
      <c r="A21">
        <v>21</v>
      </c>
      <c r="C21">
        <f t="shared" si="0"/>
        <v>47890.010725090506</v>
      </c>
      <c r="D21">
        <f t="shared" si="1"/>
        <v>32206.333915397154</v>
      </c>
      <c r="E21">
        <v>21</v>
      </c>
      <c r="G21">
        <f t="shared" si="2"/>
        <v>47948.559942517102</v>
      </c>
      <c r="H21">
        <f t="shared" si="3"/>
        <v>63632.781390257245</v>
      </c>
    </row>
    <row r="22" spans="1:8" x14ac:dyDescent="0.35">
      <c r="A22">
        <v>22</v>
      </c>
      <c r="C22">
        <f t="shared" si="0"/>
        <v>49577.065368021664</v>
      </c>
      <c r="D22">
        <f t="shared" si="1"/>
        <v>33876.809245300989</v>
      </c>
      <c r="E22">
        <v>22</v>
      </c>
      <c r="G22">
        <f t="shared" si="2"/>
        <v>49634.419703459957</v>
      </c>
      <c r="H22">
        <f t="shared" si="3"/>
        <v>65335.271697480333</v>
      </c>
    </row>
    <row r="23" spans="1:8" x14ac:dyDescent="0.35">
      <c r="A23">
        <v>23</v>
      </c>
      <c r="C23">
        <f t="shared" si="0"/>
        <v>51264.120010952822</v>
      </c>
      <c r="D23">
        <f t="shared" si="1"/>
        <v>35545.452885321749</v>
      </c>
      <c r="E23">
        <v>23</v>
      </c>
      <c r="G23">
        <f t="shared" si="2"/>
        <v>51320.279464402818</v>
      </c>
      <c r="H23">
        <f t="shared" si="3"/>
        <v>67039.590892714506</v>
      </c>
    </row>
    <row r="24" spans="1:8" x14ac:dyDescent="0.35">
      <c r="A24">
        <v>24</v>
      </c>
      <c r="C24">
        <f t="shared" si="0"/>
        <v>52951.17465388398</v>
      </c>
      <c r="D24">
        <f t="shared" si="1"/>
        <v>37212.271263462717</v>
      </c>
      <c r="E24">
        <v>24</v>
      </c>
      <c r="G24">
        <f t="shared" si="2"/>
        <v>53006.13922534568</v>
      </c>
      <c r="H24">
        <f t="shared" si="3"/>
        <v>68745.732541187812</v>
      </c>
    </row>
    <row r="25" spans="1:8" x14ac:dyDescent="0.35">
      <c r="A25">
        <v>25</v>
      </c>
      <c r="C25">
        <f t="shared" si="0"/>
        <v>54638.229296815145</v>
      </c>
      <c r="D25">
        <f t="shared" si="1"/>
        <v>38877.271410351357</v>
      </c>
      <c r="E25">
        <v>25</v>
      </c>
      <c r="G25">
        <f t="shared" si="2"/>
        <v>54691.998986288541</v>
      </c>
      <c r="H25">
        <f t="shared" si="3"/>
        <v>70453.689607592125</v>
      </c>
    </row>
    <row r="26" spans="1:8" x14ac:dyDescent="0.35">
      <c r="A26">
        <v>26</v>
      </c>
      <c r="C26">
        <f t="shared" si="0"/>
        <v>56325.283939746303</v>
      </c>
      <c r="D26">
        <f t="shared" si="1"/>
        <v>40540.46094726368</v>
      </c>
      <c r="E26">
        <v>26</v>
      </c>
      <c r="G26">
        <f t="shared" si="2"/>
        <v>56377.858747231403</v>
      </c>
      <c r="H26">
        <f t="shared" si="3"/>
        <v>72163.454468046373</v>
      </c>
    </row>
    <row r="27" spans="1:8" x14ac:dyDescent="0.35">
      <c r="A27">
        <v>27</v>
      </c>
      <c r="C27">
        <f t="shared" si="0"/>
        <v>58012.338582677461</v>
      </c>
      <c r="D27">
        <f t="shared" si="1"/>
        <v>42201.848073259891</v>
      </c>
      <c r="E27">
        <v>27</v>
      </c>
      <c r="G27">
        <f t="shared" si="2"/>
        <v>58063.718508174257</v>
      </c>
      <c r="H27">
        <f t="shared" si="3"/>
        <v>73875.018922943083</v>
      </c>
    </row>
    <row r="28" spans="1:8" x14ac:dyDescent="0.35">
      <c r="A28">
        <v>28</v>
      </c>
      <c r="C28">
        <f t="shared" si="0"/>
        <v>59699.393225608626</v>
      </c>
      <c r="D28">
        <f t="shared" si="1"/>
        <v>43861.441551480748</v>
      </c>
      <c r="E28">
        <v>28</v>
      </c>
      <c r="G28">
        <f t="shared" si="2"/>
        <v>59749.578269117119</v>
      </c>
      <c r="H28">
        <f t="shared" si="3"/>
        <v>75588.374210629248</v>
      </c>
    </row>
    <row r="29" spans="1:8" x14ac:dyDescent="0.35">
      <c r="A29">
        <v>29</v>
      </c>
      <c r="C29">
        <f t="shared" si="0"/>
        <v>61386.447868539784</v>
      </c>
      <c r="D29">
        <f t="shared" si="1"/>
        <v>45519.250694656512</v>
      </c>
      <c r="E29">
        <v>29</v>
      </c>
      <c r="G29">
        <f t="shared" si="2"/>
        <v>61435.438030059981</v>
      </c>
      <c r="H29">
        <f t="shared" si="3"/>
        <v>77303.511021869315</v>
      </c>
    </row>
    <row r="30" spans="1:8" x14ac:dyDescent="0.35">
      <c r="A30">
        <v>30</v>
      </c>
      <c r="C30">
        <f t="shared" si="0"/>
        <v>63073.502511470942</v>
      </c>
      <c r="D30">
        <f t="shared" si="1"/>
        <v>47175.285349882659</v>
      </c>
      <c r="E30">
        <v>30</v>
      </c>
      <c r="G30">
        <f t="shared" si="2"/>
        <v>63121.297791002842</v>
      </c>
      <c r="H30">
        <f t="shared" si="3"/>
        <v>79020.419515036876</v>
      </c>
    </row>
    <row r="31" spans="1:8" x14ac:dyDescent="0.35">
      <c r="A31">
        <v>31</v>
      </c>
      <c r="C31">
        <f t="shared" si="0"/>
        <v>64760.5571544021</v>
      </c>
      <c r="D31">
        <f t="shared" si="1"/>
        <v>48829.555882717905</v>
      </c>
      <c r="E31">
        <v>31</v>
      </c>
      <c r="G31">
        <f t="shared" si="2"/>
        <v>64807.157551945696</v>
      </c>
      <c r="H31">
        <f t="shared" si="3"/>
        <v>80739.089331979427</v>
      </c>
    </row>
    <row r="32" spans="1:8" x14ac:dyDescent="0.35">
      <c r="A32">
        <v>32</v>
      </c>
      <c r="C32">
        <f t="shared" si="0"/>
        <v>66447.611797333258</v>
      </c>
      <c r="D32">
        <f t="shared" si="1"/>
        <v>50482.073160662127</v>
      </c>
      <c r="E32">
        <v>32</v>
      </c>
      <c r="G32">
        <f t="shared" si="2"/>
        <v>66493.017312888565</v>
      </c>
      <c r="H32">
        <f t="shared" si="3"/>
        <v>82459.509614498878</v>
      </c>
    </row>
    <row r="33" spans="1:8" x14ac:dyDescent="0.35">
      <c r="A33">
        <v>33</v>
      </c>
      <c r="C33">
        <f t="shared" ref="C33:C64" si="4">14148.9178664673+(A33-1)*1687.05464293116</f>
        <v>68134.666440264424</v>
      </c>
      <c r="D33">
        <f t="shared" ref="D33:D64" si="5">0+1*C33-15539.8525206035*(1.01+(C33-33632.6)^2/23647376075.6276)^0.5</f>
        <v>52132.848536072226</v>
      </c>
      <c r="E33">
        <v>33</v>
      </c>
      <c r="G33">
        <f t="shared" ref="G33:G64" si="6">14231.3647236599+(E33-1)*1685.85976094286</f>
        <v>68178.87707383142</v>
      </c>
      <c r="H33">
        <f t="shared" ref="H33:H64" si="7">0+1*G33+15539.8525206035*(1.01+(G33-33632.6)^2/23647376075.6276)^0.5</f>
        <v>84181.669021390102</v>
      </c>
    </row>
    <row r="34" spans="1:8" x14ac:dyDescent="0.35">
      <c r="A34">
        <v>34</v>
      </c>
      <c r="C34">
        <f t="shared" si="4"/>
        <v>69821.721083195574</v>
      </c>
      <c r="D34">
        <f t="shared" si="5"/>
        <v>53781.893828575121</v>
      </c>
      <c r="E34">
        <v>34</v>
      </c>
      <c r="G34">
        <f t="shared" si="6"/>
        <v>69864.736834774289</v>
      </c>
      <c r="H34">
        <f t="shared" si="7"/>
        <v>85905.555745978665</v>
      </c>
    </row>
    <row r="35" spans="1:8" x14ac:dyDescent="0.35">
      <c r="A35">
        <v>35</v>
      </c>
      <c r="C35">
        <f t="shared" si="4"/>
        <v>71508.77572612674</v>
      </c>
      <c r="D35">
        <f t="shared" si="5"/>
        <v>55429.221307037376</v>
      </c>
      <c r="E35">
        <v>35</v>
      </c>
      <c r="G35">
        <f t="shared" si="6"/>
        <v>71550.596595717143</v>
      </c>
      <c r="H35">
        <f t="shared" si="7"/>
        <v>87631.157534098296</v>
      </c>
    </row>
    <row r="36" spans="1:8" x14ac:dyDescent="0.35">
      <c r="A36">
        <v>36</v>
      </c>
      <c r="C36">
        <f t="shared" si="4"/>
        <v>73195.830369057905</v>
      </c>
      <c r="D36">
        <f t="shared" si="5"/>
        <v>57074.843671150746</v>
      </c>
      <c r="E36">
        <v>36</v>
      </c>
      <c r="G36">
        <f t="shared" si="6"/>
        <v>73236.456356659997</v>
      </c>
      <c r="H36">
        <f t="shared" si="7"/>
        <v>89358.461702449422</v>
      </c>
    </row>
    <row r="37" spans="1:8" x14ac:dyDescent="0.35">
      <c r="A37">
        <v>37</v>
      </c>
      <c r="C37">
        <f t="shared" si="4"/>
        <v>74882.885011989056</v>
      </c>
      <c r="D37">
        <f t="shared" si="5"/>
        <v>58718.774032693138</v>
      </c>
      <c r="E37">
        <v>37</v>
      </c>
      <c r="G37">
        <f t="shared" si="6"/>
        <v>74922.316117602866</v>
      </c>
      <c r="H37">
        <f t="shared" si="7"/>
        <v>91087.455157279299</v>
      </c>
    </row>
    <row r="38" spans="1:8" x14ac:dyDescent="0.35">
      <c r="A38">
        <v>38</v>
      </c>
      <c r="C38">
        <f t="shared" si="4"/>
        <v>76569.939654920221</v>
      </c>
      <c r="D38">
        <f t="shared" si="5"/>
        <v>60361.025896523512</v>
      </c>
      <c r="E38">
        <v>38</v>
      </c>
      <c r="G38">
        <f t="shared" si="6"/>
        <v>76608.17587854572</v>
      </c>
      <c r="H38">
        <f t="shared" si="7"/>
        <v>92818.124413325655</v>
      </c>
    </row>
    <row r="39" spans="1:8" x14ac:dyDescent="0.35">
      <c r="A39">
        <v>39</v>
      </c>
      <c r="C39">
        <f t="shared" si="4"/>
        <v>78256.994297851386</v>
      </c>
      <c r="D39">
        <f t="shared" si="5"/>
        <v>62001.61314136842</v>
      </c>
      <c r="E39">
        <v>39</v>
      </c>
      <c r="G39">
        <f t="shared" si="6"/>
        <v>78294.035639488589</v>
      </c>
      <c r="H39">
        <f t="shared" si="7"/>
        <v>94550.455612966529</v>
      </c>
    </row>
    <row r="40" spans="1:8" x14ac:dyDescent="0.35">
      <c r="A40">
        <v>40</v>
      </c>
      <c r="C40">
        <f t="shared" si="4"/>
        <v>79944.048940782537</v>
      </c>
      <c r="D40">
        <f t="shared" si="5"/>
        <v>63640.550000457093</v>
      </c>
      <c r="E40">
        <v>40</v>
      </c>
      <c r="G40">
        <f t="shared" si="6"/>
        <v>79979.895400431444</v>
      </c>
      <c r="H40">
        <f t="shared" si="7"/>
        <v>96284.434545519412</v>
      </c>
    </row>
    <row r="41" spans="1:8" x14ac:dyDescent="0.35">
      <c r="A41">
        <v>41</v>
      </c>
      <c r="C41">
        <f t="shared" si="4"/>
        <v>81631.103583713702</v>
      </c>
      <c r="D41">
        <f t="shared" si="5"/>
        <v>65277.851042060218</v>
      </c>
      <c r="E41">
        <v>41</v>
      </c>
      <c r="G41">
        <f t="shared" si="6"/>
        <v>81665.755161374313</v>
      </c>
      <c r="H41">
        <f t="shared" si="7"/>
        <v>98020.046666635375</v>
      </c>
    </row>
    <row r="42" spans="1:8" x14ac:dyDescent="0.35">
      <c r="A42">
        <v>42</v>
      </c>
      <c r="C42">
        <f t="shared" si="4"/>
        <v>83318.158226644853</v>
      </c>
      <c r="D42">
        <f t="shared" si="5"/>
        <v>66913.531149985909</v>
      </c>
      <c r="E42">
        <v>42</v>
      </c>
      <c r="G42">
        <f t="shared" si="6"/>
        <v>83351.614922317167</v>
      </c>
      <c r="H42">
        <f t="shared" si="7"/>
        <v>99757.277117734266</v>
      </c>
    </row>
    <row r="43" spans="1:8" x14ac:dyDescent="0.35">
      <c r="A43">
        <v>43</v>
      </c>
      <c r="C43">
        <f t="shared" si="4"/>
        <v>85005.212869576018</v>
      </c>
      <c r="D43">
        <f t="shared" si="5"/>
        <v>68547.605504085164</v>
      </c>
      <c r="E43">
        <v>43</v>
      </c>
      <c r="G43">
        <f t="shared" si="6"/>
        <v>85037.474683260021</v>
      </c>
      <c r="H43">
        <f t="shared" si="7"/>
        <v>101496.11074542983</v>
      </c>
    </row>
    <row r="44" spans="1:8" x14ac:dyDescent="0.35">
      <c r="A44">
        <v>44</v>
      </c>
      <c r="C44">
        <f t="shared" si="4"/>
        <v>86692.267512507184</v>
      </c>
      <c r="D44">
        <f t="shared" si="5"/>
        <v>70180.089560815948</v>
      </c>
      <c r="E44">
        <v>44</v>
      </c>
      <c r="G44">
        <f t="shared" si="6"/>
        <v>86723.33444420289</v>
      </c>
      <c r="H44">
        <f t="shared" si="7"/>
        <v>103236.53212089502</v>
      </c>
    </row>
    <row r="45" spans="1:8" x14ac:dyDescent="0.35">
      <c r="A45">
        <v>45</v>
      </c>
      <c r="C45">
        <f t="shared" si="4"/>
        <v>88379.322155438334</v>
      </c>
      <c r="D45">
        <f t="shared" si="5"/>
        <v>71810.999033914239</v>
      </c>
      <c r="E45">
        <v>45</v>
      </c>
      <c r="G45">
        <f t="shared" si="6"/>
        <v>88409.194205145744</v>
      </c>
      <c r="H45">
        <f t="shared" si="7"/>
        <v>104978.52555912014</v>
      </c>
    </row>
    <row r="46" spans="1:8" x14ac:dyDescent="0.35">
      <c r="A46">
        <v>46</v>
      </c>
      <c r="C46">
        <f t="shared" si="4"/>
        <v>90066.3767983695</v>
      </c>
      <c r="D46">
        <f t="shared" si="5"/>
        <v>73440.349875216954</v>
      </c>
      <c r="E46">
        <v>46</v>
      </c>
      <c r="G46">
        <f t="shared" si="6"/>
        <v>90095.053966088613</v>
      </c>
      <c r="H46">
        <f t="shared" si="7"/>
        <v>106722.07513801905</v>
      </c>
    </row>
    <row r="47" spans="1:8" x14ac:dyDescent="0.35">
      <c r="A47">
        <v>47</v>
      </c>
      <c r="C47">
        <f t="shared" si="4"/>
        <v>91753.43144130065</v>
      </c>
      <c r="D47">
        <f t="shared" si="5"/>
        <v>75068.158255679489</v>
      </c>
      <c r="E47">
        <v>47</v>
      </c>
      <c r="G47">
        <f t="shared" si="6"/>
        <v>91780.913727031468</v>
      </c>
      <c r="H47">
        <f t="shared" si="7"/>
        <v>108467.16471734029</v>
      </c>
    </row>
    <row r="48" spans="1:8" x14ac:dyDescent="0.35">
      <c r="A48">
        <v>48</v>
      </c>
      <c r="C48">
        <f t="shared" si="4"/>
        <v>93440.486084231816</v>
      </c>
      <c r="D48">
        <f t="shared" si="5"/>
        <v>76694.440546628728</v>
      </c>
      <c r="E48">
        <v>48</v>
      </c>
      <c r="G48">
        <f t="shared" si="6"/>
        <v>93466.773487974322</v>
      </c>
      <c r="H48">
        <f t="shared" si="7"/>
        <v>110213.77795734364</v>
      </c>
    </row>
    <row r="49" spans="1:8" x14ac:dyDescent="0.35">
      <c r="A49">
        <v>49</v>
      </c>
      <c r="C49">
        <f t="shared" si="4"/>
        <v>95127.540727162981</v>
      </c>
      <c r="D49">
        <f t="shared" si="5"/>
        <v>78319.21330128875</v>
      </c>
      <c r="E49">
        <v>49</v>
      </c>
      <c r="G49">
        <f t="shared" si="6"/>
        <v>95152.633248917191</v>
      </c>
      <c r="H49">
        <f t="shared" si="7"/>
        <v>111961.89833720421</v>
      </c>
    </row>
    <row r="50" spans="1:8" x14ac:dyDescent="0.35">
      <c r="A50">
        <v>50</v>
      </c>
      <c r="C50">
        <f t="shared" si="4"/>
        <v>96814.595370094132</v>
      </c>
      <c r="D50">
        <f t="shared" si="5"/>
        <v>79942.493236614522</v>
      </c>
      <c r="E50">
        <v>50</v>
      </c>
      <c r="G50">
        <f t="shared" si="6"/>
        <v>96838.493009860045</v>
      </c>
      <c r="H50">
        <f t="shared" si="7"/>
        <v>113711.50917310925</v>
      </c>
    </row>
    <row r="51" spans="1:8" x14ac:dyDescent="0.35">
      <c r="A51">
        <v>51</v>
      </c>
      <c r="C51">
        <f t="shared" si="4"/>
        <v>98501.650013025297</v>
      </c>
      <c r="D51">
        <f t="shared" si="5"/>
        <v>81564.297215465966</v>
      </c>
      <c r="E51">
        <v>51</v>
      </c>
      <c r="G51">
        <f t="shared" si="6"/>
        <v>98524.352770802914</v>
      </c>
      <c r="H51">
        <f t="shared" si="7"/>
        <v>115462.59363601582</v>
      </c>
    </row>
    <row r="52" spans="1:8" x14ac:dyDescent="0.35">
      <c r="A52">
        <v>52</v>
      </c>
      <c r="C52">
        <f t="shared" si="4"/>
        <v>100188.70465595646</v>
      </c>
      <c r="D52">
        <f t="shared" si="5"/>
        <v>83184.642229151912</v>
      </c>
      <c r="E52">
        <v>52</v>
      </c>
      <c r="G52">
        <f t="shared" si="6"/>
        <v>100210.21253174577</v>
      </c>
      <c r="H52">
        <f t="shared" si="7"/>
        <v>117215.13476903939</v>
      </c>
    </row>
    <row r="53" spans="1:8" x14ac:dyDescent="0.35">
      <c r="A53">
        <v>53</v>
      </c>
      <c r="C53">
        <f t="shared" si="4"/>
        <v>101875.75929888761</v>
      </c>
      <c r="D53">
        <f t="shared" si="5"/>
        <v>84803.545380370953</v>
      </c>
      <c r="E53">
        <v>53</v>
      </c>
      <c r="G53">
        <f t="shared" si="6"/>
        <v>101896.07229268862</v>
      </c>
      <c r="H53">
        <f t="shared" si="7"/>
        <v>118969.11550444711</v>
      </c>
    </row>
    <row r="54" spans="1:8" x14ac:dyDescent="0.35">
      <c r="A54">
        <v>54</v>
      </c>
      <c r="C54">
        <f t="shared" si="4"/>
        <v>103562.81394181878</v>
      </c>
      <c r="D54">
        <f t="shared" si="5"/>
        <v>86421.023866573611</v>
      </c>
      <c r="E54">
        <v>54</v>
      </c>
      <c r="G54">
        <f t="shared" si="6"/>
        <v>103581.93205363149</v>
      </c>
      <c r="H54">
        <f t="shared" si="7"/>
        <v>120724.51868023127</v>
      </c>
    </row>
    <row r="55" spans="1:8" x14ac:dyDescent="0.35">
      <c r="A55">
        <v>55</v>
      </c>
      <c r="C55">
        <f t="shared" si="4"/>
        <v>105249.86858474994</v>
      </c>
      <c r="D55">
        <f t="shared" si="5"/>
        <v>88037.094963767027</v>
      </c>
      <c r="E55">
        <v>55</v>
      </c>
      <c r="G55">
        <f t="shared" si="6"/>
        <v>105267.79181457435</v>
      </c>
      <c r="H55">
        <f t="shared" si="7"/>
        <v>122481.3270562415</v>
      </c>
    </row>
    <row r="56" spans="1:8" x14ac:dyDescent="0.35">
      <c r="A56">
        <v>56</v>
      </c>
      <c r="C56">
        <f t="shared" si="4"/>
        <v>106936.92322768109</v>
      </c>
      <c r="D56">
        <f t="shared" si="5"/>
        <v>89651.776010781585</v>
      </c>
      <c r="E56">
        <v>56</v>
      </c>
      <c r="G56">
        <f t="shared" si="6"/>
        <v>106953.6515755172</v>
      </c>
      <c r="H56">
        <f t="shared" si="7"/>
        <v>124239.52332985727</v>
      </c>
    </row>
    <row r="57" spans="1:8" x14ac:dyDescent="0.35">
      <c r="A57">
        <v>57</v>
      </c>
      <c r="C57">
        <f t="shared" si="4"/>
        <v>108623.97787061226</v>
      </c>
      <c r="D57">
        <f t="shared" si="5"/>
        <v>91265.08439401575</v>
      </c>
      <c r="E57">
        <v>57</v>
      </c>
      <c r="G57">
        <f t="shared" si="6"/>
        <v>108639.51133646007</v>
      </c>
      <c r="H57">
        <f t="shared" si="7"/>
        <v>125999.0901511837</v>
      </c>
    </row>
    <row r="58" spans="1:8" x14ac:dyDescent="0.35">
      <c r="A58">
        <v>58</v>
      </c>
      <c r="C58">
        <f t="shared" si="4"/>
        <v>110311.03251354343</v>
      </c>
      <c r="D58">
        <f t="shared" si="5"/>
        <v>92877.037532673072</v>
      </c>
      <c r="E58">
        <v>58</v>
      </c>
      <c r="G58">
        <f t="shared" si="6"/>
        <v>110325.37109740292</v>
      </c>
      <c r="H58">
        <f t="shared" si="7"/>
        <v>127760.01013775723</v>
      </c>
    </row>
    <row r="59" spans="1:8" x14ac:dyDescent="0.35">
      <c r="A59">
        <v>59</v>
      </c>
      <c r="C59">
        <f t="shared" si="4"/>
        <v>111998.08715647458</v>
      </c>
      <c r="D59">
        <f t="shared" si="5"/>
        <v>94487.652864503048</v>
      </c>
      <c r="E59">
        <v>59</v>
      </c>
      <c r="G59">
        <f t="shared" si="6"/>
        <v>112011.23085834579</v>
      </c>
      <c r="H59">
        <f t="shared" si="7"/>
        <v>129522.26588874952</v>
      </c>
    </row>
    <row r="60" spans="1:8" x14ac:dyDescent="0.35">
      <c r="A60">
        <v>60</v>
      </c>
      <c r="C60">
        <f t="shared" si="4"/>
        <v>113685.14179940574</v>
      </c>
      <c r="D60">
        <f t="shared" si="5"/>
        <v>96096.947832055244</v>
      </c>
      <c r="E60">
        <v>60</v>
      </c>
      <c r="G60">
        <f t="shared" si="6"/>
        <v>113697.09061928865</v>
      </c>
      <c r="H60">
        <f t="shared" si="7"/>
        <v>131285.83999866017</v>
      </c>
    </row>
    <row r="61" spans="1:8" x14ac:dyDescent="0.35">
      <c r="A61">
        <v>61</v>
      </c>
      <c r="C61">
        <f t="shared" si="4"/>
        <v>115372.19644233689</v>
      </c>
      <c r="D61">
        <f t="shared" si="5"/>
        <v>97704.939869453607</v>
      </c>
      <c r="E61">
        <v>61</v>
      </c>
      <c r="G61">
        <f t="shared" si="6"/>
        <v>115382.9503802315</v>
      </c>
      <c r="H61">
        <f t="shared" si="7"/>
        <v>133050.71507049134</v>
      </c>
    </row>
    <row r="62" spans="1:8" x14ac:dyDescent="0.35">
      <c r="A62">
        <v>62</v>
      </c>
      <c r="C62">
        <f t="shared" si="4"/>
        <v>117059.25108526806</v>
      </c>
      <c r="D62">
        <f t="shared" si="5"/>
        <v>99311.646389696223</v>
      </c>
      <c r="E62">
        <v>62</v>
      </c>
      <c r="G62">
        <f t="shared" si="6"/>
        <v>117068.81014117437</v>
      </c>
      <c r="H62">
        <f t="shared" si="7"/>
        <v>134816.87372839925</v>
      </c>
    </row>
    <row r="63" spans="1:8" x14ac:dyDescent="0.35">
      <c r="A63">
        <v>63</v>
      </c>
      <c r="C63">
        <f t="shared" si="4"/>
        <v>118746.30572819922</v>
      </c>
      <c r="D63">
        <f t="shared" si="5"/>
        <v>100917.08477248353</v>
      </c>
      <c r="E63">
        <v>63</v>
      </c>
      <c r="G63">
        <f t="shared" si="6"/>
        <v>118754.66990211722</v>
      </c>
      <c r="H63">
        <f t="shared" si="7"/>
        <v>136584.29862981927</v>
      </c>
    </row>
    <row r="64" spans="1:8" x14ac:dyDescent="0.35">
      <c r="A64">
        <v>64</v>
      </c>
      <c r="C64">
        <f t="shared" si="4"/>
        <v>120433.36037113037</v>
      </c>
      <c r="D64">
        <f t="shared" si="5"/>
        <v>102521.27235257621</v>
      </c>
      <c r="E64">
        <v>64</v>
      </c>
      <c r="G64">
        <f t="shared" si="6"/>
        <v>120440.52966306009</v>
      </c>
      <c r="H64">
        <f t="shared" si="7"/>
        <v>138352.9724770638</v>
      </c>
    </row>
    <row r="65" spans="1:8" x14ac:dyDescent="0.35">
      <c r="A65">
        <v>65</v>
      </c>
      <c r="C65">
        <f t="shared" ref="C65:C70" si="8">14148.9178664673+(A65-1)*1687.05464293116</f>
        <v>122120.41501406154</v>
      </c>
      <c r="D65">
        <f t="shared" ref="D65:D70" si="9">0+1*C65-15539.8525206035*(1.01+(C65-33632.6)^2/23647376075.6276)^0.5</f>
        <v>104124.22640868224</v>
      </c>
      <c r="E65">
        <v>65</v>
      </c>
      <c r="G65">
        <f t="shared" ref="G65:G70" si="10">14231.3647236599+(E65-1)*1685.85976094286</f>
        <v>122126.38942400295</v>
      </c>
      <c r="H65">
        <f t="shared" ref="H65:H70" si="11">0+1*G65+15539.8525206035*(1.01+(G65-33632.6)^2/23647376075.6276)^0.5</f>
        <v>140122.87802839308</v>
      </c>
    </row>
    <row r="66" spans="1:8" x14ac:dyDescent="0.35">
      <c r="A66">
        <v>66</v>
      </c>
      <c r="C66">
        <f t="shared" si="8"/>
        <v>123807.4696569927</v>
      </c>
      <c r="D66">
        <f t="shared" si="9"/>
        <v>105725.9641528709</v>
      </c>
      <c r="E66">
        <v>66</v>
      </c>
      <c r="G66">
        <f t="shared" si="10"/>
        <v>123812.2491849458</v>
      </c>
      <c r="H66">
        <f t="shared" si="11"/>
        <v>141893.99810856127</v>
      </c>
    </row>
    <row r="67" spans="1:8" x14ac:dyDescent="0.35">
      <c r="A67">
        <v>67</v>
      </c>
      <c r="C67">
        <f t="shared" si="8"/>
        <v>125494.52429992385</v>
      </c>
      <c r="D67">
        <f t="shared" si="9"/>
        <v>107326.50272051012</v>
      </c>
      <c r="E67">
        <v>67</v>
      </c>
      <c r="G67">
        <f t="shared" si="10"/>
        <v>125498.10894588867</v>
      </c>
      <c r="H67">
        <f t="shared" si="11"/>
        <v>143666.31561884156</v>
      </c>
    </row>
    <row r="68" spans="1:8" x14ac:dyDescent="0.35">
      <c r="A68">
        <v>68</v>
      </c>
      <c r="C68">
        <f t="shared" si="8"/>
        <v>127181.57894285502</v>
      </c>
      <c r="D68">
        <f t="shared" si="9"/>
        <v>108925.85916072232</v>
      </c>
      <c r="E68">
        <v>68</v>
      </c>
      <c r="G68">
        <f t="shared" si="10"/>
        <v>127183.96870683153</v>
      </c>
      <c r="H68">
        <f t="shared" si="11"/>
        <v>145439.81354653495</v>
      </c>
    </row>
    <row r="69" spans="1:8" x14ac:dyDescent="0.35">
      <c r="A69">
        <v>69</v>
      </c>
      <c r="C69">
        <f t="shared" si="8"/>
        <v>128868.63358578618</v>
      </c>
      <c r="D69">
        <f t="shared" si="9"/>
        <v>110524.05042735189</v>
      </c>
      <c r="E69">
        <v>69</v>
      </c>
      <c r="G69">
        <f t="shared" si="10"/>
        <v>128869.82846777439</v>
      </c>
      <c r="H69">
        <f t="shared" si="11"/>
        <v>147214.47497396951</v>
      </c>
    </row>
    <row r="70" spans="1:8" x14ac:dyDescent="0.35">
      <c r="A70">
        <v>70</v>
      </c>
      <c r="C70">
        <f t="shared" si="8"/>
        <v>130555.68822871734</v>
      </c>
      <c r="D70">
        <f t="shared" si="9"/>
        <v>112121.09337043735</v>
      </c>
      <c r="E70">
        <v>70</v>
      </c>
      <c r="G70">
        <f t="shared" si="10"/>
        <v>130555.68822871725</v>
      </c>
      <c r="H70">
        <f t="shared" si="11"/>
        <v>148990.28308699722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3:E48"/>
  <sheetViews>
    <sheetView tabSelected="1" workbookViewId="0"/>
  </sheetViews>
  <sheetFormatPr defaultRowHeight="14.5" x14ac:dyDescent="0.35"/>
  <cols>
    <col min="2" max="2" width="73.6640625" customWidth="1"/>
    <col min="3" max="3" width="8" customWidth="1"/>
    <col min="4" max="4" width="13.6640625" customWidth="1"/>
    <col min="5" max="5" width="63.4140625" customWidth="1"/>
  </cols>
  <sheetData>
    <row r="3" spans="2:5" ht="18.5" x14ac:dyDescent="0.45">
      <c r="B3" s="90" t="s">
        <v>341</v>
      </c>
      <c r="C3" s="90" t="s">
        <v>342</v>
      </c>
      <c r="D3" s="90" t="s">
        <v>343</v>
      </c>
      <c r="E3" s="90" t="s">
        <v>344</v>
      </c>
    </row>
    <row r="4" spans="2:5" ht="15.5" x14ac:dyDescent="0.35">
      <c r="B4" t="s">
        <v>346</v>
      </c>
      <c r="C4">
        <v>0</v>
      </c>
      <c r="D4">
        <v>0.25</v>
      </c>
      <c r="E4" s="21" t="s">
        <v>345</v>
      </c>
    </row>
    <row r="5" spans="2:5" ht="15.5" x14ac:dyDescent="0.35">
      <c r="B5" t="s">
        <v>347</v>
      </c>
      <c r="C5">
        <v>0.25</v>
      </c>
      <c r="D5">
        <v>0.25</v>
      </c>
    </row>
    <row r="6" spans="2:5" ht="15.5" x14ac:dyDescent="0.35">
      <c r="B6" t="s">
        <v>348</v>
      </c>
      <c r="C6">
        <v>0.25</v>
      </c>
      <c r="D6">
        <v>0.25</v>
      </c>
    </row>
    <row r="7" spans="2:5" ht="15.5" x14ac:dyDescent="0.35">
      <c r="B7" t="s">
        <v>350</v>
      </c>
      <c r="C7">
        <v>0</v>
      </c>
      <c r="D7">
        <v>0.25</v>
      </c>
      <c r="E7" s="21" t="s">
        <v>349</v>
      </c>
    </row>
    <row r="8" spans="2:5" ht="15.5" x14ac:dyDescent="0.35">
      <c r="B8" t="s">
        <v>351</v>
      </c>
      <c r="C8">
        <v>0.25</v>
      </c>
      <c r="D8">
        <v>0.25</v>
      </c>
    </row>
    <row r="9" spans="2:5" ht="15.5" x14ac:dyDescent="0.35">
      <c r="B9" t="s">
        <v>352</v>
      </c>
      <c r="C9">
        <v>0.25</v>
      </c>
      <c r="D9">
        <v>0.25</v>
      </c>
    </row>
    <row r="10" spans="2:5" ht="15.5" x14ac:dyDescent="0.35">
      <c r="B10" t="s">
        <v>354</v>
      </c>
      <c r="C10">
        <v>0</v>
      </c>
      <c r="D10">
        <v>0.5</v>
      </c>
      <c r="E10" s="21" t="s">
        <v>353</v>
      </c>
    </row>
    <row r="11" spans="2:5" ht="15.5" x14ac:dyDescent="0.35">
      <c r="B11" t="s">
        <v>354</v>
      </c>
      <c r="C11">
        <v>0</v>
      </c>
      <c r="D11">
        <v>0.25</v>
      </c>
      <c r="E11" s="21" t="s">
        <v>353</v>
      </c>
    </row>
    <row r="12" spans="2:5" ht="15.5" x14ac:dyDescent="0.35">
      <c r="B12" t="s">
        <v>356</v>
      </c>
      <c r="C12">
        <v>0</v>
      </c>
      <c r="D12">
        <v>0.5</v>
      </c>
      <c r="E12" s="21" t="s">
        <v>355</v>
      </c>
    </row>
    <row r="13" spans="2:5" ht="15.5" x14ac:dyDescent="0.35">
      <c r="B13" t="s">
        <v>357</v>
      </c>
      <c r="C13">
        <v>0</v>
      </c>
      <c r="D13">
        <v>0.5</v>
      </c>
      <c r="E13" s="21" t="s">
        <v>355</v>
      </c>
    </row>
    <row r="14" spans="2:5" ht="15.5" x14ac:dyDescent="0.35">
      <c r="B14" t="s">
        <v>358</v>
      </c>
      <c r="C14">
        <v>0</v>
      </c>
      <c r="D14">
        <v>0.25</v>
      </c>
      <c r="E14" s="21" t="s">
        <v>349</v>
      </c>
    </row>
    <row r="15" spans="2:5" ht="15.5" x14ac:dyDescent="0.35">
      <c r="B15" t="s">
        <v>359</v>
      </c>
      <c r="C15">
        <v>0.125</v>
      </c>
      <c r="D15">
        <v>0.125</v>
      </c>
    </row>
    <row r="16" spans="2:5" ht="15.5" x14ac:dyDescent="0.35">
      <c r="B16" t="s">
        <v>360</v>
      </c>
      <c r="C16">
        <v>0.125</v>
      </c>
      <c r="D16">
        <v>0.125</v>
      </c>
    </row>
    <row r="17" spans="2:5" ht="15.5" x14ac:dyDescent="0.35">
      <c r="B17" t="s">
        <v>361</v>
      </c>
      <c r="C17">
        <v>0</v>
      </c>
      <c r="D17">
        <v>0.25</v>
      </c>
      <c r="E17" s="21" t="s">
        <v>349</v>
      </c>
    </row>
    <row r="18" spans="2:5" ht="15.5" x14ac:dyDescent="0.35">
      <c r="B18" t="s">
        <v>362</v>
      </c>
      <c r="C18">
        <v>0.25</v>
      </c>
      <c r="D18">
        <v>0.25</v>
      </c>
    </row>
    <row r="19" spans="2:5" ht="15.5" x14ac:dyDescent="0.35">
      <c r="B19" t="s">
        <v>363</v>
      </c>
      <c r="C19">
        <v>0.25</v>
      </c>
      <c r="D19">
        <v>0.25</v>
      </c>
    </row>
    <row r="20" spans="2:5" ht="15.5" x14ac:dyDescent="0.35">
      <c r="B20" t="s">
        <v>364</v>
      </c>
      <c r="C20">
        <v>0</v>
      </c>
      <c r="D20">
        <v>0.25</v>
      </c>
      <c r="E20" s="21" t="s">
        <v>353</v>
      </c>
    </row>
    <row r="21" spans="2:5" ht="15.5" x14ac:dyDescent="0.35">
      <c r="B21" t="s">
        <v>364</v>
      </c>
      <c r="C21">
        <v>0</v>
      </c>
      <c r="D21">
        <v>0.25</v>
      </c>
      <c r="E21" s="21" t="s">
        <v>353</v>
      </c>
    </row>
    <row r="22" spans="2:5" ht="15.5" x14ac:dyDescent="0.35">
      <c r="B22" t="s">
        <v>365</v>
      </c>
      <c r="C22">
        <v>0</v>
      </c>
      <c r="D22">
        <v>0.5</v>
      </c>
      <c r="E22" s="21" t="s">
        <v>355</v>
      </c>
    </row>
    <row r="23" spans="2:5" ht="15.5" x14ac:dyDescent="0.35">
      <c r="B23" t="s">
        <v>366</v>
      </c>
      <c r="C23">
        <v>0</v>
      </c>
      <c r="D23">
        <v>0.25</v>
      </c>
      <c r="E23" s="21" t="s">
        <v>349</v>
      </c>
    </row>
    <row r="24" spans="2:5" ht="15.5" x14ac:dyDescent="0.35">
      <c r="B24" t="s">
        <v>367</v>
      </c>
      <c r="C24">
        <v>0.25</v>
      </c>
      <c r="D24">
        <v>0.25</v>
      </c>
    </row>
    <row r="25" spans="2:5" ht="15.5" x14ac:dyDescent="0.35">
      <c r="B25" t="s">
        <v>368</v>
      </c>
      <c r="C25">
        <v>0.25</v>
      </c>
      <c r="D25">
        <v>0.25</v>
      </c>
    </row>
    <row r="26" spans="2:5" ht="15.5" x14ac:dyDescent="0.35">
      <c r="B26" t="s">
        <v>369</v>
      </c>
      <c r="C26">
        <v>0</v>
      </c>
      <c r="D26">
        <v>0.125</v>
      </c>
      <c r="E26" s="21" t="s">
        <v>349</v>
      </c>
    </row>
    <row r="27" spans="2:5" ht="15.5" x14ac:dyDescent="0.35">
      <c r="B27" t="s">
        <v>370</v>
      </c>
      <c r="C27">
        <v>0.125</v>
      </c>
      <c r="D27">
        <v>0.125</v>
      </c>
    </row>
    <row r="28" spans="2:5" ht="15.5" x14ac:dyDescent="0.35">
      <c r="B28" t="s">
        <v>371</v>
      </c>
      <c r="C28">
        <v>0</v>
      </c>
      <c r="D28">
        <v>0.125</v>
      </c>
      <c r="E28" s="21" t="s">
        <v>349</v>
      </c>
    </row>
    <row r="29" spans="2:5" ht="15.5" x14ac:dyDescent="0.35">
      <c r="B29" t="s">
        <v>372</v>
      </c>
      <c r="C29">
        <v>0</v>
      </c>
      <c r="D29">
        <v>0.25</v>
      </c>
      <c r="E29" s="21" t="s">
        <v>353</v>
      </c>
    </row>
    <row r="30" spans="2:5" ht="15.5" x14ac:dyDescent="0.35">
      <c r="B30" t="s">
        <v>372</v>
      </c>
      <c r="C30">
        <v>0</v>
      </c>
      <c r="D30">
        <v>0.25</v>
      </c>
      <c r="E30" s="21" t="s">
        <v>353</v>
      </c>
    </row>
    <row r="31" spans="2:5" ht="15.5" x14ac:dyDescent="0.35">
      <c r="B31" t="s">
        <v>373</v>
      </c>
      <c r="C31">
        <v>0.125</v>
      </c>
      <c r="D31">
        <v>0.125</v>
      </c>
    </row>
    <row r="32" spans="2:5" ht="15.5" x14ac:dyDescent="0.35">
      <c r="B32" t="s">
        <v>374</v>
      </c>
      <c r="C32">
        <v>0</v>
      </c>
      <c r="D32">
        <v>0.25</v>
      </c>
      <c r="E32" s="21" t="s">
        <v>349</v>
      </c>
    </row>
    <row r="33" spans="2:5" ht="15.5" x14ac:dyDescent="0.35">
      <c r="B33" t="s">
        <v>375</v>
      </c>
      <c r="C33">
        <v>0.25</v>
      </c>
      <c r="D33">
        <v>0.25</v>
      </c>
    </row>
    <row r="34" spans="2:5" ht="15.5" x14ac:dyDescent="0.35">
      <c r="B34" t="s">
        <v>376</v>
      </c>
      <c r="C34">
        <v>0.25</v>
      </c>
      <c r="D34">
        <v>0.25</v>
      </c>
    </row>
    <row r="35" spans="2:5" ht="15.5" x14ac:dyDescent="0.35">
      <c r="B35" t="s">
        <v>377</v>
      </c>
      <c r="C35">
        <v>0</v>
      </c>
      <c r="D35">
        <v>0.25</v>
      </c>
      <c r="E35" s="21" t="s">
        <v>349</v>
      </c>
    </row>
    <row r="36" spans="2:5" ht="15.5" x14ac:dyDescent="0.35">
      <c r="B36" t="s">
        <v>378</v>
      </c>
      <c r="C36">
        <v>0.25</v>
      </c>
      <c r="D36">
        <v>0.25</v>
      </c>
    </row>
    <row r="37" spans="2:5" ht="15.5" x14ac:dyDescent="0.35">
      <c r="B37" t="s">
        <v>379</v>
      </c>
      <c r="C37">
        <v>0.25</v>
      </c>
      <c r="D37">
        <v>0.25</v>
      </c>
    </row>
    <row r="38" spans="2:5" ht="15.5" x14ac:dyDescent="0.35">
      <c r="B38" t="s">
        <v>380</v>
      </c>
      <c r="C38">
        <v>0</v>
      </c>
      <c r="D38">
        <v>0.5</v>
      </c>
      <c r="E38" s="21" t="s">
        <v>353</v>
      </c>
    </row>
    <row r="39" spans="2:5" ht="15.5" x14ac:dyDescent="0.35">
      <c r="B39" t="s">
        <v>380</v>
      </c>
      <c r="C39">
        <v>0</v>
      </c>
      <c r="D39">
        <v>0.5</v>
      </c>
      <c r="E39" s="21" t="s">
        <v>353</v>
      </c>
    </row>
    <row r="40" spans="2:5" ht="15.5" x14ac:dyDescent="0.35">
      <c r="B40" t="s">
        <v>381</v>
      </c>
      <c r="C40">
        <v>0</v>
      </c>
      <c r="D40">
        <v>0.25</v>
      </c>
      <c r="E40" s="21" t="s">
        <v>349</v>
      </c>
    </row>
    <row r="41" spans="2:5" ht="15.5" x14ac:dyDescent="0.35">
      <c r="B41" t="s">
        <v>382</v>
      </c>
      <c r="C41">
        <v>0.25</v>
      </c>
      <c r="D41">
        <v>0.25</v>
      </c>
    </row>
    <row r="42" spans="2:5" ht="15.5" x14ac:dyDescent="0.35">
      <c r="B42" t="s">
        <v>383</v>
      </c>
      <c r="C42">
        <v>0.25</v>
      </c>
      <c r="D42">
        <v>0.25</v>
      </c>
    </row>
    <row r="43" spans="2:5" ht="15.5" x14ac:dyDescent="0.35">
      <c r="B43" t="s">
        <v>384</v>
      </c>
      <c r="C43">
        <v>0</v>
      </c>
      <c r="D43">
        <v>0.25</v>
      </c>
      <c r="E43" s="21" t="s">
        <v>349</v>
      </c>
    </row>
    <row r="44" spans="2:5" ht="15.5" x14ac:dyDescent="0.35">
      <c r="B44" t="s">
        <v>385</v>
      </c>
      <c r="C44">
        <v>0.25</v>
      </c>
      <c r="D44">
        <v>0.25</v>
      </c>
    </row>
    <row r="45" spans="2:5" ht="15.5" x14ac:dyDescent="0.35">
      <c r="B45" t="s">
        <v>386</v>
      </c>
      <c r="C45">
        <v>0.25</v>
      </c>
      <c r="D45">
        <v>0.25</v>
      </c>
    </row>
    <row r="46" spans="2:5" ht="15.5" x14ac:dyDescent="0.35">
      <c r="B46" t="s">
        <v>387</v>
      </c>
      <c r="C46">
        <v>0</v>
      </c>
      <c r="D46">
        <v>0.5</v>
      </c>
      <c r="E46" s="21" t="s">
        <v>353</v>
      </c>
    </row>
    <row r="47" spans="2:5" ht="15.5" x14ac:dyDescent="0.35">
      <c r="B47" t="s">
        <v>387</v>
      </c>
      <c r="C47">
        <v>0</v>
      </c>
      <c r="D47">
        <v>0.5</v>
      </c>
      <c r="E47" s="21" t="s">
        <v>353</v>
      </c>
    </row>
    <row r="48" spans="2:5" ht="15.5" x14ac:dyDescent="0.35">
      <c r="B48" s="91" t="s">
        <v>388</v>
      </c>
      <c r="C48" s="91">
        <v>4.5</v>
      </c>
      <c r="D48" s="91">
        <v>12.25</v>
      </c>
      <c r="E48" s="9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 8.24</vt:lpstr>
      <vt:lpstr>Linear Regression Output 1</vt:lpstr>
      <vt:lpstr>Sheet8_HID</vt:lpstr>
      <vt:lpstr>Linear Regression Output 2</vt:lpstr>
      <vt:lpstr>Sheet9_HID</vt:lpstr>
      <vt:lpstr>P 8.24 Predictions</vt:lpstr>
      <vt:lpstr>P 8.25</vt:lpstr>
      <vt:lpstr>Linear Regression Output 3</vt:lpstr>
      <vt:lpstr>Sheet12_HID</vt:lpstr>
      <vt:lpstr>Linear Regression Output 4</vt:lpstr>
      <vt:lpstr>Sheet14_HID1</vt:lpstr>
      <vt:lpstr>P 8.25 Prediction</vt:lpstr>
      <vt:lpstr>P 8.26</vt:lpstr>
      <vt:lpstr>Linear Regression Output 5</vt:lpstr>
      <vt:lpstr>Sheet2_HID</vt:lpstr>
      <vt:lpstr>Linear Regression Output 6</vt:lpstr>
      <vt:lpstr>Sheet3_HID</vt:lpstr>
      <vt:lpstr>P 8.26 Answer</vt:lpstr>
      <vt:lpstr>P 8.27</vt:lpstr>
      <vt:lpstr>Linear Regression Output 7</vt:lpstr>
      <vt:lpstr>Sheet16_HID</vt:lpstr>
      <vt:lpstr>Linear Regression Output 8</vt:lpstr>
      <vt:lpstr>Sheet17_HID</vt:lpstr>
      <vt:lpstr>P 8.28</vt:lpstr>
      <vt:lpstr>Linear Regression Output 9</vt:lpstr>
      <vt:lpstr>Sheet5_HID</vt:lpstr>
      <vt:lpstr>Linear Regression Output 10</vt:lpstr>
      <vt:lpstr>Sheet6_HID</vt:lpstr>
      <vt:lpstr>Student Score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King</dc:creator>
  <cp:lastModifiedBy>Faisal Alsurayhi</cp:lastModifiedBy>
  <dcterms:created xsi:type="dcterms:W3CDTF">2019-12-27T17:07:37Z</dcterms:created>
  <dcterms:modified xsi:type="dcterms:W3CDTF">2026-03-10T21:49:11Z</dcterms:modified>
</cp:coreProperties>
</file>