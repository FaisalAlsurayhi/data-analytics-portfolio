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trlProps/ctrlProp3.xml" ContentType="application/vnd.ms-excel.controlpropertie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trlProps/ctrlProp4.xml" ContentType="application/vnd.ms-excel.controlpropertie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9.xml" ContentType="application/vnd.openxmlformats-officedocument.drawing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i\OneDrive\Desktop\sql-sales-analysis\bus  310 p\"/>
    </mc:Choice>
  </mc:AlternateContent>
  <xr:revisionPtr revIDLastSave="0" documentId="13_ncr:1_{F2E060B0-7D7D-4BC3-B2D3-00B73ED4B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 8.9" sheetId="1" r:id="rId1"/>
    <sheet name="P 8.10" sheetId="2" r:id="rId2"/>
    <sheet name="Linear Regression Output 1" sheetId="6" r:id="rId3"/>
    <sheet name="Sheet3_HID" sheetId="15" state="hidden" r:id="rId4"/>
    <sheet name="P 8.11" sheetId="3" r:id="rId5"/>
    <sheet name="SCA_HID" sheetId="8" state="hidden" r:id="rId6"/>
    <sheet name="Linear Regression Output 2" sheetId="9" r:id="rId7"/>
    <sheet name="Sheet9_HID" sheetId="16" state="hidden" r:id="rId8"/>
    <sheet name="Scatter Plot Output 1" sheetId="7" r:id="rId9"/>
    <sheet name="Sheet7_HID" sheetId="17" state="hidden" r:id="rId10"/>
    <sheet name="P 8.13" sheetId="4" r:id="rId11"/>
    <sheet name="Sheet5_HID" sheetId="18" state="hidden" r:id="rId12"/>
    <sheet name="Linear Regression Output 3" sheetId="13" r:id="rId13"/>
    <sheet name="Sheet13_HID" sheetId="19" state="hidden" r:id="rId14"/>
    <sheet name="P 8.15" sheetId="5" r:id="rId15"/>
    <sheet name="SCA1_HID" sheetId="11" state="hidden" r:id="rId16"/>
    <sheet name="Linear Regression Output 4" sheetId="12" r:id="rId17"/>
    <sheet name="Sheet12_HID" sheetId="20" state="hidden" r:id="rId18"/>
    <sheet name="Scatter Plot Output 2" sheetId="10" r:id="rId19"/>
    <sheet name="Sheet10_HID" sheetId="21" state="hidden" r:id="rId20"/>
  </sheets>
  <definedNames>
    <definedName name="tab20251114_133834_RunProcREG_1_69" localSheetId="2" hidden="1">'Linear Regression Output 1'!$A$93:$B$224</definedName>
    <definedName name="tab20251114_133834_RunProcREG_1_78" localSheetId="2" hidden="1">'Linear Regression Output 1'!$A$44:$G$47</definedName>
    <definedName name="tab20251114_133834_RunProcREG_1_89" localSheetId="2" hidden="1">'Linear Regression Output 1'!$A$54:$H$56</definedName>
    <definedName name="tab20251114_133834_RunProcREG_1_91" localSheetId="2" hidden="1">'Linear Regression Output 1'!$A$26:$B$39</definedName>
    <definedName name="tab20251114_133834_RunProcREG_2_69" localSheetId="2" hidden="1">'Linear Regression Output 1'!$C$93:$C$224</definedName>
    <definedName name="tab20251114_133834_RunProcREG_2_89" localSheetId="2" hidden="1">'Linear Regression Output 1'!$A$67:$H$68</definedName>
    <definedName name="tab20251114_133834_RunProcREG_3_69" localSheetId="2" hidden="1">'Linear Regression Output 1'!$D$93:$D$224</definedName>
    <definedName name="tab20251114_133834_RunProcREG_4_69" localSheetId="2" hidden="1">'Linear Regression Output 1'!$E$93:$E$224</definedName>
    <definedName name="tab20251114_133834_RunProcREG_5_69" localSheetId="2" hidden="1">'Linear Regression Output 1'!$F$93:$G$224</definedName>
    <definedName name="tab20251114_133834_RunProcREG_6_69" localSheetId="2" hidden="1">'Linear Regression Output 1'!$H$93:$M$224</definedName>
    <definedName name="tab20251114_135808_RunProcREG_1_69" localSheetId="6" hidden="1">'Linear Regression Output 2'!$A$93:$B$125</definedName>
    <definedName name="tab20251114_135808_RunProcREG_1_78" localSheetId="6" hidden="1">'Linear Regression Output 2'!$A$44:$G$47</definedName>
    <definedName name="tab20251114_135808_RunProcREG_1_89" localSheetId="6" hidden="1">'Linear Regression Output 2'!$A$54:$H$56</definedName>
    <definedName name="tab20251114_135808_RunProcREG_1_91" localSheetId="6" hidden="1">'Linear Regression Output 2'!$A$26:$B$39</definedName>
    <definedName name="tab20251114_135808_RunProcREG_2_69" localSheetId="6" hidden="1">'Linear Regression Output 2'!$C$93:$C$125</definedName>
    <definedName name="tab20251114_135808_RunProcREG_2_89" localSheetId="6" hidden="1">'Linear Regression Output 2'!$A$67:$H$68</definedName>
    <definedName name="tab20251114_135808_RunProcREG_3_69" localSheetId="6" hidden="1">'Linear Regression Output 2'!$D$93:$D$125</definedName>
    <definedName name="tab20251114_135808_RunProcREG_4_69" localSheetId="6" hidden="1">'Linear Regression Output 2'!$E$93:$E$125</definedName>
    <definedName name="tab20251114_135808_RunProcREG_5_69" localSheetId="6" hidden="1">'Linear Regression Output 2'!$F$93:$G$125</definedName>
    <definedName name="tab20251114_135808_RunProcREG_6_69" localSheetId="6" hidden="1">'Linear Regression Output 2'!$H$93:$M$125</definedName>
    <definedName name="tab20251114_141532_RunProcREG_1_69" localSheetId="12" hidden="1">'Linear Regression Output 3'!$A$93:$B$118</definedName>
    <definedName name="tab20251114_141532_RunProcREG_1_78" localSheetId="12" hidden="1">'Linear Regression Output 3'!$A$44:$G$47</definedName>
    <definedName name="tab20251114_141532_RunProcREG_1_89" localSheetId="12" hidden="1">'Linear Regression Output 3'!$A$54:$H$56</definedName>
    <definedName name="tab20251114_141532_RunProcREG_1_91" localSheetId="12" hidden="1">'Linear Regression Output 3'!$A$26:$B$39</definedName>
    <definedName name="tab20251114_141532_RunProcREG_2_69" localSheetId="12" hidden="1">'Linear Regression Output 3'!$C$93:$C$118</definedName>
    <definedName name="tab20251114_141532_RunProcREG_2_89" localSheetId="12" hidden="1">'Linear Regression Output 3'!$A$67:$H$68</definedName>
    <definedName name="tab20251114_141532_RunProcREG_3_69" localSheetId="12" hidden="1">'Linear Regression Output 3'!$D$93:$D$118</definedName>
    <definedName name="tab20251114_141532_RunProcREG_4_69" localSheetId="12" hidden="1">'Linear Regression Output 3'!$E$93:$E$118</definedName>
    <definedName name="tab20251114_141532_RunProcREG_5_69" localSheetId="12" hidden="1">'Linear Regression Output 3'!$F$93:$G$118</definedName>
    <definedName name="tab20251114_141532_RunProcREG_6_69" localSheetId="12" hidden="1">'Linear Regression Output 3'!$H$93:$M$118</definedName>
    <definedName name="tab20251114_143029_RunProcREG_1_69" localSheetId="16" hidden="1">'Linear Regression Output 4'!$A$93:$B$404</definedName>
    <definedName name="tab20251114_143029_RunProcREG_1_78" localSheetId="16" hidden="1">'Linear Regression Output 4'!$A$44:$G$47</definedName>
    <definedName name="tab20251114_143029_RunProcREG_1_89" localSheetId="16" hidden="1">'Linear Regression Output 4'!$A$54:$H$56</definedName>
    <definedName name="tab20251114_143029_RunProcREG_1_91" localSheetId="16" hidden="1">'Linear Regression Output 4'!$A$26:$B$39</definedName>
    <definedName name="tab20251114_143029_RunProcREG_2_69" localSheetId="16" hidden="1">'Linear Regression Output 4'!$C$93:$C$404</definedName>
    <definedName name="tab20251114_143029_RunProcREG_2_89" localSheetId="16" hidden="1">'Linear Regression Output 4'!$A$67:$H$68</definedName>
    <definedName name="tab20251114_143029_RunProcREG_3_69" localSheetId="16" hidden="1">'Linear Regression Output 4'!$D$93:$D$404</definedName>
    <definedName name="tab20251114_143029_RunProcREG_4_69" localSheetId="16" hidden="1">'Linear Regression Output 4'!$E$93:$E$404</definedName>
    <definedName name="tab20251114_143029_RunProcREG_5_69" localSheetId="16" hidden="1">'Linear Regression Output 4'!$F$93:$G$404</definedName>
    <definedName name="tab20251114_143029_RunProcREG_6_69" localSheetId="16" hidden="1">'Linear Regression Output 4'!$H$93:$M$404</definedName>
    <definedName name="xdata1" localSheetId="17" hidden="1">Sheet12_HID!$C$1:$C$70</definedName>
    <definedName name="xdata1" localSheetId="13" hidden="1">Sheet13_HID!$C$1:$C$70</definedName>
    <definedName name="xdata1" localSheetId="3" hidden="1">Sheet3_HID!$C$1:$C$70</definedName>
    <definedName name="xdata1" localSheetId="7" hidden="1">Sheet9_HID!$C$1:$C$70</definedName>
    <definedName name="xdata2" localSheetId="17" hidden="1">Sheet12_HID!$G$1:$G$70</definedName>
    <definedName name="xdata2" localSheetId="13" hidden="1">Sheet13_HID!$G$1:$G$70</definedName>
    <definedName name="xdata2" localSheetId="3" hidden="1">Sheet3_HID!$G$1:$G$70</definedName>
    <definedName name="xdata2" localSheetId="7" hidden="1">Sheet9_HID!$G$1:$G$70</definedName>
    <definedName name="xdata3" localSheetId="17" hidden="1">Sheet12_HID!$K$1:$K$100</definedName>
    <definedName name="xdata3" localSheetId="13" hidden="1">Sheet13_HID!$K$1:$K$100</definedName>
    <definedName name="xdata3" localSheetId="3" hidden="1">Sheet3_HID!$K$1:$K$100</definedName>
    <definedName name="xdata3" localSheetId="7" hidden="1">Sheet9_HID!$K$1:$K$100</definedName>
    <definedName name="xdata4" localSheetId="17" hidden="1">Sheet12_HID!$O$1:$O$100</definedName>
    <definedName name="xdata4" localSheetId="13" hidden="1">Sheet13_HID!$O$1:$O$100</definedName>
    <definedName name="xdata4" localSheetId="3" hidden="1">Sheet3_HID!$O$1:$O$100</definedName>
    <definedName name="xdata4" localSheetId="7" hidden="1">Sheet9_HID!$O$1:$O$100</definedName>
    <definedName name="xdata5" localSheetId="17" hidden="1">Sheet12_HID!$S$1:$S$70</definedName>
    <definedName name="xdata5" localSheetId="13" hidden="1">Sheet13_HID!$S$1:$S$70</definedName>
    <definedName name="xdata5" localSheetId="3" hidden="1">Sheet3_HID!$S$1:$S$70</definedName>
    <definedName name="xdata5" localSheetId="7" hidden="1">Sheet9_HID!$S$1:$S$70</definedName>
    <definedName name="xdata6" localSheetId="17" hidden="1">Sheet12_HID!$W$1:$W$70</definedName>
    <definedName name="xdata6" localSheetId="13" hidden="1">Sheet13_HID!$W$1:$W$70</definedName>
    <definedName name="xdata6" localSheetId="3" hidden="1">Sheet3_HID!$W$1:$W$70</definedName>
    <definedName name="xdata6" localSheetId="7" hidden="1">Sheet9_HID!$W$1:$W$70</definedName>
    <definedName name="ydata1" localSheetId="17" hidden="1">Sheet12_HID!$D$1:$D$70</definedName>
    <definedName name="ydata1" localSheetId="13" hidden="1">Sheet13_HID!$D$1:$D$70</definedName>
    <definedName name="ydata1" localSheetId="3" hidden="1">Sheet3_HID!$D$1:$D$70</definedName>
    <definedName name="ydata1" localSheetId="7" hidden="1">Sheet9_HID!$D$1:$D$70</definedName>
    <definedName name="ydata2" localSheetId="17" hidden="1">Sheet12_HID!$H$1:$H$70</definedName>
    <definedName name="ydata2" localSheetId="13" hidden="1">Sheet13_HID!$H$1:$H$70</definedName>
    <definedName name="ydata2" localSheetId="3" hidden="1">Sheet3_HID!$H$1:$H$70</definedName>
    <definedName name="ydata2" localSheetId="7" hidden="1">Sheet9_HID!$H$1:$H$70</definedName>
    <definedName name="ydata3" localSheetId="17" hidden="1">Sheet12_HID!$L$1:$L$100</definedName>
    <definedName name="ydata3" localSheetId="13" hidden="1">Sheet13_HID!$L$1:$L$100</definedName>
    <definedName name="ydata3" localSheetId="3" hidden="1">Sheet3_HID!$L$1:$L$100</definedName>
    <definedName name="ydata3" localSheetId="7" hidden="1">Sheet9_HID!$L$1:$L$100</definedName>
    <definedName name="ydata4" localSheetId="17" hidden="1">Sheet12_HID!$P$1:$P$100</definedName>
    <definedName name="ydata4" localSheetId="13" hidden="1">Sheet13_HID!$P$1:$P$100</definedName>
    <definedName name="ydata4" localSheetId="3" hidden="1">Sheet3_HID!$P$1:$P$100</definedName>
    <definedName name="ydata4" localSheetId="7" hidden="1">Sheet9_HID!$P$1:$P$100</definedName>
    <definedName name="ydata5" localSheetId="17" hidden="1">Sheet12_HID!$T$1:$T$70</definedName>
    <definedName name="ydata5" localSheetId="13" hidden="1">Sheet13_HID!$T$1:$T$70</definedName>
    <definedName name="ydata5" localSheetId="3" hidden="1">Sheet3_HID!$T$1:$T$70</definedName>
    <definedName name="ydata5" localSheetId="7" hidden="1">Sheet9_HID!$T$1:$T$70</definedName>
    <definedName name="ydata6" localSheetId="17" hidden="1">Sheet12_HID!$X$1:$X$70</definedName>
    <definedName name="ydata6" localSheetId="13" hidden="1">Sheet13_HID!$X$1:$X$70</definedName>
    <definedName name="ydata6" localSheetId="3" hidden="1">Sheet3_HID!$X$1:$X$70</definedName>
    <definedName name="ydata6" localSheetId="7" hidden="1">Sheet9_HID!$X$1:$X$70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0" i="20" l="1"/>
  <c r="O100" i="20"/>
  <c r="K100" i="20"/>
  <c r="L100" i="20" s="1"/>
  <c r="O99" i="20"/>
  <c r="P99" i="20" s="1"/>
  <c r="K99" i="20"/>
  <c r="L99" i="20" s="1"/>
  <c r="P98" i="20"/>
  <c r="O98" i="20"/>
  <c r="K98" i="20"/>
  <c r="L98" i="20" s="1"/>
  <c r="O97" i="20"/>
  <c r="P97" i="20" s="1"/>
  <c r="L97" i="20"/>
  <c r="K97" i="20"/>
  <c r="P96" i="20"/>
  <c r="O96" i="20"/>
  <c r="K96" i="20"/>
  <c r="L96" i="20" s="1"/>
  <c r="P95" i="20"/>
  <c r="O95" i="20"/>
  <c r="L95" i="20"/>
  <c r="K95" i="20"/>
  <c r="P94" i="20"/>
  <c r="O94" i="20"/>
  <c r="K94" i="20"/>
  <c r="L94" i="20" s="1"/>
  <c r="O93" i="20"/>
  <c r="P93" i="20" s="1"/>
  <c r="L93" i="20"/>
  <c r="K93" i="20"/>
  <c r="P92" i="20"/>
  <c r="O92" i="20"/>
  <c r="K92" i="20"/>
  <c r="L92" i="20" s="1"/>
  <c r="O91" i="20"/>
  <c r="P91" i="20" s="1"/>
  <c r="L91" i="20"/>
  <c r="K91" i="20"/>
  <c r="P90" i="20"/>
  <c r="O90" i="20"/>
  <c r="K90" i="20"/>
  <c r="L90" i="20" s="1"/>
  <c r="O89" i="20"/>
  <c r="P89" i="20" s="1"/>
  <c r="L89" i="20"/>
  <c r="K89" i="20"/>
  <c r="P88" i="20"/>
  <c r="O88" i="20"/>
  <c r="K88" i="20"/>
  <c r="L88" i="20" s="1"/>
  <c r="O87" i="20"/>
  <c r="P87" i="20" s="1"/>
  <c r="L87" i="20"/>
  <c r="K87" i="20"/>
  <c r="P86" i="20"/>
  <c r="O86" i="20"/>
  <c r="K86" i="20"/>
  <c r="L86" i="20" s="1"/>
  <c r="O85" i="20"/>
  <c r="P85" i="20" s="1"/>
  <c r="L85" i="20"/>
  <c r="K85" i="20"/>
  <c r="P84" i="20"/>
  <c r="O84" i="20"/>
  <c r="K84" i="20"/>
  <c r="L84" i="20" s="1"/>
  <c r="P83" i="20"/>
  <c r="O83" i="20"/>
  <c r="L83" i="20"/>
  <c r="K83" i="20"/>
  <c r="P82" i="20"/>
  <c r="O82" i="20"/>
  <c r="K82" i="20"/>
  <c r="L82" i="20" s="1"/>
  <c r="O81" i="20"/>
  <c r="P81" i="20" s="1"/>
  <c r="L81" i="20"/>
  <c r="K81" i="20"/>
  <c r="P80" i="20"/>
  <c r="O80" i="20"/>
  <c r="K80" i="20"/>
  <c r="L80" i="20" s="1"/>
  <c r="P79" i="20"/>
  <c r="O79" i="20"/>
  <c r="L79" i="20"/>
  <c r="K79" i="20"/>
  <c r="P78" i="20"/>
  <c r="O78" i="20"/>
  <c r="K78" i="20"/>
  <c r="L78" i="20" s="1"/>
  <c r="P77" i="20"/>
  <c r="O77" i="20"/>
  <c r="L77" i="20"/>
  <c r="K77" i="20"/>
  <c r="P76" i="20"/>
  <c r="O76" i="20"/>
  <c r="K76" i="20"/>
  <c r="L76" i="20" s="1"/>
  <c r="O75" i="20"/>
  <c r="P75" i="20" s="1"/>
  <c r="L75" i="20"/>
  <c r="K75" i="20"/>
  <c r="P74" i="20"/>
  <c r="O74" i="20"/>
  <c r="K74" i="20"/>
  <c r="L74" i="20" s="1"/>
  <c r="P73" i="20"/>
  <c r="O73" i="20"/>
  <c r="L73" i="20"/>
  <c r="K73" i="20"/>
  <c r="P72" i="20"/>
  <c r="O72" i="20"/>
  <c r="K72" i="20"/>
  <c r="L72" i="20" s="1"/>
  <c r="O71" i="20"/>
  <c r="P71" i="20" s="1"/>
  <c r="L71" i="20"/>
  <c r="K71" i="20"/>
  <c r="X70" i="20"/>
  <c r="W70" i="20"/>
  <c r="S70" i="20"/>
  <c r="T70" i="20" s="1"/>
  <c r="O70" i="20"/>
  <c r="P70" i="20" s="1"/>
  <c r="L70" i="20"/>
  <c r="K70" i="20"/>
  <c r="H70" i="20"/>
  <c r="G70" i="20"/>
  <c r="C70" i="20"/>
  <c r="D70" i="20" s="1"/>
  <c r="X69" i="20"/>
  <c r="W69" i="20"/>
  <c r="T69" i="20"/>
  <c r="S69" i="20"/>
  <c r="P69" i="20"/>
  <c r="O69" i="20"/>
  <c r="K69" i="20"/>
  <c r="L69" i="20" s="1"/>
  <c r="G69" i="20"/>
  <c r="H69" i="20" s="1"/>
  <c r="D69" i="20"/>
  <c r="C69" i="20"/>
  <c r="X68" i="20"/>
  <c r="W68" i="20"/>
  <c r="S68" i="20"/>
  <c r="T68" i="20" s="1"/>
  <c r="P68" i="20"/>
  <c r="O68" i="20"/>
  <c r="L68" i="20"/>
  <c r="K68" i="20"/>
  <c r="H68" i="20"/>
  <c r="G68" i="20"/>
  <c r="C68" i="20"/>
  <c r="D68" i="20" s="1"/>
  <c r="X67" i="20"/>
  <c r="W67" i="20"/>
  <c r="T67" i="20"/>
  <c r="S67" i="20"/>
  <c r="P67" i="20"/>
  <c r="O67" i="20"/>
  <c r="K67" i="20"/>
  <c r="L67" i="20" s="1"/>
  <c r="G67" i="20"/>
  <c r="H67" i="20" s="1"/>
  <c r="D67" i="20"/>
  <c r="C67" i="20"/>
  <c r="X66" i="20"/>
  <c r="W66" i="20"/>
  <c r="S66" i="20"/>
  <c r="T66" i="20" s="1"/>
  <c r="P66" i="20"/>
  <c r="O66" i="20"/>
  <c r="L66" i="20"/>
  <c r="K66" i="20"/>
  <c r="H66" i="20"/>
  <c r="G66" i="20"/>
  <c r="C66" i="20"/>
  <c r="D66" i="20" s="1"/>
  <c r="X65" i="20"/>
  <c r="W65" i="20"/>
  <c r="T65" i="20"/>
  <c r="S65" i="20"/>
  <c r="P65" i="20"/>
  <c r="O65" i="20"/>
  <c r="K65" i="20"/>
  <c r="L65" i="20" s="1"/>
  <c r="G65" i="20"/>
  <c r="H65" i="20" s="1"/>
  <c r="D65" i="20"/>
  <c r="C65" i="20"/>
  <c r="X64" i="20"/>
  <c r="W64" i="20"/>
  <c r="S64" i="20"/>
  <c r="T64" i="20" s="1"/>
  <c r="P64" i="20"/>
  <c r="O64" i="20"/>
  <c r="L64" i="20"/>
  <c r="K64" i="20"/>
  <c r="H64" i="20"/>
  <c r="G64" i="20"/>
  <c r="C64" i="20"/>
  <c r="D64" i="20" s="1"/>
  <c r="W63" i="20"/>
  <c r="X63" i="20" s="1"/>
  <c r="T63" i="20"/>
  <c r="S63" i="20"/>
  <c r="P63" i="20"/>
  <c r="O63" i="20"/>
  <c r="K63" i="20"/>
  <c r="L63" i="20" s="1"/>
  <c r="H63" i="20"/>
  <c r="G63" i="20"/>
  <c r="D63" i="20"/>
  <c r="C63" i="20"/>
  <c r="X62" i="20"/>
  <c r="W62" i="20"/>
  <c r="S62" i="20"/>
  <c r="T62" i="20" s="1"/>
  <c r="P62" i="20"/>
  <c r="O62" i="20"/>
  <c r="L62" i="20"/>
  <c r="K62" i="20"/>
  <c r="H62" i="20"/>
  <c r="G62" i="20"/>
  <c r="C62" i="20"/>
  <c r="D62" i="20" s="1"/>
  <c r="X61" i="20"/>
  <c r="W61" i="20"/>
  <c r="T61" i="20"/>
  <c r="S61" i="20"/>
  <c r="P61" i="20"/>
  <c r="O61" i="20"/>
  <c r="K61" i="20"/>
  <c r="L61" i="20" s="1"/>
  <c r="G61" i="20"/>
  <c r="H61" i="20" s="1"/>
  <c r="D61" i="20"/>
  <c r="C61" i="20"/>
  <c r="X60" i="20"/>
  <c r="W60" i="20"/>
  <c r="S60" i="20"/>
  <c r="T60" i="20" s="1"/>
  <c r="O60" i="20"/>
  <c r="P60" i="20" s="1"/>
  <c r="L60" i="20"/>
  <c r="K60" i="20"/>
  <c r="H60" i="20"/>
  <c r="G60" i="20"/>
  <c r="C60" i="20"/>
  <c r="D60" i="20" s="1"/>
  <c r="W59" i="20"/>
  <c r="X59" i="20" s="1"/>
  <c r="T59" i="20"/>
  <c r="S59" i="20"/>
  <c r="P59" i="20"/>
  <c r="O59" i="20"/>
  <c r="K59" i="20"/>
  <c r="L59" i="20" s="1"/>
  <c r="H59" i="20"/>
  <c r="G59" i="20"/>
  <c r="D59" i="20"/>
  <c r="C59" i="20"/>
  <c r="X58" i="20"/>
  <c r="W58" i="20"/>
  <c r="S58" i="20"/>
  <c r="T58" i="20" s="1"/>
  <c r="O58" i="20"/>
  <c r="P58" i="20" s="1"/>
  <c r="L58" i="20"/>
  <c r="K58" i="20"/>
  <c r="H58" i="20"/>
  <c r="G58" i="20"/>
  <c r="C58" i="20"/>
  <c r="D58" i="20" s="1"/>
  <c r="X57" i="20"/>
  <c r="W57" i="20"/>
  <c r="T57" i="20"/>
  <c r="S57" i="20"/>
  <c r="P57" i="20"/>
  <c r="O57" i="20"/>
  <c r="K57" i="20"/>
  <c r="L57" i="20" s="1"/>
  <c r="G57" i="20"/>
  <c r="H57" i="20" s="1"/>
  <c r="D57" i="20"/>
  <c r="C57" i="20"/>
  <c r="X56" i="20"/>
  <c r="W56" i="20"/>
  <c r="S56" i="20"/>
  <c r="T56" i="20" s="1"/>
  <c r="O56" i="20"/>
  <c r="P56" i="20" s="1"/>
  <c r="L56" i="20"/>
  <c r="K56" i="20"/>
  <c r="H56" i="20"/>
  <c r="G56" i="20"/>
  <c r="C56" i="20"/>
  <c r="D56" i="20" s="1"/>
  <c r="X55" i="20"/>
  <c r="W55" i="20"/>
  <c r="T55" i="20"/>
  <c r="S55" i="20"/>
  <c r="P55" i="20"/>
  <c r="O55" i="20"/>
  <c r="K55" i="20"/>
  <c r="L55" i="20" s="1"/>
  <c r="G55" i="20"/>
  <c r="H55" i="20" s="1"/>
  <c r="D55" i="20"/>
  <c r="C55" i="20"/>
  <c r="X54" i="20"/>
  <c r="W54" i="20"/>
  <c r="S54" i="20"/>
  <c r="T54" i="20" s="1"/>
  <c r="O54" i="20"/>
  <c r="P54" i="20" s="1"/>
  <c r="L54" i="20"/>
  <c r="K54" i="20"/>
  <c r="H54" i="20"/>
  <c r="G54" i="20"/>
  <c r="C54" i="20"/>
  <c r="D54" i="20" s="1"/>
  <c r="X53" i="20"/>
  <c r="W53" i="20"/>
  <c r="T53" i="20"/>
  <c r="S53" i="20"/>
  <c r="P53" i="20"/>
  <c r="O53" i="20"/>
  <c r="K53" i="20"/>
  <c r="L53" i="20" s="1"/>
  <c r="G53" i="20"/>
  <c r="H53" i="20" s="1"/>
  <c r="D53" i="20"/>
  <c r="C53" i="20"/>
  <c r="X52" i="20"/>
  <c r="W52" i="20"/>
  <c r="S52" i="20"/>
  <c r="T52" i="20" s="1"/>
  <c r="P52" i="20"/>
  <c r="O52" i="20"/>
  <c r="L52" i="20"/>
  <c r="K52" i="20"/>
  <c r="H52" i="20"/>
  <c r="G52" i="20"/>
  <c r="C52" i="20"/>
  <c r="D52" i="20" s="1"/>
  <c r="X51" i="20"/>
  <c r="W51" i="20"/>
  <c r="T51" i="20"/>
  <c r="S51" i="20"/>
  <c r="P51" i="20"/>
  <c r="O51" i="20"/>
  <c r="K51" i="20"/>
  <c r="L51" i="20" s="1"/>
  <c r="G51" i="20"/>
  <c r="H51" i="20" s="1"/>
  <c r="D51" i="20"/>
  <c r="C51" i="20"/>
  <c r="X50" i="20"/>
  <c r="W50" i="20"/>
  <c r="S50" i="20"/>
  <c r="T50" i="20" s="1"/>
  <c r="P50" i="20"/>
  <c r="O50" i="20"/>
  <c r="L50" i="20"/>
  <c r="K50" i="20"/>
  <c r="H50" i="20"/>
  <c r="G50" i="20"/>
  <c r="C50" i="20"/>
  <c r="D50" i="20" s="1"/>
  <c r="W49" i="20"/>
  <c r="X49" i="20" s="1"/>
  <c r="T49" i="20"/>
  <c r="S49" i="20"/>
  <c r="P49" i="20"/>
  <c r="O49" i="20"/>
  <c r="K49" i="20"/>
  <c r="L49" i="20" s="1"/>
  <c r="G49" i="20"/>
  <c r="H49" i="20" s="1"/>
  <c r="D49" i="20"/>
  <c r="C49" i="20"/>
  <c r="X48" i="20"/>
  <c r="W48" i="20"/>
  <c r="S48" i="20"/>
  <c r="T48" i="20" s="1"/>
  <c r="P48" i="20"/>
  <c r="O48" i="20"/>
  <c r="L48" i="20"/>
  <c r="K48" i="20"/>
  <c r="H48" i="20"/>
  <c r="G48" i="20"/>
  <c r="C48" i="20"/>
  <c r="D48" i="20" s="1"/>
  <c r="W47" i="20"/>
  <c r="X47" i="20" s="1"/>
  <c r="T47" i="20"/>
  <c r="S47" i="20"/>
  <c r="P47" i="20"/>
  <c r="O47" i="20"/>
  <c r="K47" i="20"/>
  <c r="L47" i="20" s="1"/>
  <c r="H47" i="20"/>
  <c r="G47" i="20"/>
  <c r="D47" i="20"/>
  <c r="C47" i="20"/>
  <c r="X46" i="20"/>
  <c r="W46" i="20"/>
  <c r="S46" i="20"/>
  <c r="T46" i="20" s="1"/>
  <c r="P46" i="20"/>
  <c r="O46" i="20"/>
  <c r="L46" i="20"/>
  <c r="K46" i="20"/>
  <c r="H46" i="20"/>
  <c r="G46" i="20"/>
  <c r="C46" i="20"/>
  <c r="D46" i="20" s="1"/>
  <c r="W45" i="20"/>
  <c r="X45" i="20" s="1"/>
  <c r="T45" i="20"/>
  <c r="S45" i="20"/>
  <c r="P45" i="20"/>
  <c r="O45" i="20"/>
  <c r="K45" i="20"/>
  <c r="L45" i="20" s="1"/>
  <c r="H45" i="20"/>
  <c r="G45" i="20"/>
  <c r="D45" i="20"/>
  <c r="C45" i="20"/>
  <c r="X44" i="20"/>
  <c r="W44" i="20"/>
  <c r="S44" i="20"/>
  <c r="T44" i="20" s="1"/>
  <c r="P44" i="20"/>
  <c r="O44" i="20"/>
  <c r="L44" i="20"/>
  <c r="K44" i="20"/>
  <c r="H44" i="20"/>
  <c r="G44" i="20"/>
  <c r="C44" i="20"/>
  <c r="D44" i="20" s="1"/>
  <c r="W43" i="20"/>
  <c r="X43" i="20" s="1"/>
  <c r="T43" i="20"/>
  <c r="S43" i="20"/>
  <c r="P43" i="20"/>
  <c r="O43" i="20"/>
  <c r="K43" i="20"/>
  <c r="L43" i="20" s="1"/>
  <c r="H43" i="20"/>
  <c r="G43" i="20"/>
  <c r="D43" i="20"/>
  <c r="C43" i="20"/>
  <c r="X42" i="20"/>
  <c r="W42" i="20"/>
  <c r="S42" i="20"/>
  <c r="T42" i="20" s="1"/>
  <c r="O42" i="20"/>
  <c r="P42" i="20" s="1"/>
  <c r="L42" i="20"/>
  <c r="K42" i="20"/>
  <c r="H42" i="20"/>
  <c r="G42" i="20"/>
  <c r="C42" i="20"/>
  <c r="D42" i="20" s="1"/>
  <c r="X41" i="20"/>
  <c r="W41" i="20"/>
  <c r="T41" i="20"/>
  <c r="S41" i="20"/>
  <c r="P41" i="20"/>
  <c r="O41" i="20"/>
  <c r="K41" i="20"/>
  <c r="L41" i="20" s="1"/>
  <c r="H41" i="20"/>
  <c r="G41" i="20"/>
  <c r="D41" i="20"/>
  <c r="C41" i="20"/>
  <c r="X40" i="20"/>
  <c r="W40" i="20"/>
  <c r="S40" i="20"/>
  <c r="T40" i="20" s="1"/>
  <c r="P40" i="20"/>
  <c r="O40" i="20"/>
  <c r="L40" i="20"/>
  <c r="K40" i="20"/>
  <c r="H40" i="20"/>
  <c r="G40" i="20"/>
  <c r="C40" i="20"/>
  <c r="D40" i="20" s="1"/>
  <c r="W39" i="20"/>
  <c r="X39" i="20" s="1"/>
  <c r="T39" i="20"/>
  <c r="S39" i="20"/>
  <c r="P39" i="20"/>
  <c r="O39" i="20"/>
  <c r="K39" i="20"/>
  <c r="L39" i="20" s="1"/>
  <c r="H39" i="20"/>
  <c r="G39" i="20"/>
  <c r="D39" i="20"/>
  <c r="C39" i="20"/>
  <c r="X38" i="20"/>
  <c r="W38" i="20"/>
  <c r="S38" i="20"/>
  <c r="T38" i="20" s="1"/>
  <c r="O38" i="20"/>
  <c r="P38" i="20" s="1"/>
  <c r="L38" i="20"/>
  <c r="K38" i="20"/>
  <c r="H38" i="20"/>
  <c r="G38" i="20"/>
  <c r="C38" i="20"/>
  <c r="D38" i="20" s="1"/>
  <c r="X37" i="20"/>
  <c r="W37" i="20"/>
  <c r="T37" i="20"/>
  <c r="S37" i="20"/>
  <c r="P37" i="20"/>
  <c r="O37" i="20"/>
  <c r="K37" i="20"/>
  <c r="L37" i="20" s="1"/>
  <c r="G37" i="20"/>
  <c r="H37" i="20" s="1"/>
  <c r="D37" i="20"/>
  <c r="C37" i="20"/>
  <c r="X36" i="20"/>
  <c r="W36" i="20"/>
  <c r="S36" i="20"/>
  <c r="T36" i="20" s="1"/>
  <c r="P36" i="20"/>
  <c r="O36" i="20"/>
  <c r="L36" i="20"/>
  <c r="K36" i="20"/>
  <c r="H36" i="20"/>
  <c r="G36" i="20"/>
  <c r="C36" i="20"/>
  <c r="D36" i="20" s="1"/>
  <c r="W35" i="20"/>
  <c r="X35" i="20" s="1"/>
  <c r="T35" i="20"/>
  <c r="S35" i="20"/>
  <c r="P35" i="20"/>
  <c r="O35" i="20"/>
  <c r="K35" i="20"/>
  <c r="L35" i="20" s="1"/>
  <c r="H35" i="20"/>
  <c r="G35" i="20"/>
  <c r="D35" i="20"/>
  <c r="C35" i="20"/>
  <c r="X34" i="20"/>
  <c r="W34" i="20"/>
  <c r="S34" i="20"/>
  <c r="T34" i="20" s="1"/>
  <c r="O34" i="20"/>
  <c r="P34" i="20" s="1"/>
  <c r="L34" i="20"/>
  <c r="K34" i="20"/>
  <c r="H34" i="20"/>
  <c r="G34" i="20"/>
  <c r="C34" i="20"/>
  <c r="D34" i="20" s="1"/>
  <c r="W33" i="20"/>
  <c r="X33" i="20" s="1"/>
  <c r="T33" i="20"/>
  <c r="S33" i="20"/>
  <c r="P33" i="20"/>
  <c r="O33" i="20"/>
  <c r="K33" i="20"/>
  <c r="L33" i="20" s="1"/>
  <c r="G33" i="20"/>
  <c r="H33" i="20" s="1"/>
  <c r="D33" i="20"/>
  <c r="C33" i="20"/>
  <c r="X32" i="20"/>
  <c r="W32" i="20"/>
  <c r="S32" i="20"/>
  <c r="T32" i="20" s="1"/>
  <c r="P32" i="20"/>
  <c r="O32" i="20"/>
  <c r="L32" i="20"/>
  <c r="K32" i="20"/>
  <c r="H32" i="20"/>
  <c r="G32" i="20"/>
  <c r="C32" i="20"/>
  <c r="D32" i="20" s="1"/>
  <c r="W31" i="20"/>
  <c r="X31" i="20" s="1"/>
  <c r="T31" i="20"/>
  <c r="S31" i="20"/>
  <c r="P31" i="20"/>
  <c r="O31" i="20"/>
  <c r="K31" i="20"/>
  <c r="L31" i="20" s="1"/>
  <c r="H31" i="20"/>
  <c r="G31" i="20"/>
  <c r="D31" i="20"/>
  <c r="C31" i="20"/>
  <c r="X30" i="20"/>
  <c r="W30" i="20"/>
  <c r="S30" i="20"/>
  <c r="T30" i="20" s="1"/>
  <c r="P30" i="20"/>
  <c r="O30" i="20"/>
  <c r="L30" i="20"/>
  <c r="K30" i="20"/>
  <c r="H30" i="20"/>
  <c r="G30" i="20"/>
  <c r="C30" i="20"/>
  <c r="D30" i="20" s="1"/>
  <c r="W29" i="20"/>
  <c r="X29" i="20" s="1"/>
  <c r="T29" i="20"/>
  <c r="S29" i="20"/>
  <c r="P29" i="20"/>
  <c r="O29" i="20"/>
  <c r="K29" i="20"/>
  <c r="L29" i="20" s="1"/>
  <c r="H29" i="20"/>
  <c r="G29" i="20"/>
  <c r="D29" i="20"/>
  <c r="C29" i="20"/>
  <c r="X28" i="20"/>
  <c r="W28" i="20"/>
  <c r="S28" i="20"/>
  <c r="T28" i="20" s="1"/>
  <c r="O28" i="20"/>
  <c r="P28" i="20" s="1"/>
  <c r="L28" i="20"/>
  <c r="K28" i="20"/>
  <c r="H28" i="20"/>
  <c r="G28" i="20"/>
  <c r="C28" i="20"/>
  <c r="D28" i="20" s="1"/>
  <c r="W27" i="20"/>
  <c r="X27" i="20" s="1"/>
  <c r="T27" i="20"/>
  <c r="S27" i="20"/>
  <c r="P27" i="20"/>
  <c r="O27" i="20"/>
  <c r="K27" i="20"/>
  <c r="L27" i="20" s="1"/>
  <c r="H27" i="20"/>
  <c r="G27" i="20"/>
  <c r="D27" i="20"/>
  <c r="C27" i="20"/>
  <c r="X26" i="20"/>
  <c r="W26" i="20"/>
  <c r="S26" i="20"/>
  <c r="T26" i="20" s="1"/>
  <c r="O26" i="20"/>
  <c r="P26" i="20" s="1"/>
  <c r="L26" i="20"/>
  <c r="K26" i="20"/>
  <c r="H26" i="20"/>
  <c r="G26" i="20"/>
  <c r="C26" i="20"/>
  <c r="D26" i="20" s="1"/>
  <c r="X25" i="20"/>
  <c r="W25" i="20"/>
  <c r="T25" i="20"/>
  <c r="S25" i="20"/>
  <c r="P25" i="20"/>
  <c r="O25" i="20"/>
  <c r="K25" i="20"/>
  <c r="L25" i="20" s="1"/>
  <c r="H25" i="20"/>
  <c r="G25" i="20"/>
  <c r="D25" i="20"/>
  <c r="C25" i="20"/>
  <c r="X24" i="20"/>
  <c r="W24" i="20"/>
  <c r="S24" i="20"/>
  <c r="T24" i="20" s="1"/>
  <c r="O24" i="20"/>
  <c r="P24" i="20" s="1"/>
  <c r="L24" i="20"/>
  <c r="K24" i="20"/>
  <c r="H24" i="20"/>
  <c r="G24" i="20"/>
  <c r="D24" i="20"/>
  <c r="C24" i="20"/>
  <c r="W23" i="20"/>
  <c r="X23" i="20" s="1"/>
  <c r="T23" i="20"/>
  <c r="S23" i="20"/>
  <c r="P23" i="20"/>
  <c r="O23" i="20"/>
  <c r="K23" i="20"/>
  <c r="L23" i="20" s="1"/>
  <c r="G23" i="20"/>
  <c r="H23" i="20" s="1"/>
  <c r="D23" i="20"/>
  <c r="C23" i="20"/>
  <c r="X22" i="20"/>
  <c r="W22" i="20"/>
  <c r="S22" i="20"/>
  <c r="T22" i="20" s="1"/>
  <c r="O22" i="20"/>
  <c r="P22" i="20" s="1"/>
  <c r="L22" i="20"/>
  <c r="K22" i="20"/>
  <c r="H22" i="20"/>
  <c r="G22" i="20"/>
  <c r="D22" i="20"/>
  <c r="C22" i="20"/>
  <c r="W21" i="20"/>
  <c r="X21" i="20" s="1"/>
  <c r="T21" i="20"/>
  <c r="S21" i="20"/>
  <c r="P21" i="20"/>
  <c r="O21" i="20"/>
  <c r="L21" i="20"/>
  <c r="K21" i="20"/>
  <c r="G21" i="20"/>
  <c r="H21" i="20" s="1"/>
  <c r="D21" i="20"/>
  <c r="C21" i="20"/>
  <c r="X20" i="20"/>
  <c r="W20" i="20"/>
  <c r="S20" i="20"/>
  <c r="T20" i="20" s="1"/>
  <c r="O20" i="20"/>
  <c r="P20" i="20" s="1"/>
  <c r="L20" i="20"/>
  <c r="K20" i="20"/>
  <c r="H20" i="20"/>
  <c r="G20" i="20"/>
  <c r="C20" i="20"/>
  <c r="D20" i="20" s="1"/>
  <c r="W19" i="20"/>
  <c r="X19" i="20" s="1"/>
  <c r="T19" i="20"/>
  <c r="S19" i="20"/>
  <c r="P19" i="20"/>
  <c r="O19" i="20"/>
  <c r="K19" i="20"/>
  <c r="L19" i="20" s="1"/>
  <c r="G19" i="20"/>
  <c r="H19" i="20" s="1"/>
  <c r="D19" i="20"/>
  <c r="C19" i="20"/>
  <c r="X18" i="20"/>
  <c r="W18" i="20"/>
  <c r="T18" i="20"/>
  <c r="S18" i="20"/>
  <c r="O18" i="20"/>
  <c r="P18" i="20" s="1"/>
  <c r="L18" i="20"/>
  <c r="K18" i="20"/>
  <c r="H18" i="20"/>
  <c r="G18" i="20"/>
  <c r="C18" i="20"/>
  <c r="D18" i="20" s="1"/>
  <c r="W17" i="20"/>
  <c r="X17" i="20" s="1"/>
  <c r="T17" i="20"/>
  <c r="S17" i="20"/>
  <c r="P17" i="20"/>
  <c r="O17" i="20"/>
  <c r="K17" i="20"/>
  <c r="L17" i="20" s="1"/>
  <c r="G17" i="20"/>
  <c r="H17" i="20" s="1"/>
  <c r="D17" i="20"/>
  <c r="C17" i="20"/>
  <c r="X16" i="20"/>
  <c r="W16" i="20"/>
  <c r="T16" i="20"/>
  <c r="S16" i="20"/>
  <c r="O16" i="20"/>
  <c r="P16" i="20" s="1"/>
  <c r="L16" i="20"/>
  <c r="K16" i="20"/>
  <c r="H16" i="20"/>
  <c r="G16" i="20"/>
  <c r="D16" i="20"/>
  <c r="C16" i="20"/>
  <c r="W15" i="20"/>
  <c r="X15" i="20" s="1"/>
  <c r="T15" i="20"/>
  <c r="S15" i="20"/>
  <c r="P15" i="20"/>
  <c r="O15" i="20"/>
  <c r="L15" i="20"/>
  <c r="K15" i="20"/>
  <c r="G15" i="20"/>
  <c r="H15" i="20" s="1"/>
  <c r="D15" i="20"/>
  <c r="C15" i="20"/>
  <c r="X14" i="20"/>
  <c r="W14" i="20"/>
  <c r="S14" i="20"/>
  <c r="T14" i="20" s="1"/>
  <c r="O14" i="20"/>
  <c r="P14" i="20" s="1"/>
  <c r="L14" i="20"/>
  <c r="K14" i="20"/>
  <c r="H14" i="20"/>
  <c r="G14" i="20"/>
  <c r="C14" i="20"/>
  <c r="D14" i="20" s="1"/>
  <c r="W13" i="20"/>
  <c r="X13" i="20" s="1"/>
  <c r="T13" i="20"/>
  <c r="S13" i="20"/>
  <c r="P13" i="20"/>
  <c r="O13" i="20"/>
  <c r="L13" i="20"/>
  <c r="K13" i="20"/>
  <c r="G13" i="20"/>
  <c r="H13" i="20" s="1"/>
  <c r="D13" i="20"/>
  <c r="C13" i="20"/>
  <c r="X12" i="20"/>
  <c r="W12" i="20"/>
  <c r="S12" i="20"/>
  <c r="T12" i="20" s="1"/>
  <c r="O12" i="20"/>
  <c r="P12" i="20" s="1"/>
  <c r="L12" i="20"/>
  <c r="K12" i="20"/>
  <c r="H12" i="20"/>
  <c r="G12" i="20"/>
  <c r="C12" i="20"/>
  <c r="D12" i="20" s="1"/>
  <c r="W11" i="20"/>
  <c r="X11" i="20" s="1"/>
  <c r="T11" i="20"/>
  <c r="S11" i="20"/>
  <c r="P11" i="20"/>
  <c r="O11" i="20"/>
  <c r="L11" i="20"/>
  <c r="K11" i="20"/>
  <c r="G11" i="20"/>
  <c r="H11" i="20" s="1"/>
  <c r="D11" i="20"/>
  <c r="C11" i="20"/>
  <c r="X10" i="20"/>
  <c r="W10" i="20"/>
  <c r="T10" i="20"/>
  <c r="S10" i="20"/>
  <c r="O10" i="20"/>
  <c r="P10" i="20" s="1"/>
  <c r="L10" i="20"/>
  <c r="K10" i="20"/>
  <c r="H10" i="20"/>
  <c r="G10" i="20"/>
  <c r="D10" i="20"/>
  <c r="C10" i="20"/>
  <c r="W9" i="20"/>
  <c r="X9" i="20" s="1"/>
  <c r="T9" i="20"/>
  <c r="S9" i="20"/>
  <c r="P9" i="20"/>
  <c r="O9" i="20"/>
  <c r="K9" i="20"/>
  <c r="L9" i="20" s="1"/>
  <c r="G9" i="20"/>
  <c r="H9" i="20" s="1"/>
  <c r="D9" i="20"/>
  <c r="C9" i="20"/>
  <c r="X8" i="20"/>
  <c r="W8" i="20"/>
  <c r="S8" i="20"/>
  <c r="T8" i="20" s="1"/>
  <c r="O8" i="20"/>
  <c r="P8" i="20" s="1"/>
  <c r="L8" i="20"/>
  <c r="K8" i="20"/>
  <c r="H8" i="20"/>
  <c r="G8" i="20"/>
  <c r="D8" i="20"/>
  <c r="C8" i="20"/>
  <c r="W7" i="20"/>
  <c r="X7" i="20" s="1"/>
  <c r="T7" i="20"/>
  <c r="S7" i="20"/>
  <c r="P7" i="20"/>
  <c r="O7" i="20"/>
  <c r="K7" i="20"/>
  <c r="L7" i="20" s="1"/>
  <c r="G7" i="20"/>
  <c r="H7" i="20" s="1"/>
  <c r="D7" i="20"/>
  <c r="C7" i="20"/>
  <c r="X6" i="20"/>
  <c r="W6" i="20"/>
  <c r="S6" i="20"/>
  <c r="T6" i="20" s="1"/>
  <c r="O6" i="20"/>
  <c r="P6" i="20" s="1"/>
  <c r="L6" i="20"/>
  <c r="K6" i="20"/>
  <c r="H6" i="20"/>
  <c r="G6" i="20"/>
  <c r="D6" i="20"/>
  <c r="C6" i="20"/>
  <c r="W5" i="20"/>
  <c r="X5" i="20" s="1"/>
  <c r="T5" i="20"/>
  <c r="S5" i="20"/>
  <c r="P5" i="20"/>
  <c r="O5" i="20"/>
  <c r="L5" i="20"/>
  <c r="K5" i="20"/>
  <c r="G5" i="20"/>
  <c r="H5" i="20" s="1"/>
  <c r="D5" i="20"/>
  <c r="C5" i="20"/>
  <c r="X4" i="20"/>
  <c r="W4" i="20"/>
  <c r="S4" i="20"/>
  <c r="T4" i="20" s="1"/>
  <c r="O4" i="20"/>
  <c r="P4" i="20" s="1"/>
  <c r="L4" i="20"/>
  <c r="K4" i="20"/>
  <c r="H4" i="20"/>
  <c r="G4" i="20"/>
  <c r="C4" i="20"/>
  <c r="D4" i="20" s="1"/>
  <c r="W3" i="20"/>
  <c r="X3" i="20" s="1"/>
  <c r="T3" i="20"/>
  <c r="S3" i="20"/>
  <c r="P3" i="20"/>
  <c r="O3" i="20"/>
  <c r="K3" i="20"/>
  <c r="L3" i="20" s="1"/>
  <c r="G3" i="20"/>
  <c r="H3" i="20" s="1"/>
  <c r="D3" i="20"/>
  <c r="C3" i="20"/>
  <c r="X2" i="20"/>
  <c r="W2" i="20"/>
  <c r="T2" i="20"/>
  <c r="S2" i="20"/>
  <c r="O2" i="20"/>
  <c r="P2" i="20" s="1"/>
  <c r="L2" i="20"/>
  <c r="K2" i="20"/>
  <c r="H2" i="20"/>
  <c r="G2" i="20"/>
  <c r="C2" i="20"/>
  <c r="D2" i="20" s="1"/>
  <c r="W1" i="20"/>
  <c r="X1" i="20" s="1"/>
  <c r="T1" i="20"/>
  <c r="S1" i="20"/>
  <c r="P1" i="20"/>
  <c r="O1" i="20"/>
  <c r="K1" i="20"/>
  <c r="L1" i="20" s="1"/>
  <c r="G1" i="20"/>
  <c r="H1" i="20" s="1"/>
  <c r="D1" i="20"/>
  <c r="C1" i="20"/>
  <c r="P100" i="19"/>
  <c r="O100" i="19"/>
  <c r="L100" i="19"/>
  <c r="K100" i="19"/>
  <c r="O99" i="19"/>
  <c r="P99" i="19" s="1"/>
  <c r="L99" i="19"/>
  <c r="K99" i="19"/>
  <c r="P98" i="19"/>
  <c r="O98" i="19"/>
  <c r="L98" i="19"/>
  <c r="K98" i="19"/>
  <c r="O97" i="19"/>
  <c r="P97" i="19" s="1"/>
  <c r="L97" i="19"/>
  <c r="K97" i="19"/>
  <c r="P96" i="19"/>
  <c r="O96" i="19"/>
  <c r="K96" i="19"/>
  <c r="L96" i="19" s="1"/>
  <c r="O95" i="19"/>
  <c r="P95" i="19" s="1"/>
  <c r="L95" i="19"/>
  <c r="K95" i="19"/>
  <c r="P94" i="19"/>
  <c r="O94" i="19"/>
  <c r="K94" i="19"/>
  <c r="L94" i="19" s="1"/>
  <c r="O93" i="19"/>
  <c r="P93" i="19" s="1"/>
  <c r="L93" i="19"/>
  <c r="K93" i="19"/>
  <c r="P92" i="19"/>
  <c r="O92" i="19"/>
  <c r="K92" i="19"/>
  <c r="L92" i="19" s="1"/>
  <c r="O91" i="19"/>
  <c r="P91" i="19" s="1"/>
  <c r="L91" i="19"/>
  <c r="K91" i="19"/>
  <c r="P90" i="19"/>
  <c r="O90" i="19"/>
  <c r="L90" i="19"/>
  <c r="K90" i="19"/>
  <c r="O89" i="19"/>
  <c r="P89" i="19" s="1"/>
  <c r="L89" i="19"/>
  <c r="K89" i="19"/>
  <c r="P88" i="19"/>
  <c r="O88" i="19"/>
  <c r="K88" i="19"/>
  <c r="L88" i="19" s="1"/>
  <c r="O87" i="19"/>
  <c r="P87" i="19" s="1"/>
  <c r="L87" i="19"/>
  <c r="K87" i="19"/>
  <c r="P86" i="19"/>
  <c r="O86" i="19"/>
  <c r="K86" i="19"/>
  <c r="L86" i="19" s="1"/>
  <c r="O85" i="19"/>
  <c r="P85" i="19" s="1"/>
  <c r="L85" i="19"/>
  <c r="K85" i="19"/>
  <c r="P84" i="19"/>
  <c r="O84" i="19"/>
  <c r="L84" i="19"/>
  <c r="K84" i="19"/>
  <c r="O83" i="19"/>
  <c r="P83" i="19" s="1"/>
  <c r="L83" i="19"/>
  <c r="K83" i="19"/>
  <c r="P82" i="19"/>
  <c r="O82" i="19"/>
  <c r="L82" i="19"/>
  <c r="K82" i="19"/>
  <c r="O81" i="19"/>
  <c r="P81" i="19" s="1"/>
  <c r="L81" i="19"/>
  <c r="K81" i="19"/>
  <c r="P80" i="19"/>
  <c r="O80" i="19"/>
  <c r="K80" i="19"/>
  <c r="L80" i="19" s="1"/>
  <c r="O79" i="19"/>
  <c r="P79" i="19" s="1"/>
  <c r="L79" i="19"/>
  <c r="K79" i="19"/>
  <c r="P78" i="19"/>
  <c r="O78" i="19"/>
  <c r="K78" i="19"/>
  <c r="L78" i="19" s="1"/>
  <c r="O77" i="19"/>
  <c r="P77" i="19" s="1"/>
  <c r="L77" i="19"/>
  <c r="K77" i="19"/>
  <c r="P76" i="19"/>
  <c r="O76" i="19"/>
  <c r="K76" i="19"/>
  <c r="L76" i="19" s="1"/>
  <c r="O75" i="19"/>
  <c r="P75" i="19" s="1"/>
  <c r="L75" i="19"/>
  <c r="K75" i="19"/>
  <c r="P74" i="19"/>
  <c r="O74" i="19"/>
  <c r="L74" i="19"/>
  <c r="K74" i="19"/>
  <c r="O73" i="19"/>
  <c r="P73" i="19" s="1"/>
  <c r="L73" i="19"/>
  <c r="K73" i="19"/>
  <c r="P72" i="19"/>
  <c r="O72" i="19"/>
  <c r="K72" i="19"/>
  <c r="L72" i="19" s="1"/>
  <c r="O71" i="19"/>
  <c r="P71" i="19" s="1"/>
  <c r="L71" i="19"/>
  <c r="K71" i="19"/>
  <c r="X70" i="19"/>
  <c r="W70" i="19"/>
  <c r="S70" i="19"/>
  <c r="T70" i="19" s="1"/>
  <c r="O70" i="19"/>
  <c r="P70" i="19" s="1"/>
  <c r="L70" i="19"/>
  <c r="K70" i="19"/>
  <c r="H70" i="19"/>
  <c r="G70" i="19"/>
  <c r="D70" i="19"/>
  <c r="C70" i="19"/>
  <c r="W69" i="19"/>
  <c r="X69" i="19" s="1"/>
  <c r="T69" i="19"/>
  <c r="S69" i="19"/>
  <c r="P69" i="19"/>
  <c r="O69" i="19"/>
  <c r="L69" i="19"/>
  <c r="K69" i="19"/>
  <c r="G69" i="19"/>
  <c r="H69" i="19" s="1"/>
  <c r="D69" i="19"/>
  <c r="C69" i="19"/>
  <c r="X68" i="19"/>
  <c r="W68" i="19"/>
  <c r="S68" i="19"/>
  <c r="T68" i="19" s="1"/>
  <c r="O68" i="19"/>
  <c r="P68" i="19" s="1"/>
  <c r="L68" i="19"/>
  <c r="K68" i="19"/>
  <c r="H68" i="19"/>
  <c r="G68" i="19"/>
  <c r="D68" i="19"/>
  <c r="C68" i="19"/>
  <c r="W67" i="19"/>
  <c r="X67" i="19" s="1"/>
  <c r="T67" i="19"/>
  <c r="S67" i="19"/>
  <c r="P67" i="19"/>
  <c r="O67" i="19"/>
  <c r="K67" i="19"/>
  <c r="L67" i="19" s="1"/>
  <c r="G67" i="19"/>
  <c r="H67" i="19" s="1"/>
  <c r="D67" i="19"/>
  <c r="C67" i="19"/>
  <c r="X66" i="19"/>
  <c r="W66" i="19"/>
  <c r="T66" i="19"/>
  <c r="S66" i="19"/>
  <c r="O66" i="19"/>
  <c r="P66" i="19" s="1"/>
  <c r="L66" i="19"/>
  <c r="K66" i="19"/>
  <c r="H66" i="19"/>
  <c r="G66" i="19"/>
  <c r="C66" i="19"/>
  <c r="D66" i="19" s="1"/>
  <c r="W65" i="19"/>
  <c r="X65" i="19" s="1"/>
  <c r="T65" i="19"/>
  <c r="S65" i="19"/>
  <c r="P65" i="19"/>
  <c r="O65" i="19"/>
  <c r="K65" i="19"/>
  <c r="L65" i="19" s="1"/>
  <c r="G65" i="19"/>
  <c r="H65" i="19" s="1"/>
  <c r="D65" i="19"/>
  <c r="C65" i="19"/>
  <c r="X64" i="19"/>
  <c r="W64" i="19"/>
  <c r="T64" i="19"/>
  <c r="S64" i="19"/>
  <c r="O64" i="19"/>
  <c r="P64" i="19" s="1"/>
  <c r="L64" i="19"/>
  <c r="K64" i="19"/>
  <c r="H64" i="19"/>
  <c r="G64" i="19"/>
  <c r="D64" i="19"/>
  <c r="C64" i="19"/>
  <c r="W63" i="19"/>
  <c r="X63" i="19" s="1"/>
  <c r="T63" i="19"/>
  <c r="S63" i="19"/>
  <c r="P63" i="19"/>
  <c r="O63" i="19"/>
  <c r="K63" i="19"/>
  <c r="L63" i="19" s="1"/>
  <c r="G63" i="19"/>
  <c r="H63" i="19" s="1"/>
  <c r="D63" i="19"/>
  <c r="C63" i="19"/>
  <c r="X62" i="19"/>
  <c r="W62" i="19"/>
  <c r="T62" i="19"/>
  <c r="S62" i="19"/>
  <c r="O62" i="19"/>
  <c r="P62" i="19" s="1"/>
  <c r="L62" i="19"/>
  <c r="K62" i="19"/>
  <c r="H62" i="19"/>
  <c r="G62" i="19"/>
  <c r="C62" i="19"/>
  <c r="D62" i="19" s="1"/>
  <c r="W61" i="19"/>
  <c r="X61" i="19" s="1"/>
  <c r="T61" i="19"/>
  <c r="S61" i="19"/>
  <c r="P61" i="19"/>
  <c r="O61" i="19"/>
  <c r="L61" i="19"/>
  <c r="K61" i="19"/>
  <c r="G61" i="19"/>
  <c r="H61" i="19" s="1"/>
  <c r="D61" i="19"/>
  <c r="C61" i="19"/>
  <c r="X60" i="19"/>
  <c r="W60" i="19"/>
  <c r="S60" i="19"/>
  <c r="T60" i="19" s="1"/>
  <c r="O60" i="19"/>
  <c r="P60" i="19" s="1"/>
  <c r="L60" i="19"/>
  <c r="K60" i="19"/>
  <c r="H60" i="19"/>
  <c r="G60" i="19"/>
  <c r="C60" i="19"/>
  <c r="D60" i="19" s="1"/>
  <c r="W59" i="19"/>
  <c r="X59" i="19" s="1"/>
  <c r="T59" i="19"/>
  <c r="S59" i="19"/>
  <c r="P59" i="19"/>
  <c r="O59" i="19"/>
  <c r="L59" i="19"/>
  <c r="K59" i="19"/>
  <c r="G59" i="19"/>
  <c r="H59" i="19" s="1"/>
  <c r="D59" i="19"/>
  <c r="C59" i="19"/>
  <c r="X58" i="19"/>
  <c r="W58" i="19"/>
  <c r="T58" i="19"/>
  <c r="S58" i="19"/>
  <c r="O58" i="19"/>
  <c r="P58" i="19" s="1"/>
  <c r="L58" i="19"/>
  <c r="K58" i="19"/>
  <c r="H58" i="19"/>
  <c r="G58" i="19"/>
  <c r="C58" i="19"/>
  <c r="D58" i="19" s="1"/>
  <c r="W57" i="19"/>
  <c r="X57" i="19" s="1"/>
  <c r="T57" i="19"/>
  <c r="S57" i="19"/>
  <c r="P57" i="19"/>
  <c r="O57" i="19"/>
  <c r="K57" i="19"/>
  <c r="L57" i="19" s="1"/>
  <c r="G57" i="19"/>
  <c r="H57" i="19" s="1"/>
  <c r="D57" i="19"/>
  <c r="C57" i="19"/>
  <c r="X56" i="19"/>
  <c r="W56" i="19"/>
  <c r="S56" i="19"/>
  <c r="T56" i="19" s="1"/>
  <c r="O56" i="19"/>
  <c r="P56" i="19" s="1"/>
  <c r="L56" i="19"/>
  <c r="K56" i="19"/>
  <c r="H56" i="19"/>
  <c r="G56" i="19"/>
  <c r="D56" i="19"/>
  <c r="C56" i="19"/>
  <c r="W55" i="19"/>
  <c r="X55" i="19" s="1"/>
  <c r="T55" i="19"/>
  <c r="S55" i="19"/>
  <c r="P55" i="19"/>
  <c r="O55" i="19"/>
  <c r="K55" i="19"/>
  <c r="L55" i="19" s="1"/>
  <c r="G55" i="19"/>
  <c r="H55" i="19" s="1"/>
  <c r="D55" i="19"/>
  <c r="C55" i="19"/>
  <c r="X54" i="19"/>
  <c r="W54" i="19"/>
  <c r="S54" i="19"/>
  <c r="T54" i="19" s="1"/>
  <c r="O54" i="19"/>
  <c r="P54" i="19" s="1"/>
  <c r="L54" i="19"/>
  <c r="K54" i="19"/>
  <c r="H54" i="19"/>
  <c r="G54" i="19"/>
  <c r="D54" i="19"/>
  <c r="C54" i="19"/>
  <c r="W53" i="19"/>
  <c r="X53" i="19" s="1"/>
  <c r="T53" i="19"/>
  <c r="S53" i="19"/>
  <c r="P53" i="19"/>
  <c r="O53" i="19"/>
  <c r="L53" i="19"/>
  <c r="K53" i="19"/>
  <c r="G53" i="19"/>
  <c r="H53" i="19" s="1"/>
  <c r="D53" i="19"/>
  <c r="C53" i="19"/>
  <c r="X52" i="19"/>
  <c r="W52" i="19"/>
  <c r="T52" i="19"/>
  <c r="S52" i="19"/>
  <c r="O52" i="19"/>
  <c r="P52" i="19" s="1"/>
  <c r="L52" i="19"/>
  <c r="K52" i="19"/>
  <c r="H52" i="19"/>
  <c r="G52" i="19"/>
  <c r="C52" i="19"/>
  <c r="D52" i="19" s="1"/>
  <c r="W51" i="19"/>
  <c r="X51" i="19" s="1"/>
  <c r="T51" i="19"/>
  <c r="S51" i="19"/>
  <c r="P51" i="19"/>
  <c r="O51" i="19"/>
  <c r="K51" i="19"/>
  <c r="L51" i="19" s="1"/>
  <c r="G51" i="19"/>
  <c r="H51" i="19" s="1"/>
  <c r="D51" i="19"/>
  <c r="C51" i="19"/>
  <c r="X50" i="19"/>
  <c r="W50" i="19"/>
  <c r="T50" i="19"/>
  <c r="S50" i="19"/>
  <c r="O50" i="19"/>
  <c r="P50" i="19" s="1"/>
  <c r="L50" i="19"/>
  <c r="K50" i="19"/>
  <c r="H50" i="19"/>
  <c r="G50" i="19"/>
  <c r="C50" i="19"/>
  <c r="D50" i="19" s="1"/>
  <c r="W49" i="19"/>
  <c r="X49" i="19" s="1"/>
  <c r="T49" i="19"/>
  <c r="S49" i="19"/>
  <c r="P49" i="19"/>
  <c r="O49" i="19"/>
  <c r="K49" i="19"/>
  <c r="L49" i="19" s="1"/>
  <c r="G49" i="19"/>
  <c r="H49" i="19" s="1"/>
  <c r="D49" i="19"/>
  <c r="C49" i="19"/>
  <c r="X48" i="19"/>
  <c r="W48" i="19"/>
  <c r="T48" i="19"/>
  <c r="S48" i="19"/>
  <c r="O48" i="19"/>
  <c r="P48" i="19" s="1"/>
  <c r="L48" i="19"/>
  <c r="K48" i="19"/>
  <c r="H48" i="19"/>
  <c r="G48" i="19"/>
  <c r="D48" i="19"/>
  <c r="C48" i="19"/>
  <c r="W47" i="19"/>
  <c r="X47" i="19" s="1"/>
  <c r="T47" i="19"/>
  <c r="S47" i="19"/>
  <c r="P47" i="19"/>
  <c r="O47" i="19"/>
  <c r="L47" i="19"/>
  <c r="K47" i="19"/>
  <c r="G47" i="19"/>
  <c r="H47" i="19" s="1"/>
  <c r="D47" i="19"/>
  <c r="C47" i="19"/>
  <c r="X46" i="19"/>
  <c r="W46" i="19"/>
  <c r="S46" i="19"/>
  <c r="T46" i="19" s="1"/>
  <c r="O46" i="19"/>
  <c r="P46" i="19" s="1"/>
  <c r="L46" i="19"/>
  <c r="K46" i="19"/>
  <c r="H46" i="19"/>
  <c r="G46" i="19"/>
  <c r="C46" i="19"/>
  <c r="D46" i="19" s="1"/>
  <c r="W45" i="19"/>
  <c r="X45" i="19" s="1"/>
  <c r="T45" i="19"/>
  <c r="S45" i="19"/>
  <c r="P45" i="19"/>
  <c r="O45" i="19"/>
  <c r="L45" i="19"/>
  <c r="K45" i="19"/>
  <c r="G45" i="19"/>
  <c r="H45" i="19" s="1"/>
  <c r="D45" i="19"/>
  <c r="C45" i="19"/>
  <c r="X44" i="19"/>
  <c r="W44" i="19"/>
  <c r="S44" i="19"/>
  <c r="T44" i="19" s="1"/>
  <c r="O44" i="19"/>
  <c r="P44" i="19" s="1"/>
  <c r="L44" i="19"/>
  <c r="K44" i="19"/>
  <c r="H44" i="19"/>
  <c r="G44" i="19"/>
  <c r="C44" i="19"/>
  <c r="D44" i="19" s="1"/>
  <c r="W43" i="19"/>
  <c r="X43" i="19" s="1"/>
  <c r="T43" i="19"/>
  <c r="S43" i="19"/>
  <c r="P43" i="19"/>
  <c r="O43" i="19"/>
  <c r="L43" i="19"/>
  <c r="K43" i="19"/>
  <c r="G43" i="19"/>
  <c r="H43" i="19" s="1"/>
  <c r="D43" i="19"/>
  <c r="C43" i="19"/>
  <c r="X42" i="19"/>
  <c r="W42" i="19"/>
  <c r="T42" i="19"/>
  <c r="S42" i="19"/>
  <c r="O42" i="19"/>
  <c r="P42" i="19" s="1"/>
  <c r="L42" i="19"/>
  <c r="K42" i="19"/>
  <c r="H42" i="19"/>
  <c r="G42" i="19"/>
  <c r="C42" i="19"/>
  <c r="D42" i="19" s="1"/>
  <c r="W41" i="19"/>
  <c r="X41" i="19" s="1"/>
  <c r="T41" i="19"/>
  <c r="S41" i="19"/>
  <c r="P41" i="19"/>
  <c r="O41" i="19"/>
  <c r="K41" i="19"/>
  <c r="L41" i="19" s="1"/>
  <c r="G41" i="19"/>
  <c r="H41" i="19" s="1"/>
  <c r="D41" i="19"/>
  <c r="C41" i="19"/>
  <c r="X40" i="19"/>
  <c r="W40" i="19"/>
  <c r="S40" i="19"/>
  <c r="T40" i="19" s="1"/>
  <c r="O40" i="19"/>
  <c r="P40" i="19" s="1"/>
  <c r="L40" i="19"/>
  <c r="K40" i="19"/>
  <c r="H40" i="19"/>
  <c r="G40" i="19"/>
  <c r="D40" i="19"/>
  <c r="C40" i="19"/>
  <c r="W39" i="19"/>
  <c r="X39" i="19" s="1"/>
  <c r="T39" i="19"/>
  <c r="S39" i="19"/>
  <c r="P39" i="19"/>
  <c r="O39" i="19"/>
  <c r="K39" i="19"/>
  <c r="L39" i="19" s="1"/>
  <c r="G39" i="19"/>
  <c r="H39" i="19" s="1"/>
  <c r="D39" i="19"/>
  <c r="C39" i="19"/>
  <c r="X38" i="19"/>
  <c r="W38" i="19"/>
  <c r="S38" i="19"/>
  <c r="T38" i="19" s="1"/>
  <c r="O38" i="19"/>
  <c r="P38" i="19" s="1"/>
  <c r="L38" i="19"/>
  <c r="K38" i="19"/>
  <c r="H38" i="19"/>
  <c r="G38" i="19"/>
  <c r="D38" i="19"/>
  <c r="C38" i="19"/>
  <c r="W37" i="19"/>
  <c r="X37" i="19" s="1"/>
  <c r="T37" i="19"/>
  <c r="S37" i="19"/>
  <c r="P37" i="19"/>
  <c r="O37" i="19"/>
  <c r="L37" i="19"/>
  <c r="K37" i="19"/>
  <c r="G37" i="19"/>
  <c r="H37" i="19" s="1"/>
  <c r="D37" i="19"/>
  <c r="C37" i="19"/>
  <c r="X36" i="19"/>
  <c r="W36" i="19"/>
  <c r="S36" i="19"/>
  <c r="T36" i="19" s="1"/>
  <c r="O36" i="19"/>
  <c r="P36" i="19" s="1"/>
  <c r="L36" i="19"/>
  <c r="K36" i="19"/>
  <c r="H36" i="19"/>
  <c r="G36" i="19"/>
  <c r="C36" i="19"/>
  <c r="D36" i="19" s="1"/>
  <c r="W35" i="19"/>
  <c r="X35" i="19" s="1"/>
  <c r="T35" i="19"/>
  <c r="S35" i="19"/>
  <c r="P35" i="19"/>
  <c r="O35" i="19"/>
  <c r="K35" i="19"/>
  <c r="L35" i="19" s="1"/>
  <c r="G35" i="19"/>
  <c r="H35" i="19" s="1"/>
  <c r="D35" i="19"/>
  <c r="C35" i="19"/>
  <c r="X34" i="19"/>
  <c r="W34" i="19"/>
  <c r="T34" i="19"/>
  <c r="S34" i="19"/>
  <c r="O34" i="19"/>
  <c r="P34" i="19" s="1"/>
  <c r="L34" i="19"/>
  <c r="K34" i="19"/>
  <c r="H34" i="19"/>
  <c r="G34" i="19"/>
  <c r="C34" i="19"/>
  <c r="D34" i="19" s="1"/>
  <c r="W33" i="19"/>
  <c r="X33" i="19" s="1"/>
  <c r="T33" i="19"/>
  <c r="S33" i="19"/>
  <c r="P33" i="19"/>
  <c r="O33" i="19"/>
  <c r="K33" i="19"/>
  <c r="L33" i="19" s="1"/>
  <c r="G33" i="19"/>
  <c r="H33" i="19" s="1"/>
  <c r="D33" i="19"/>
  <c r="C33" i="19"/>
  <c r="X32" i="19"/>
  <c r="W32" i="19"/>
  <c r="T32" i="19"/>
  <c r="S32" i="19"/>
  <c r="O32" i="19"/>
  <c r="P32" i="19" s="1"/>
  <c r="L32" i="19"/>
  <c r="K32" i="19"/>
  <c r="H32" i="19"/>
  <c r="G32" i="19"/>
  <c r="D32" i="19"/>
  <c r="C32" i="19"/>
  <c r="W31" i="19"/>
  <c r="X31" i="19" s="1"/>
  <c r="T31" i="19"/>
  <c r="S31" i="19"/>
  <c r="P31" i="19"/>
  <c r="O31" i="19"/>
  <c r="K31" i="19"/>
  <c r="L31" i="19" s="1"/>
  <c r="G31" i="19"/>
  <c r="H31" i="19" s="1"/>
  <c r="D31" i="19"/>
  <c r="C31" i="19"/>
  <c r="X30" i="19"/>
  <c r="W30" i="19"/>
  <c r="S30" i="19"/>
  <c r="T30" i="19" s="1"/>
  <c r="O30" i="19"/>
  <c r="P30" i="19" s="1"/>
  <c r="L30" i="19"/>
  <c r="K30" i="19"/>
  <c r="H30" i="19"/>
  <c r="G30" i="19"/>
  <c r="C30" i="19"/>
  <c r="D30" i="19" s="1"/>
  <c r="W29" i="19"/>
  <c r="X29" i="19" s="1"/>
  <c r="T29" i="19"/>
  <c r="S29" i="19"/>
  <c r="P29" i="19"/>
  <c r="O29" i="19"/>
  <c r="L29" i="19"/>
  <c r="K29" i="19"/>
  <c r="G29" i="19"/>
  <c r="H29" i="19" s="1"/>
  <c r="D29" i="19"/>
  <c r="C29" i="19"/>
  <c r="X28" i="19"/>
  <c r="W28" i="19"/>
  <c r="S28" i="19"/>
  <c r="T28" i="19" s="1"/>
  <c r="O28" i="19"/>
  <c r="P28" i="19" s="1"/>
  <c r="L28" i="19"/>
  <c r="K28" i="19"/>
  <c r="H28" i="19"/>
  <c r="G28" i="19"/>
  <c r="C28" i="19"/>
  <c r="D28" i="19" s="1"/>
  <c r="W27" i="19"/>
  <c r="X27" i="19" s="1"/>
  <c r="T27" i="19"/>
  <c r="S27" i="19"/>
  <c r="P27" i="19"/>
  <c r="O27" i="19"/>
  <c r="L27" i="19"/>
  <c r="K27" i="19"/>
  <c r="G27" i="19"/>
  <c r="H27" i="19" s="1"/>
  <c r="D27" i="19"/>
  <c r="C27" i="19"/>
  <c r="X26" i="19"/>
  <c r="W26" i="19"/>
  <c r="T26" i="19"/>
  <c r="S26" i="19"/>
  <c r="O26" i="19"/>
  <c r="P26" i="19" s="1"/>
  <c r="L26" i="19"/>
  <c r="K26" i="19"/>
  <c r="H26" i="19"/>
  <c r="G26" i="19"/>
  <c r="C26" i="19"/>
  <c r="D26" i="19" s="1"/>
  <c r="W25" i="19"/>
  <c r="X25" i="19" s="1"/>
  <c r="T25" i="19"/>
  <c r="S25" i="19"/>
  <c r="P25" i="19"/>
  <c r="O25" i="19"/>
  <c r="K25" i="19"/>
  <c r="L25" i="19" s="1"/>
  <c r="G25" i="19"/>
  <c r="H25" i="19" s="1"/>
  <c r="D25" i="19"/>
  <c r="C25" i="19"/>
  <c r="X24" i="19"/>
  <c r="W24" i="19"/>
  <c r="S24" i="19"/>
  <c r="T24" i="19" s="1"/>
  <c r="O24" i="19"/>
  <c r="P24" i="19" s="1"/>
  <c r="L24" i="19"/>
  <c r="K24" i="19"/>
  <c r="H24" i="19"/>
  <c r="G24" i="19"/>
  <c r="D24" i="19"/>
  <c r="C24" i="19"/>
  <c r="W23" i="19"/>
  <c r="X23" i="19" s="1"/>
  <c r="T23" i="19"/>
  <c r="S23" i="19"/>
  <c r="P23" i="19"/>
  <c r="O23" i="19"/>
  <c r="L23" i="19"/>
  <c r="K23" i="19"/>
  <c r="G23" i="19"/>
  <c r="H23" i="19" s="1"/>
  <c r="D23" i="19"/>
  <c r="C23" i="19"/>
  <c r="X22" i="19"/>
  <c r="W22" i="19"/>
  <c r="S22" i="19"/>
  <c r="T22" i="19" s="1"/>
  <c r="O22" i="19"/>
  <c r="P22" i="19" s="1"/>
  <c r="L22" i="19"/>
  <c r="K22" i="19"/>
  <c r="H22" i="19"/>
  <c r="G22" i="19"/>
  <c r="D22" i="19"/>
  <c r="C22" i="19"/>
  <c r="W21" i="19"/>
  <c r="X21" i="19" s="1"/>
  <c r="T21" i="19"/>
  <c r="S21" i="19"/>
  <c r="P21" i="19"/>
  <c r="O21" i="19"/>
  <c r="L21" i="19"/>
  <c r="K21" i="19"/>
  <c r="G21" i="19"/>
  <c r="H21" i="19" s="1"/>
  <c r="D21" i="19"/>
  <c r="C21" i="19"/>
  <c r="X20" i="19"/>
  <c r="W20" i="19"/>
  <c r="T20" i="19"/>
  <c r="S20" i="19"/>
  <c r="O20" i="19"/>
  <c r="P20" i="19" s="1"/>
  <c r="L20" i="19"/>
  <c r="K20" i="19"/>
  <c r="H20" i="19"/>
  <c r="G20" i="19"/>
  <c r="C20" i="19"/>
  <c r="D20" i="19" s="1"/>
  <c r="W19" i="19"/>
  <c r="X19" i="19" s="1"/>
  <c r="T19" i="19"/>
  <c r="S19" i="19"/>
  <c r="P19" i="19"/>
  <c r="O19" i="19"/>
  <c r="K19" i="19"/>
  <c r="L19" i="19" s="1"/>
  <c r="G19" i="19"/>
  <c r="H19" i="19" s="1"/>
  <c r="D19" i="19"/>
  <c r="C19" i="19"/>
  <c r="X18" i="19"/>
  <c r="W18" i="19"/>
  <c r="T18" i="19"/>
  <c r="S18" i="19"/>
  <c r="O18" i="19"/>
  <c r="P18" i="19" s="1"/>
  <c r="L18" i="19"/>
  <c r="K18" i="19"/>
  <c r="H18" i="19"/>
  <c r="G18" i="19"/>
  <c r="C18" i="19"/>
  <c r="D18" i="19" s="1"/>
  <c r="W17" i="19"/>
  <c r="X17" i="19" s="1"/>
  <c r="T17" i="19"/>
  <c r="S17" i="19"/>
  <c r="P17" i="19"/>
  <c r="O17" i="19"/>
  <c r="K17" i="19"/>
  <c r="L17" i="19" s="1"/>
  <c r="G17" i="19"/>
  <c r="H17" i="19" s="1"/>
  <c r="D17" i="19"/>
  <c r="C17" i="19"/>
  <c r="X16" i="19"/>
  <c r="W16" i="19"/>
  <c r="T16" i="19"/>
  <c r="S16" i="19"/>
  <c r="O16" i="19"/>
  <c r="P16" i="19" s="1"/>
  <c r="L16" i="19"/>
  <c r="K16" i="19"/>
  <c r="H16" i="19"/>
  <c r="G16" i="19"/>
  <c r="D16" i="19"/>
  <c r="C16" i="19"/>
  <c r="W15" i="19"/>
  <c r="X15" i="19" s="1"/>
  <c r="T15" i="19"/>
  <c r="S15" i="19"/>
  <c r="P15" i="19"/>
  <c r="O15" i="19"/>
  <c r="K15" i="19"/>
  <c r="L15" i="19" s="1"/>
  <c r="G15" i="19"/>
  <c r="H15" i="19" s="1"/>
  <c r="D15" i="19"/>
  <c r="C15" i="19"/>
  <c r="X14" i="19"/>
  <c r="W14" i="19"/>
  <c r="T14" i="19"/>
  <c r="S14" i="19"/>
  <c r="O14" i="19"/>
  <c r="P14" i="19" s="1"/>
  <c r="L14" i="19"/>
  <c r="K14" i="19"/>
  <c r="H14" i="19"/>
  <c r="G14" i="19"/>
  <c r="C14" i="19"/>
  <c r="D14" i="19" s="1"/>
  <c r="W13" i="19"/>
  <c r="X13" i="19" s="1"/>
  <c r="T13" i="19"/>
  <c r="S13" i="19"/>
  <c r="P13" i="19"/>
  <c r="O13" i="19"/>
  <c r="L13" i="19"/>
  <c r="K13" i="19"/>
  <c r="G13" i="19"/>
  <c r="H13" i="19" s="1"/>
  <c r="D13" i="19"/>
  <c r="C13" i="19"/>
  <c r="X12" i="19"/>
  <c r="W12" i="19"/>
  <c r="S12" i="19"/>
  <c r="T12" i="19" s="1"/>
  <c r="O12" i="19"/>
  <c r="P12" i="19" s="1"/>
  <c r="L12" i="19"/>
  <c r="K12" i="19"/>
  <c r="H12" i="19"/>
  <c r="G12" i="19"/>
  <c r="C12" i="19"/>
  <c r="D12" i="19" s="1"/>
  <c r="W11" i="19"/>
  <c r="X11" i="19" s="1"/>
  <c r="T11" i="19"/>
  <c r="S11" i="19"/>
  <c r="P11" i="19"/>
  <c r="O11" i="19"/>
  <c r="L11" i="19"/>
  <c r="K11" i="19"/>
  <c r="G11" i="19"/>
  <c r="H11" i="19" s="1"/>
  <c r="D11" i="19"/>
  <c r="C11" i="19"/>
  <c r="X10" i="19"/>
  <c r="W10" i="19"/>
  <c r="T10" i="19"/>
  <c r="S10" i="19"/>
  <c r="O10" i="19"/>
  <c r="P10" i="19" s="1"/>
  <c r="L10" i="19"/>
  <c r="K10" i="19"/>
  <c r="H10" i="19"/>
  <c r="G10" i="19"/>
  <c r="C10" i="19"/>
  <c r="D10" i="19" s="1"/>
  <c r="W9" i="19"/>
  <c r="X9" i="19" s="1"/>
  <c r="T9" i="19"/>
  <c r="S9" i="19"/>
  <c r="P9" i="19"/>
  <c r="O9" i="19"/>
  <c r="K9" i="19"/>
  <c r="L9" i="19" s="1"/>
  <c r="G9" i="19"/>
  <c r="H9" i="19" s="1"/>
  <c r="D9" i="19"/>
  <c r="C9" i="19"/>
  <c r="X8" i="19"/>
  <c r="W8" i="19"/>
  <c r="S8" i="19"/>
  <c r="T8" i="19" s="1"/>
  <c r="O8" i="19"/>
  <c r="P8" i="19" s="1"/>
  <c r="L8" i="19"/>
  <c r="K8" i="19"/>
  <c r="H8" i="19"/>
  <c r="G8" i="19"/>
  <c r="D8" i="19"/>
  <c r="C8" i="19"/>
  <c r="W7" i="19"/>
  <c r="X7" i="19" s="1"/>
  <c r="T7" i="19"/>
  <c r="S7" i="19"/>
  <c r="P7" i="19"/>
  <c r="O7" i="19"/>
  <c r="K7" i="19"/>
  <c r="L7" i="19" s="1"/>
  <c r="G7" i="19"/>
  <c r="H7" i="19" s="1"/>
  <c r="D7" i="19"/>
  <c r="C7" i="19"/>
  <c r="X6" i="19"/>
  <c r="W6" i="19"/>
  <c r="S6" i="19"/>
  <c r="T6" i="19" s="1"/>
  <c r="O6" i="19"/>
  <c r="P6" i="19" s="1"/>
  <c r="L6" i="19"/>
  <c r="K6" i="19"/>
  <c r="H6" i="19"/>
  <c r="G6" i="19"/>
  <c r="D6" i="19"/>
  <c r="C6" i="19"/>
  <c r="W5" i="19"/>
  <c r="X5" i="19" s="1"/>
  <c r="T5" i="19"/>
  <c r="S5" i="19"/>
  <c r="P5" i="19"/>
  <c r="O5" i="19"/>
  <c r="L5" i="19"/>
  <c r="K5" i="19"/>
  <c r="G5" i="19"/>
  <c r="H5" i="19" s="1"/>
  <c r="D5" i="19"/>
  <c r="C5" i="19"/>
  <c r="X4" i="19"/>
  <c r="W4" i="19"/>
  <c r="S4" i="19"/>
  <c r="T4" i="19" s="1"/>
  <c r="O4" i="19"/>
  <c r="P4" i="19" s="1"/>
  <c r="L4" i="19"/>
  <c r="K4" i="19"/>
  <c r="H4" i="19"/>
  <c r="G4" i="19"/>
  <c r="C4" i="19"/>
  <c r="D4" i="19" s="1"/>
  <c r="W3" i="19"/>
  <c r="X3" i="19" s="1"/>
  <c r="T3" i="19"/>
  <c r="S3" i="19"/>
  <c r="P3" i="19"/>
  <c r="O3" i="19"/>
  <c r="K3" i="19"/>
  <c r="L3" i="19" s="1"/>
  <c r="G3" i="19"/>
  <c r="H3" i="19" s="1"/>
  <c r="D3" i="19"/>
  <c r="C3" i="19"/>
  <c r="X2" i="19"/>
  <c r="W2" i="19"/>
  <c r="T2" i="19"/>
  <c r="S2" i="19"/>
  <c r="O2" i="19"/>
  <c r="P2" i="19" s="1"/>
  <c r="L2" i="19"/>
  <c r="K2" i="19"/>
  <c r="H2" i="19"/>
  <c r="G2" i="19"/>
  <c r="D2" i="19"/>
  <c r="C2" i="19"/>
  <c r="W1" i="19"/>
  <c r="X1" i="19" s="1"/>
  <c r="T1" i="19"/>
  <c r="S1" i="19"/>
  <c r="P1" i="19"/>
  <c r="O1" i="19"/>
  <c r="K1" i="19"/>
  <c r="L1" i="19" s="1"/>
  <c r="G1" i="19"/>
  <c r="H1" i="19" s="1"/>
  <c r="D1" i="19"/>
  <c r="C1" i="19"/>
  <c r="E6" i="4"/>
  <c r="O100" i="16"/>
  <c r="P100" i="16" s="1"/>
  <c r="L100" i="16"/>
  <c r="K100" i="16"/>
  <c r="O99" i="16"/>
  <c r="P99" i="16" s="1"/>
  <c r="K99" i="16"/>
  <c r="L99" i="16" s="1"/>
  <c r="O98" i="16"/>
  <c r="P98" i="16" s="1"/>
  <c r="K98" i="16"/>
  <c r="L98" i="16" s="1"/>
  <c r="P97" i="16"/>
  <c r="O97" i="16"/>
  <c r="K97" i="16"/>
  <c r="L97" i="16" s="1"/>
  <c r="O96" i="16"/>
  <c r="P96" i="16" s="1"/>
  <c r="L96" i="16"/>
  <c r="K96" i="16"/>
  <c r="O95" i="16"/>
  <c r="P95" i="16" s="1"/>
  <c r="K95" i="16"/>
  <c r="L95" i="16" s="1"/>
  <c r="O94" i="16"/>
  <c r="P94" i="16" s="1"/>
  <c r="K94" i="16"/>
  <c r="L94" i="16" s="1"/>
  <c r="O93" i="16"/>
  <c r="P93" i="16" s="1"/>
  <c r="K93" i="16"/>
  <c r="L93" i="16" s="1"/>
  <c r="O92" i="16"/>
  <c r="P92" i="16" s="1"/>
  <c r="L92" i="16"/>
  <c r="K92" i="16"/>
  <c r="O91" i="16"/>
  <c r="P91" i="16" s="1"/>
  <c r="K91" i="16"/>
  <c r="L91" i="16" s="1"/>
  <c r="O90" i="16"/>
  <c r="P90" i="16" s="1"/>
  <c r="L90" i="16"/>
  <c r="K90" i="16"/>
  <c r="O89" i="16"/>
  <c r="P89" i="16" s="1"/>
  <c r="K89" i="16"/>
  <c r="L89" i="16" s="1"/>
  <c r="O88" i="16"/>
  <c r="P88" i="16" s="1"/>
  <c r="K88" i="16"/>
  <c r="L88" i="16" s="1"/>
  <c r="P87" i="16"/>
  <c r="O87" i="16"/>
  <c r="K87" i="16"/>
  <c r="L87" i="16" s="1"/>
  <c r="O86" i="16"/>
  <c r="P86" i="16" s="1"/>
  <c r="K86" i="16"/>
  <c r="L86" i="16" s="1"/>
  <c r="P85" i="16"/>
  <c r="O85" i="16"/>
  <c r="K85" i="16"/>
  <c r="L85" i="16" s="1"/>
  <c r="O84" i="16"/>
  <c r="P84" i="16" s="1"/>
  <c r="K84" i="16"/>
  <c r="L84" i="16" s="1"/>
  <c r="O83" i="16"/>
  <c r="P83" i="16" s="1"/>
  <c r="K83" i="16"/>
  <c r="L83" i="16" s="1"/>
  <c r="O82" i="16"/>
  <c r="P82" i="16" s="1"/>
  <c r="K82" i="16"/>
  <c r="L82" i="16" s="1"/>
  <c r="P81" i="16"/>
  <c r="O81" i="16"/>
  <c r="K81" i="16"/>
  <c r="L81" i="16" s="1"/>
  <c r="O80" i="16"/>
  <c r="P80" i="16" s="1"/>
  <c r="L80" i="16"/>
  <c r="K80" i="16"/>
  <c r="O79" i="16"/>
  <c r="P79" i="16" s="1"/>
  <c r="K79" i="16"/>
  <c r="L79" i="16" s="1"/>
  <c r="O78" i="16"/>
  <c r="P78" i="16" s="1"/>
  <c r="K78" i="16"/>
  <c r="L78" i="16" s="1"/>
  <c r="O77" i="16"/>
  <c r="P77" i="16" s="1"/>
  <c r="K77" i="16"/>
  <c r="L77" i="16" s="1"/>
  <c r="O76" i="16"/>
  <c r="P76" i="16" s="1"/>
  <c r="L76" i="16"/>
  <c r="K76" i="16"/>
  <c r="O75" i="16"/>
  <c r="P75" i="16" s="1"/>
  <c r="K75" i="16"/>
  <c r="L75" i="16" s="1"/>
  <c r="O74" i="16"/>
  <c r="P74" i="16" s="1"/>
  <c r="L74" i="16"/>
  <c r="K74" i="16"/>
  <c r="O73" i="16"/>
  <c r="P73" i="16" s="1"/>
  <c r="K73" i="16"/>
  <c r="L73" i="16" s="1"/>
  <c r="O72" i="16"/>
  <c r="P72" i="16" s="1"/>
  <c r="K72" i="16"/>
  <c r="L72" i="16" s="1"/>
  <c r="P71" i="16"/>
  <c r="O71" i="16"/>
  <c r="K71" i="16"/>
  <c r="L71" i="16" s="1"/>
  <c r="W70" i="16"/>
  <c r="X70" i="16" s="1"/>
  <c r="S70" i="16"/>
  <c r="T70" i="16" s="1"/>
  <c r="O70" i="16"/>
  <c r="P70" i="16" s="1"/>
  <c r="K70" i="16"/>
  <c r="L70" i="16" s="1"/>
  <c r="G70" i="16"/>
  <c r="H70" i="16" s="1"/>
  <c r="D70" i="16"/>
  <c r="C70" i="16"/>
  <c r="W69" i="16"/>
  <c r="X69" i="16" s="1"/>
  <c r="S69" i="16"/>
  <c r="T69" i="16" s="1"/>
  <c r="O69" i="16"/>
  <c r="P69" i="16" s="1"/>
  <c r="K69" i="16"/>
  <c r="L69" i="16" s="1"/>
  <c r="H69" i="16"/>
  <c r="G69" i="16"/>
  <c r="C69" i="16"/>
  <c r="D69" i="16" s="1"/>
  <c r="W68" i="16"/>
  <c r="X68" i="16" s="1"/>
  <c r="T68" i="16"/>
  <c r="S68" i="16"/>
  <c r="O68" i="16"/>
  <c r="P68" i="16" s="1"/>
  <c r="K68" i="16"/>
  <c r="L68" i="16" s="1"/>
  <c r="G68" i="16"/>
  <c r="H68" i="16" s="1"/>
  <c r="C68" i="16"/>
  <c r="D68" i="16" s="1"/>
  <c r="X67" i="16"/>
  <c r="W67" i="16"/>
  <c r="S67" i="16"/>
  <c r="T67" i="16" s="1"/>
  <c r="O67" i="16"/>
  <c r="P67" i="16" s="1"/>
  <c r="L67" i="16"/>
  <c r="K67" i="16"/>
  <c r="G67" i="16"/>
  <c r="H67" i="16" s="1"/>
  <c r="C67" i="16"/>
  <c r="D67" i="16" s="1"/>
  <c r="W66" i="16"/>
  <c r="X66" i="16" s="1"/>
  <c r="S66" i="16"/>
  <c r="T66" i="16" s="1"/>
  <c r="P66" i="16"/>
  <c r="O66" i="16"/>
  <c r="K66" i="16"/>
  <c r="L66" i="16" s="1"/>
  <c r="G66" i="16"/>
  <c r="H66" i="16" s="1"/>
  <c r="D66" i="16"/>
  <c r="C66" i="16"/>
  <c r="W65" i="16"/>
  <c r="X65" i="16" s="1"/>
  <c r="S65" i="16"/>
  <c r="T65" i="16" s="1"/>
  <c r="O65" i="16"/>
  <c r="P65" i="16" s="1"/>
  <c r="K65" i="16"/>
  <c r="L65" i="16" s="1"/>
  <c r="H65" i="16"/>
  <c r="G65" i="16"/>
  <c r="C65" i="16"/>
  <c r="D65" i="16" s="1"/>
  <c r="W64" i="16"/>
  <c r="X64" i="16" s="1"/>
  <c r="T64" i="16"/>
  <c r="S64" i="16"/>
  <c r="O64" i="16"/>
  <c r="P64" i="16" s="1"/>
  <c r="K64" i="16"/>
  <c r="L64" i="16" s="1"/>
  <c r="G64" i="16"/>
  <c r="H64" i="16" s="1"/>
  <c r="D64" i="16"/>
  <c r="C64" i="16"/>
  <c r="X63" i="16"/>
  <c r="W63" i="16"/>
  <c r="S63" i="16"/>
  <c r="T63" i="16" s="1"/>
  <c r="O63" i="16"/>
  <c r="P63" i="16" s="1"/>
  <c r="L63" i="16"/>
  <c r="K63" i="16"/>
  <c r="H63" i="16"/>
  <c r="G63" i="16"/>
  <c r="C63" i="16"/>
  <c r="D63" i="16" s="1"/>
  <c r="W62" i="16"/>
  <c r="X62" i="16" s="1"/>
  <c r="S62" i="16"/>
  <c r="T62" i="16" s="1"/>
  <c r="P62" i="16"/>
  <c r="O62" i="16"/>
  <c r="K62" i="16"/>
  <c r="L62" i="16" s="1"/>
  <c r="G62" i="16"/>
  <c r="H62" i="16" s="1"/>
  <c r="D62" i="16"/>
  <c r="C62" i="16"/>
  <c r="W61" i="16"/>
  <c r="X61" i="16" s="1"/>
  <c r="S61" i="16"/>
  <c r="T61" i="16" s="1"/>
  <c r="O61" i="16"/>
  <c r="P61" i="16" s="1"/>
  <c r="K61" i="16"/>
  <c r="L61" i="16" s="1"/>
  <c r="H61" i="16"/>
  <c r="G61" i="16"/>
  <c r="C61" i="16"/>
  <c r="D61" i="16" s="1"/>
  <c r="W60" i="16"/>
  <c r="X60" i="16" s="1"/>
  <c r="T60" i="16"/>
  <c r="S60" i="16"/>
  <c r="O60" i="16"/>
  <c r="P60" i="16" s="1"/>
  <c r="K60" i="16"/>
  <c r="L60" i="16" s="1"/>
  <c r="G60" i="16"/>
  <c r="H60" i="16" s="1"/>
  <c r="C60" i="16"/>
  <c r="D60" i="16" s="1"/>
  <c r="X59" i="16"/>
  <c r="W59" i="16"/>
  <c r="S59" i="16"/>
  <c r="T59" i="16" s="1"/>
  <c r="O59" i="16"/>
  <c r="P59" i="16" s="1"/>
  <c r="L59" i="16"/>
  <c r="K59" i="16"/>
  <c r="G59" i="16"/>
  <c r="H59" i="16" s="1"/>
  <c r="C59" i="16"/>
  <c r="D59" i="16" s="1"/>
  <c r="W58" i="16"/>
  <c r="X58" i="16" s="1"/>
  <c r="S58" i="16"/>
  <c r="T58" i="16" s="1"/>
  <c r="P58" i="16"/>
  <c r="O58" i="16"/>
  <c r="K58" i="16"/>
  <c r="L58" i="16" s="1"/>
  <c r="G58" i="16"/>
  <c r="H58" i="16" s="1"/>
  <c r="D58" i="16"/>
  <c r="C58" i="16"/>
  <c r="W57" i="16"/>
  <c r="X57" i="16" s="1"/>
  <c r="S57" i="16"/>
  <c r="T57" i="16" s="1"/>
  <c r="O57" i="16"/>
  <c r="P57" i="16" s="1"/>
  <c r="K57" i="16"/>
  <c r="L57" i="16" s="1"/>
  <c r="H57" i="16"/>
  <c r="G57" i="16"/>
  <c r="C57" i="16"/>
  <c r="D57" i="16" s="1"/>
  <c r="W56" i="16"/>
  <c r="X56" i="16" s="1"/>
  <c r="T56" i="16"/>
  <c r="S56" i="16"/>
  <c r="O56" i="16"/>
  <c r="P56" i="16" s="1"/>
  <c r="K56" i="16"/>
  <c r="L56" i="16" s="1"/>
  <c r="G56" i="16"/>
  <c r="H56" i="16" s="1"/>
  <c r="C56" i="16"/>
  <c r="D56" i="16" s="1"/>
  <c r="X55" i="16"/>
  <c r="W55" i="16"/>
  <c r="S55" i="16"/>
  <c r="T55" i="16" s="1"/>
  <c r="O55" i="16"/>
  <c r="P55" i="16" s="1"/>
  <c r="L55" i="16"/>
  <c r="K55" i="16"/>
  <c r="G55" i="16"/>
  <c r="H55" i="16" s="1"/>
  <c r="C55" i="16"/>
  <c r="D55" i="16" s="1"/>
  <c r="W54" i="16"/>
  <c r="X54" i="16" s="1"/>
  <c r="S54" i="16"/>
  <c r="T54" i="16" s="1"/>
  <c r="P54" i="16"/>
  <c r="O54" i="16"/>
  <c r="K54" i="16"/>
  <c r="L54" i="16" s="1"/>
  <c r="G54" i="16"/>
  <c r="H54" i="16" s="1"/>
  <c r="D54" i="16"/>
  <c r="C54" i="16"/>
  <c r="W53" i="16"/>
  <c r="X53" i="16" s="1"/>
  <c r="S53" i="16"/>
  <c r="T53" i="16" s="1"/>
  <c r="O53" i="16"/>
  <c r="P53" i="16" s="1"/>
  <c r="L53" i="16"/>
  <c r="K53" i="16"/>
  <c r="H53" i="16"/>
  <c r="G53" i="16"/>
  <c r="C53" i="16"/>
  <c r="D53" i="16" s="1"/>
  <c r="W52" i="16"/>
  <c r="X52" i="16" s="1"/>
  <c r="T52" i="16"/>
  <c r="S52" i="16"/>
  <c r="P52" i="16"/>
  <c r="O52" i="16"/>
  <c r="K52" i="16"/>
  <c r="L52" i="16" s="1"/>
  <c r="G52" i="16"/>
  <c r="H52" i="16" s="1"/>
  <c r="C52" i="16"/>
  <c r="D52" i="16" s="1"/>
  <c r="X51" i="16"/>
  <c r="W51" i="16"/>
  <c r="S51" i="16"/>
  <c r="T51" i="16" s="1"/>
  <c r="O51" i="16"/>
  <c r="P51" i="16" s="1"/>
  <c r="L51" i="16"/>
  <c r="K51" i="16"/>
  <c r="G51" i="16"/>
  <c r="H51" i="16" s="1"/>
  <c r="C51" i="16"/>
  <c r="D51" i="16" s="1"/>
  <c r="W50" i="16"/>
  <c r="X50" i="16" s="1"/>
  <c r="S50" i="16"/>
  <c r="T50" i="16" s="1"/>
  <c r="P50" i="16"/>
  <c r="O50" i="16"/>
  <c r="K50" i="16"/>
  <c r="L50" i="16" s="1"/>
  <c r="G50" i="16"/>
  <c r="H50" i="16" s="1"/>
  <c r="D50" i="16"/>
  <c r="C50" i="16"/>
  <c r="W49" i="16"/>
  <c r="X49" i="16" s="1"/>
  <c r="S49" i="16"/>
  <c r="T49" i="16" s="1"/>
  <c r="O49" i="16"/>
  <c r="P49" i="16" s="1"/>
  <c r="K49" i="16"/>
  <c r="L49" i="16" s="1"/>
  <c r="H49" i="16"/>
  <c r="G49" i="16"/>
  <c r="C49" i="16"/>
  <c r="D49" i="16" s="1"/>
  <c r="W48" i="16"/>
  <c r="X48" i="16" s="1"/>
  <c r="T48" i="16"/>
  <c r="S48" i="16"/>
  <c r="O48" i="16"/>
  <c r="P48" i="16" s="1"/>
  <c r="K48" i="16"/>
  <c r="L48" i="16" s="1"/>
  <c r="G48" i="16"/>
  <c r="H48" i="16" s="1"/>
  <c r="C48" i="16"/>
  <c r="D48" i="16" s="1"/>
  <c r="X47" i="16"/>
  <c r="W47" i="16"/>
  <c r="S47" i="16"/>
  <c r="T47" i="16" s="1"/>
  <c r="O47" i="16"/>
  <c r="P47" i="16" s="1"/>
  <c r="L47" i="16"/>
  <c r="K47" i="16"/>
  <c r="G47" i="16"/>
  <c r="H47" i="16" s="1"/>
  <c r="C47" i="16"/>
  <c r="D47" i="16" s="1"/>
  <c r="W46" i="16"/>
  <c r="X46" i="16" s="1"/>
  <c r="S46" i="16"/>
  <c r="T46" i="16" s="1"/>
  <c r="P46" i="16"/>
  <c r="O46" i="16"/>
  <c r="K46" i="16"/>
  <c r="L46" i="16" s="1"/>
  <c r="G46" i="16"/>
  <c r="H46" i="16" s="1"/>
  <c r="D46" i="16"/>
  <c r="C46" i="16"/>
  <c r="W45" i="16"/>
  <c r="X45" i="16" s="1"/>
  <c r="S45" i="16"/>
  <c r="T45" i="16" s="1"/>
  <c r="O45" i="16"/>
  <c r="P45" i="16" s="1"/>
  <c r="K45" i="16"/>
  <c r="L45" i="16" s="1"/>
  <c r="H45" i="16"/>
  <c r="G45" i="16"/>
  <c r="C45" i="16"/>
  <c r="D45" i="16" s="1"/>
  <c r="W44" i="16"/>
  <c r="X44" i="16" s="1"/>
  <c r="T44" i="16"/>
  <c r="S44" i="16"/>
  <c r="O44" i="16"/>
  <c r="P44" i="16" s="1"/>
  <c r="K44" i="16"/>
  <c r="L44" i="16" s="1"/>
  <c r="G44" i="16"/>
  <c r="H44" i="16" s="1"/>
  <c r="C44" i="16"/>
  <c r="D44" i="16" s="1"/>
  <c r="X43" i="16"/>
  <c r="W43" i="16"/>
  <c r="S43" i="16"/>
  <c r="T43" i="16" s="1"/>
  <c r="O43" i="16"/>
  <c r="P43" i="16" s="1"/>
  <c r="L43" i="16"/>
  <c r="K43" i="16"/>
  <c r="G43" i="16"/>
  <c r="H43" i="16" s="1"/>
  <c r="C43" i="16"/>
  <c r="D43" i="16" s="1"/>
  <c r="W42" i="16"/>
  <c r="X42" i="16" s="1"/>
  <c r="T42" i="16"/>
  <c r="S42" i="16"/>
  <c r="P42" i="16"/>
  <c r="O42" i="16"/>
  <c r="K42" i="16"/>
  <c r="L42" i="16" s="1"/>
  <c r="G42" i="16"/>
  <c r="H42" i="16" s="1"/>
  <c r="D42" i="16"/>
  <c r="C42" i="16"/>
  <c r="X41" i="16"/>
  <c r="W41" i="16"/>
  <c r="S41" i="16"/>
  <c r="T41" i="16" s="1"/>
  <c r="O41" i="16"/>
  <c r="P41" i="16" s="1"/>
  <c r="K41" i="16"/>
  <c r="L41" i="16" s="1"/>
  <c r="H41" i="16"/>
  <c r="G41" i="16"/>
  <c r="C41" i="16"/>
  <c r="D41" i="16" s="1"/>
  <c r="W40" i="16"/>
  <c r="X40" i="16" s="1"/>
  <c r="T40" i="16"/>
  <c r="S40" i="16"/>
  <c r="O40" i="16"/>
  <c r="P40" i="16" s="1"/>
  <c r="K40" i="16"/>
  <c r="L40" i="16" s="1"/>
  <c r="G40" i="16"/>
  <c r="H40" i="16" s="1"/>
  <c r="C40" i="16"/>
  <c r="D40" i="16" s="1"/>
  <c r="X39" i="16"/>
  <c r="W39" i="16"/>
  <c r="S39" i="16"/>
  <c r="T39" i="16" s="1"/>
  <c r="O39" i="16"/>
  <c r="P39" i="16" s="1"/>
  <c r="L39" i="16"/>
  <c r="K39" i="16"/>
  <c r="G39" i="16"/>
  <c r="H39" i="16" s="1"/>
  <c r="C39" i="16"/>
  <c r="D39" i="16" s="1"/>
  <c r="W38" i="16"/>
  <c r="X38" i="16" s="1"/>
  <c r="S38" i="16"/>
  <c r="T38" i="16" s="1"/>
  <c r="P38" i="16"/>
  <c r="O38" i="16"/>
  <c r="K38" i="16"/>
  <c r="L38" i="16" s="1"/>
  <c r="G38" i="16"/>
  <c r="H38" i="16" s="1"/>
  <c r="D38" i="16"/>
  <c r="C38" i="16"/>
  <c r="W37" i="16"/>
  <c r="X37" i="16" s="1"/>
  <c r="S37" i="16"/>
  <c r="T37" i="16" s="1"/>
  <c r="O37" i="16"/>
  <c r="P37" i="16" s="1"/>
  <c r="K37" i="16"/>
  <c r="L37" i="16" s="1"/>
  <c r="H37" i="16"/>
  <c r="G37" i="16"/>
  <c r="C37" i="16"/>
  <c r="D37" i="16" s="1"/>
  <c r="W36" i="16"/>
  <c r="X36" i="16" s="1"/>
  <c r="T36" i="16"/>
  <c r="S36" i="16"/>
  <c r="O36" i="16"/>
  <c r="P36" i="16" s="1"/>
  <c r="K36" i="16"/>
  <c r="L36" i="16" s="1"/>
  <c r="G36" i="16"/>
  <c r="H36" i="16" s="1"/>
  <c r="C36" i="16"/>
  <c r="D36" i="16" s="1"/>
  <c r="X35" i="16"/>
  <c r="W35" i="16"/>
  <c r="S35" i="16"/>
  <c r="T35" i="16" s="1"/>
  <c r="O35" i="16"/>
  <c r="P35" i="16" s="1"/>
  <c r="L35" i="16"/>
  <c r="K35" i="16"/>
  <c r="G35" i="16"/>
  <c r="H35" i="16" s="1"/>
  <c r="C35" i="16"/>
  <c r="D35" i="16" s="1"/>
  <c r="W34" i="16"/>
  <c r="X34" i="16" s="1"/>
  <c r="S34" i="16"/>
  <c r="T34" i="16" s="1"/>
  <c r="P34" i="16"/>
  <c r="O34" i="16"/>
  <c r="K34" i="16"/>
  <c r="L34" i="16" s="1"/>
  <c r="G34" i="16"/>
  <c r="H34" i="16" s="1"/>
  <c r="D34" i="16"/>
  <c r="C34" i="16"/>
  <c r="W33" i="16"/>
  <c r="X33" i="16" s="1"/>
  <c r="S33" i="16"/>
  <c r="T33" i="16" s="1"/>
  <c r="O33" i="16"/>
  <c r="P33" i="16" s="1"/>
  <c r="K33" i="16"/>
  <c r="L33" i="16" s="1"/>
  <c r="H33" i="16"/>
  <c r="G33" i="16"/>
  <c r="C33" i="16"/>
  <c r="D33" i="16" s="1"/>
  <c r="W32" i="16"/>
  <c r="X32" i="16" s="1"/>
  <c r="T32" i="16"/>
  <c r="S32" i="16"/>
  <c r="O32" i="16"/>
  <c r="P32" i="16" s="1"/>
  <c r="K32" i="16"/>
  <c r="L32" i="16" s="1"/>
  <c r="G32" i="16"/>
  <c r="H32" i="16" s="1"/>
  <c r="D32" i="16"/>
  <c r="C32" i="16"/>
  <c r="X31" i="16"/>
  <c r="W31" i="16"/>
  <c r="S31" i="16"/>
  <c r="T31" i="16" s="1"/>
  <c r="O31" i="16"/>
  <c r="P31" i="16" s="1"/>
  <c r="L31" i="16"/>
  <c r="K31" i="16"/>
  <c r="H31" i="16"/>
  <c r="G31" i="16"/>
  <c r="D31" i="16"/>
  <c r="C31" i="16"/>
  <c r="W30" i="16"/>
  <c r="X30" i="16" s="1"/>
  <c r="S30" i="16"/>
  <c r="T30" i="16" s="1"/>
  <c r="O30" i="16"/>
  <c r="P30" i="16" s="1"/>
  <c r="L30" i="16"/>
  <c r="K30" i="16"/>
  <c r="H30" i="16"/>
  <c r="G30" i="16"/>
  <c r="C30" i="16"/>
  <c r="D30" i="16" s="1"/>
  <c r="W29" i="16"/>
  <c r="X29" i="16" s="1"/>
  <c r="S29" i="16"/>
  <c r="T29" i="16" s="1"/>
  <c r="P29" i="16"/>
  <c r="O29" i="16"/>
  <c r="L29" i="16"/>
  <c r="K29" i="16"/>
  <c r="G29" i="16"/>
  <c r="H29" i="16" s="1"/>
  <c r="C29" i="16"/>
  <c r="D29" i="16" s="1"/>
  <c r="X28" i="16"/>
  <c r="W28" i="16"/>
  <c r="S28" i="16"/>
  <c r="T28" i="16" s="1"/>
  <c r="O28" i="16"/>
  <c r="P28" i="16" s="1"/>
  <c r="K28" i="16"/>
  <c r="L28" i="16" s="1"/>
  <c r="H28" i="16"/>
  <c r="G28" i="16"/>
  <c r="C28" i="16"/>
  <c r="D28" i="16" s="1"/>
  <c r="W27" i="16"/>
  <c r="X27" i="16" s="1"/>
  <c r="S27" i="16"/>
  <c r="T27" i="16" s="1"/>
  <c r="P27" i="16"/>
  <c r="O27" i="16"/>
  <c r="L27" i="16"/>
  <c r="K27" i="16"/>
  <c r="G27" i="16"/>
  <c r="H27" i="16" s="1"/>
  <c r="D27" i="16"/>
  <c r="C27" i="16"/>
  <c r="X26" i="16"/>
  <c r="W26" i="16"/>
  <c r="S26" i="16"/>
  <c r="T26" i="16" s="1"/>
  <c r="O26" i="16"/>
  <c r="P26" i="16" s="1"/>
  <c r="K26" i="16"/>
  <c r="L26" i="16" s="1"/>
  <c r="H26" i="16"/>
  <c r="G26" i="16"/>
  <c r="C26" i="16"/>
  <c r="D26" i="16" s="1"/>
  <c r="W25" i="16"/>
  <c r="X25" i="16" s="1"/>
  <c r="S25" i="16"/>
  <c r="T25" i="16" s="1"/>
  <c r="P25" i="16"/>
  <c r="O25" i="16"/>
  <c r="K25" i="16"/>
  <c r="L25" i="16" s="1"/>
  <c r="G25" i="16"/>
  <c r="H25" i="16" s="1"/>
  <c r="D25" i="16"/>
  <c r="C25" i="16"/>
  <c r="X24" i="16"/>
  <c r="W24" i="16"/>
  <c r="S24" i="16"/>
  <c r="T24" i="16" s="1"/>
  <c r="O24" i="16"/>
  <c r="P24" i="16" s="1"/>
  <c r="K24" i="16"/>
  <c r="L24" i="16" s="1"/>
  <c r="H24" i="16"/>
  <c r="G24" i="16"/>
  <c r="D24" i="16"/>
  <c r="C24" i="16"/>
  <c r="W23" i="16"/>
  <c r="X23" i="16" s="1"/>
  <c r="S23" i="16"/>
  <c r="T23" i="16" s="1"/>
  <c r="P23" i="16"/>
  <c r="O23" i="16"/>
  <c r="K23" i="16"/>
  <c r="L23" i="16" s="1"/>
  <c r="G23" i="16"/>
  <c r="H23" i="16" s="1"/>
  <c r="C23" i="16"/>
  <c r="D23" i="16" s="1"/>
  <c r="X22" i="16"/>
  <c r="W22" i="16"/>
  <c r="S22" i="16"/>
  <c r="T22" i="16" s="1"/>
  <c r="O22" i="16"/>
  <c r="P22" i="16" s="1"/>
  <c r="K22" i="16"/>
  <c r="L22" i="16" s="1"/>
  <c r="H22" i="16"/>
  <c r="G22" i="16"/>
  <c r="D22" i="16"/>
  <c r="C22" i="16"/>
  <c r="W21" i="16"/>
  <c r="X21" i="16" s="1"/>
  <c r="T21" i="16"/>
  <c r="S21" i="16"/>
  <c r="P21" i="16"/>
  <c r="O21" i="16"/>
  <c r="K21" i="16"/>
  <c r="L21" i="16" s="1"/>
  <c r="G21" i="16"/>
  <c r="H21" i="16" s="1"/>
  <c r="C21" i="16"/>
  <c r="D21" i="16" s="1"/>
  <c r="X20" i="16"/>
  <c r="W20" i="16"/>
  <c r="S20" i="16"/>
  <c r="T20" i="16" s="1"/>
  <c r="O20" i="16"/>
  <c r="P20" i="16" s="1"/>
  <c r="K20" i="16"/>
  <c r="L20" i="16" s="1"/>
  <c r="H20" i="16"/>
  <c r="G20" i="16"/>
  <c r="C20" i="16"/>
  <c r="D20" i="16" s="1"/>
  <c r="W19" i="16"/>
  <c r="X19" i="16" s="1"/>
  <c r="T19" i="16"/>
  <c r="S19" i="16"/>
  <c r="P19" i="16"/>
  <c r="O19" i="16"/>
  <c r="K19" i="16"/>
  <c r="L19" i="16" s="1"/>
  <c r="G19" i="16"/>
  <c r="H19" i="16" s="1"/>
  <c r="C19" i="16"/>
  <c r="D19" i="16" s="1"/>
  <c r="X18" i="16"/>
  <c r="W18" i="16"/>
  <c r="T18" i="16"/>
  <c r="S18" i="16"/>
  <c r="O18" i="16"/>
  <c r="P18" i="16" s="1"/>
  <c r="K18" i="16"/>
  <c r="L18" i="16" s="1"/>
  <c r="H18" i="16"/>
  <c r="G18" i="16"/>
  <c r="C18" i="16"/>
  <c r="D18" i="16" s="1"/>
  <c r="W17" i="16"/>
  <c r="X17" i="16" s="1"/>
  <c r="S17" i="16"/>
  <c r="T17" i="16" s="1"/>
  <c r="P17" i="16"/>
  <c r="O17" i="16"/>
  <c r="K17" i="16"/>
  <c r="L17" i="16" s="1"/>
  <c r="G17" i="16"/>
  <c r="H17" i="16" s="1"/>
  <c r="C17" i="16"/>
  <c r="D17" i="16" s="1"/>
  <c r="X16" i="16"/>
  <c r="W16" i="16"/>
  <c r="T16" i="16"/>
  <c r="S16" i="16"/>
  <c r="O16" i="16"/>
  <c r="P16" i="16" s="1"/>
  <c r="L16" i="16"/>
  <c r="K16" i="16"/>
  <c r="H16" i="16"/>
  <c r="G16" i="16"/>
  <c r="C16" i="16"/>
  <c r="D16" i="16" s="1"/>
  <c r="W15" i="16"/>
  <c r="X15" i="16" s="1"/>
  <c r="S15" i="16"/>
  <c r="T15" i="16" s="1"/>
  <c r="P15" i="16"/>
  <c r="O15" i="16"/>
  <c r="K15" i="16"/>
  <c r="L15" i="16" s="1"/>
  <c r="G15" i="16"/>
  <c r="H15" i="16" s="1"/>
  <c r="C15" i="16"/>
  <c r="D15" i="16" s="1"/>
  <c r="X14" i="16"/>
  <c r="W14" i="16"/>
  <c r="S14" i="16"/>
  <c r="T14" i="16" s="1"/>
  <c r="O14" i="16"/>
  <c r="P14" i="16" s="1"/>
  <c r="L14" i="16"/>
  <c r="K14" i="16"/>
  <c r="H14" i="16"/>
  <c r="G14" i="16"/>
  <c r="C14" i="16"/>
  <c r="D14" i="16" s="1"/>
  <c r="W13" i="16"/>
  <c r="X13" i="16" s="1"/>
  <c r="S13" i="16"/>
  <c r="T13" i="16" s="1"/>
  <c r="P13" i="16"/>
  <c r="O13" i="16"/>
  <c r="L13" i="16"/>
  <c r="K13" i="16"/>
  <c r="G13" i="16"/>
  <c r="H13" i="16" s="1"/>
  <c r="C13" i="16"/>
  <c r="D13" i="16" s="1"/>
  <c r="X12" i="16"/>
  <c r="W12" i="16"/>
  <c r="S12" i="16"/>
  <c r="T12" i="16" s="1"/>
  <c r="O12" i="16"/>
  <c r="P12" i="16" s="1"/>
  <c r="K12" i="16"/>
  <c r="L12" i="16" s="1"/>
  <c r="H12" i="16"/>
  <c r="G12" i="16"/>
  <c r="C12" i="16"/>
  <c r="D12" i="16" s="1"/>
  <c r="W11" i="16"/>
  <c r="X11" i="16" s="1"/>
  <c r="S11" i="16"/>
  <c r="T11" i="16" s="1"/>
  <c r="P11" i="16"/>
  <c r="O11" i="16"/>
  <c r="L11" i="16"/>
  <c r="K11" i="16"/>
  <c r="G11" i="16"/>
  <c r="H11" i="16" s="1"/>
  <c r="D11" i="16"/>
  <c r="C11" i="16"/>
  <c r="X10" i="16"/>
  <c r="W10" i="16"/>
  <c r="S10" i="16"/>
  <c r="T10" i="16" s="1"/>
  <c r="O10" i="16"/>
  <c r="P10" i="16" s="1"/>
  <c r="K10" i="16"/>
  <c r="L10" i="16" s="1"/>
  <c r="H10" i="16"/>
  <c r="G10" i="16"/>
  <c r="C10" i="16"/>
  <c r="D10" i="16" s="1"/>
  <c r="W9" i="16"/>
  <c r="X9" i="16" s="1"/>
  <c r="S9" i="16"/>
  <c r="T9" i="16" s="1"/>
  <c r="P9" i="16"/>
  <c r="O9" i="16"/>
  <c r="K9" i="16"/>
  <c r="L9" i="16" s="1"/>
  <c r="G9" i="16"/>
  <c r="H9" i="16" s="1"/>
  <c r="D9" i="16"/>
  <c r="C9" i="16"/>
  <c r="X8" i="16"/>
  <c r="W8" i="16"/>
  <c r="S8" i="16"/>
  <c r="T8" i="16" s="1"/>
  <c r="O8" i="16"/>
  <c r="P8" i="16" s="1"/>
  <c r="K8" i="16"/>
  <c r="L8" i="16" s="1"/>
  <c r="H8" i="16"/>
  <c r="G8" i="16"/>
  <c r="D8" i="16"/>
  <c r="C8" i="16"/>
  <c r="W7" i="16"/>
  <c r="X7" i="16" s="1"/>
  <c r="S7" i="16"/>
  <c r="T7" i="16" s="1"/>
  <c r="P7" i="16"/>
  <c r="O7" i="16"/>
  <c r="K7" i="16"/>
  <c r="L7" i="16" s="1"/>
  <c r="G7" i="16"/>
  <c r="H7" i="16" s="1"/>
  <c r="C7" i="16"/>
  <c r="D7" i="16" s="1"/>
  <c r="X6" i="16"/>
  <c r="W6" i="16"/>
  <c r="S6" i="16"/>
  <c r="T6" i="16" s="1"/>
  <c r="O6" i="16"/>
  <c r="P6" i="16" s="1"/>
  <c r="K6" i="16"/>
  <c r="L6" i="16" s="1"/>
  <c r="H6" i="16"/>
  <c r="G6" i="16"/>
  <c r="D6" i="16"/>
  <c r="C6" i="16"/>
  <c r="W5" i="16"/>
  <c r="X5" i="16" s="1"/>
  <c r="T5" i="16"/>
  <c r="S5" i="16"/>
  <c r="P5" i="16"/>
  <c r="O5" i="16"/>
  <c r="K5" i="16"/>
  <c r="L5" i="16" s="1"/>
  <c r="G5" i="16"/>
  <c r="H5" i="16" s="1"/>
  <c r="C5" i="16"/>
  <c r="D5" i="16" s="1"/>
  <c r="X4" i="16"/>
  <c r="W4" i="16"/>
  <c r="S4" i="16"/>
  <c r="T4" i="16" s="1"/>
  <c r="O4" i="16"/>
  <c r="P4" i="16" s="1"/>
  <c r="K4" i="16"/>
  <c r="L4" i="16" s="1"/>
  <c r="H4" i="16"/>
  <c r="G4" i="16"/>
  <c r="C4" i="16"/>
  <c r="D4" i="16" s="1"/>
  <c r="W3" i="16"/>
  <c r="X3" i="16" s="1"/>
  <c r="T3" i="16"/>
  <c r="S3" i="16"/>
  <c r="P3" i="16"/>
  <c r="O3" i="16"/>
  <c r="K3" i="16"/>
  <c r="L3" i="16" s="1"/>
  <c r="G3" i="16"/>
  <c r="H3" i="16" s="1"/>
  <c r="C3" i="16"/>
  <c r="D3" i="16" s="1"/>
  <c r="X2" i="16"/>
  <c r="W2" i="16"/>
  <c r="T2" i="16"/>
  <c r="S2" i="16"/>
  <c r="O2" i="16"/>
  <c r="P2" i="16" s="1"/>
  <c r="K2" i="16"/>
  <c r="L2" i="16" s="1"/>
  <c r="H2" i="16"/>
  <c r="G2" i="16"/>
  <c r="C2" i="16"/>
  <c r="D2" i="16" s="1"/>
  <c r="W1" i="16"/>
  <c r="X1" i="16" s="1"/>
  <c r="S1" i="16"/>
  <c r="T1" i="16" s="1"/>
  <c r="P1" i="16"/>
  <c r="O1" i="16"/>
  <c r="K1" i="16"/>
  <c r="L1" i="16" s="1"/>
  <c r="G1" i="16"/>
  <c r="H1" i="16" s="1"/>
  <c r="C1" i="16"/>
  <c r="D1" i="16" s="1"/>
  <c r="P100" i="15"/>
  <c r="O100" i="15"/>
  <c r="L100" i="15"/>
  <c r="K100" i="15"/>
  <c r="O99" i="15"/>
  <c r="P99" i="15" s="1"/>
  <c r="L99" i="15"/>
  <c r="K99" i="15"/>
  <c r="P98" i="15"/>
  <c r="O98" i="15"/>
  <c r="K98" i="15"/>
  <c r="L98" i="15" s="1"/>
  <c r="O97" i="15"/>
  <c r="P97" i="15" s="1"/>
  <c r="K97" i="15"/>
  <c r="L97" i="15" s="1"/>
  <c r="P96" i="15"/>
  <c r="O96" i="15"/>
  <c r="K96" i="15"/>
  <c r="L96" i="15" s="1"/>
  <c r="O95" i="15"/>
  <c r="P95" i="15" s="1"/>
  <c r="K95" i="15"/>
  <c r="L95" i="15" s="1"/>
  <c r="P94" i="15"/>
  <c r="O94" i="15"/>
  <c r="K94" i="15"/>
  <c r="L94" i="15" s="1"/>
  <c r="O93" i="15"/>
  <c r="P93" i="15" s="1"/>
  <c r="L93" i="15"/>
  <c r="K93" i="15"/>
  <c r="P92" i="15"/>
  <c r="O92" i="15"/>
  <c r="K92" i="15"/>
  <c r="L92" i="15" s="1"/>
  <c r="O91" i="15"/>
  <c r="P91" i="15" s="1"/>
  <c r="K91" i="15"/>
  <c r="L91" i="15" s="1"/>
  <c r="P90" i="15"/>
  <c r="O90" i="15"/>
  <c r="L90" i="15"/>
  <c r="K90" i="15"/>
  <c r="O89" i="15"/>
  <c r="P89" i="15" s="1"/>
  <c r="K89" i="15"/>
  <c r="L89" i="15" s="1"/>
  <c r="P88" i="15"/>
  <c r="O88" i="15"/>
  <c r="K88" i="15"/>
  <c r="L88" i="15" s="1"/>
  <c r="O87" i="15"/>
  <c r="P87" i="15" s="1"/>
  <c r="K87" i="15"/>
  <c r="L87" i="15" s="1"/>
  <c r="P86" i="15"/>
  <c r="O86" i="15"/>
  <c r="K86" i="15"/>
  <c r="L86" i="15" s="1"/>
  <c r="O85" i="15"/>
  <c r="P85" i="15" s="1"/>
  <c r="K85" i="15"/>
  <c r="L85" i="15" s="1"/>
  <c r="P84" i="15"/>
  <c r="O84" i="15"/>
  <c r="L84" i="15"/>
  <c r="K84" i="15"/>
  <c r="O83" i="15"/>
  <c r="P83" i="15" s="1"/>
  <c r="L83" i="15"/>
  <c r="K83" i="15"/>
  <c r="P82" i="15"/>
  <c r="O82" i="15"/>
  <c r="K82" i="15"/>
  <c r="L82" i="15" s="1"/>
  <c r="O81" i="15"/>
  <c r="P81" i="15" s="1"/>
  <c r="K81" i="15"/>
  <c r="L81" i="15" s="1"/>
  <c r="P80" i="15"/>
  <c r="O80" i="15"/>
  <c r="K80" i="15"/>
  <c r="L80" i="15" s="1"/>
  <c r="O79" i="15"/>
  <c r="P79" i="15" s="1"/>
  <c r="K79" i="15"/>
  <c r="L79" i="15" s="1"/>
  <c r="P78" i="15"/>
  <c r="O78" i="15"/>
  <c r="K78" i="15"/>
  <c r="L78" i="15" s="1"/>
  <c r="O77" i="15"/>
  <c r="P77" i="15" s="1"/>
  <c r="L77" i="15"/>
  <c r="K77" i="15"/>
  <c r="P76" i="15"/>
  <c r="O76" i="15"/>
  <c r="K76" i="15"/>
  <c r="L76" i="15" s="1"/>
  <c r="O75" i="15"/>
  <c r="P75" i="15" s="1"/>
  <c r="K75" i="15"/>
  <c r="L75" i="15" s="1"/>
  <c r="P74" i="15"/>
  <c r="O74" i="15"/>
  <c r="L74" i="15"/>
  <c r="K74" i="15"/>
  <c r="O73" i="15"/>
  <c r="P73" i="15" s="1"/>
  <c r="K73" i="15"/>
  <c r="L73" i="15" s="1"/>
  <c r="P72" i="15"/>
  <c r="O72" i="15"/>
  <c r="K72" i="15"/>
  <c r="L72" i="15" s="1"/>
  <c r="O71" i="15"/>
  <c r="P71" i="15" s="1"/>
  <c r="K71" i="15"/>
  <c r="L71" i="15" s="1"/>
  <c r="X70" i="15"/>
  <c r="W70" i="15"/>
  <c r="S70" i="15"/>
  <c r="T70" i="15" s="1"/>
  <c r="O70" i="15"/>
  <c r="P70" i="15" s="1"/>
  <c r="K70" i="15"/>
  <c r="L70" i="15" s="1"/>
  <c r="H70" i="15"/>
  <c r="G70" i="15"/>
  <c r="D70" i="15"/>
  <c r="C70" i="15"/>
  <c r="W69" i="15"/>
  <c r="X69" i="15" s="1"/>
  <c r="T69" i="15"/>
  <c r="S69" i="15"/>
  <c r="P69" i="15"/>
  <c r="O69" i="15"/>
  <c r="K69" i="15"/>
  <c r="L69" i="15" s="1"/>
  <c r="G69" i="15"/>
  <c r="H69" i="15" s="1"/>
  <c r="D69" i="15"/>
  <c r="C69" i="15"/>
  <c r="X68" i="15"/>
  <c r="W68" i="15"/>
  <c r="S68" i="15"/>
  <c r="T68" i="15" s="1"/>
  <c r="O68" i="15"/>
  <c r="P68" i="15" s="1"/>
  <c r="L68" i="15"/>
  <c r="K68" i="15"/>
  <c r="H68" i="15"/>
  <c r="G68" i="15"/>
  <c r="C68" i="15"/>
  <c r="D68" i="15" s="1"/>
  <c r="W67" i="15"/>
  <c r="X67" i="15" s="1"/>
  <c r="T67" i="15"/>
  <c r="S67" i="15"/>
  <c r="P67" i="15"/>
  <c r="O67" i="15"/>
  <c r="K67" i="15"/>
  <c r="L67" i="15" s="1"/>
  <c r="G67" i="15"/>
  <c r="H67" i="15" s="1"/>
  <c r="D67" i="15"/>
  <c r="C67" i="15"/>
  <c r="X66" i="15"/>
  <c r="W66" i="15"/>
  <c r="S66" i="15"/>
  <c r="T66" i="15" s="1"/>
  <c r="O66" i="15"/>
  <c r="P66" i="15" s="1"/>
  <c r="L66" i="15"/>
  <c r="K66" i="15"/>
  <c r="H66" i="15"/>
  <c r="G66" i="15"/>
  <c r="C66" i="15"/>
  <c r="D66" i="15" s="1"/>
  <c r="W65" i="15"/>
  <c r="X65" i="15" s="1"/>
  <c r="T65" i="15"/>
  <c r="S65" i="15"/>
  <c r="P65" i="15"/>
  <c r="O65" i="15"/>
  <c r="K65" i="15"/>
  <c r="L65" i="15" s="1"/>
  <c r="G65" i="15"/>
  <c r="H65" i="15" s="1"/>
  <c r="D65" i="15"/>
  <c r="C65" i="15"/>
  <c r="X64" i="15"/>
  <c r="W64" i="15"/>
  <c r="S64" i="15"/>
  <c r="T64" i="15" s="1"/>
  <c r="O64" i="15"/>
  <c r="P64" i="15" s="1"/>
  <c r="L64" i="15"/>
  <c r="K64" i="15"/>
  <c r="H64" i="15"/>
  <c r="G64" i="15"/>
  <c r="C64" i="15"/>
  <c r="D64" i="15" s="1"/>
  <c r="W63" i="15"/>
  <c r="X63" i="15" s="1"/>
  <c r="T63" i="15"/>
  <c r="S63" i="15"/>
  <c r="P63" i="15"/>
  <c r="O63" i="15"/>
  <c r="K63" i="15"/>
  <c r="L63" i="15" s="1"/>
  <c r="G63" i="15"/>
  <c r="H63" i="15" s="1"/>
  <c r="D63" i="15"/>
  <c r="C63" i="15"/>
  <c r="X62" i="15"/>
  <c r="W62" i="15"/>
  <c r="S62" i="15"/>
  <c r="T62" i="15" s="1"/>
  <c r="O62" i="15"/>
  <c r="P62" i="15" s="1"/>
  <c r="L62" i="15"/>
  <c r="K62" i="15"/>
  <c r="H62" i="15"/>
  <c r="G62" i="15"/>
  <c r="C62" i="15"/>
  <c r="D62" i="15" s="1"/>
  <c r="W61" i="15"/>
  <c r="X61" i="15" s="1"/>
  <c r="T61" i="15"/>
  <c r="S61" i="15"/>
  <c r="P61" i="15"/>
  <c r="O61" i="15"/>
  <c r="K61" i="15"/>
  <c r="L61" i="15" s="1"/>
  <c r="G61" i="15"/>
  <c r="H61" i="15" s="1"/>
  <c r="D61" i="15"/>
  <c r="C61" i="15"/>
  <c r="X60" i="15"/>
  <c r="W60" i="15"/>
  <c r="S60" i="15"/>
  <c r="T60" i="15" s="1"/>
  <c r="O60" i="15"/>
  <c r="P60" i="15" s="1"/>
  <c r="L60" i="15"/>
  <c r="K60" i="15"/>
  <c r="H60" i="15"/>
  <c r="G60" i="15"/>
  <c r="C60" i="15"/>
  <c r="D60" i="15" s="1"/>
  <c r="W59" i="15"/>
  <c r="X59" i="15" s="1"/>
  <c r="T59" i="15"/>
  <c r="S59" i="15"/>
  <c r="P59" i="15"/>
  <c r="O59" i="15"/>
  <c r="K59" i="15"/>
  <c r="L59" i="15" s="1"/>
  <c r="G59" i="15"/>
  <c r="H59" i="15" s="1"/>
  <c r="D59" i="15"/>
  <c r="C59" i="15"/>
  <c r="X58" i="15"/>
  <c r="W58" i="15"/>
  <c r="S58" i="15"/>
  <c r="T58" i="15" s="1"/>
  <c r="O58" i="15"/>
  <c r="P58" i="15" s="1"/>
  <c r="L58" i="15"/>
  <c r="K58" i="15"/>
  <c r="H58" i="15"/>
  <c r="G58" i="15"/>
  <c r="C58" i="15"/>
  <c r="D58" i="15" s="1"/>
  <c r="W57" i="15"/>
  <c r="X57" i="15" s="1"/>
  <c r="T57" i="15"/>
  <c r="S57" i="15"/>
  <c r="P57" i="15"/>
  <c r="O57" i="15"/>
  <c r="K57" i="15"/>
  <c r="L57" i="15" s="1"/>
  <c r="G57" i="15"/>
  <c r="H57" i="15" s="1"/>
  <c r="D57" i="15"/>
  <c r="C57" i="15"/>
  <c r="X56" i="15"/>
  <c r="W56" i="15"/>
  <c r="S56" i="15"/>
  <c r="T56" i="15" s="1"/>
  <c r="O56" i="15"/>
  <c r="P56" i="15" s="1"/>
  <c r="L56" i="15"/>
  <c r="K56" i="15"/>
  <c r="H56" i="15"/>
  <c r="G56" i="15"/>
  <c r="C56" i="15"/>
  <c r="D56" i="15" s="1"/>
  <c r="W55" i="15"/>
  <c r="X55" i="15" s="1"/>
  <c r="T55" i="15"/>
  <c r="S55" i="15"/>
  <c r="P55" i="15"/>
  <c r="O55" i="15"/>
  <c r="K55" i="15"/>
  <c r="L55" i="15" s="1"/>
  <c r="G55" i="15"/>
  <c r="H55" i="15" s="1"/>
  <c r="D55" i="15"/>
  <c r="C55" i="15"/>
  <c r="X54" i="15"/>
  <c r="W54" i="15"/>
  <c r="S54" i="15"/>
  <c r="T54" i="15" s="1"/>
  <c r="O54" i="15"/>
  <c r="P54" i="15" s="1"/>
  <c r="L54" i="15"/>
  <c r="K54" i="15"/>
  <c r="H54" i="15"/>
  <c r="G54" i="15"/>
  <c r="C54" i="15"/>
  <c r="D54" i="15" s="1"/>
  <c r="W53" i="15"/>
  <c r="X53" i="15" s="1"/>
  <c r="T53" i="15"/>
  <c r="S53" i="15"/>
  <c r="P53" i="15"/>
  <c r="O53" i="15"/>
  <c r="K53" i="15"/>
  <c r="L53" i="15" s="1"/>
  <c r="G53" i="15"/>
  <c r="H53" i="15" s="1"/>
  <c r="D53" i="15"/>
  <c r="C53" i="15"/>
  <c r="X52" i="15"/>
  <c r="W52" i="15"/>
  <c r="S52" i="15"/>
  <c r="T52" i="15" s="1"/>
  <c r="O52" i="15"/>
  <c r="P52" i="15" s="1"/>
  <c r="L52" i="15"/>
  <c r="K52" i="15"/>
  <c r="H52" i="15"/>
  <c r="G52" i="15"/>
  <c r="C52" i="15"/>
  <c r="D52" i="15" s="1"/>
  <c r="W51" i="15"/>
  <c r="X51" i="15" s="1"/>
  <c r="T51" i="15"/>
  <c r="S51" i="15"/>
  <c r="P51" i="15"/>
  <c r="O51" i="15"/>
  <c r="K51" i="15"/>
  <c r="L51" i="15" s="1"/>
  <c r="G51" i="15"/>
  <c r="H51" i="15" s="1"/>
  <c r="D51" i="15"/>
  <c r="C51" i="15"/>
  <c r="X50" i="15"/>
  <c r="W50" i="15"/>
  <c r="S50" i="15"/>
  <c r="T50" i="15" s="1"/>
  <c r="O50" i="15"/>
  <c r="P50" i="15" s="1"/>
  <c r="L50" i="15"/>
  <c r="K50" i="15"/>
  <c r="H50" i="15"/>
  <c r="G50" i="15"/>
  <c r="C50" i="15"/>
  <c r="D50" i="15" s="1"/>
  <c r="W49" i="15"/>
  <c r="X49" i="15" s="1"/>
  <c r="T49" i="15"/>
  <c r="S49" i="15"/>
  <c r="P49" i="15"/>
  <c r="O49" i="15"/>
  <c r="K49" i="15"/>
  <c r="L49" i="15" s="1"/>
  <c r="G49" i="15"/>
  <c r="H49" i="15" s="1"/>
  <c r="D49" i="15"/>
  <c r="C49" i="15"/>
  <c r="X48" i="15"/>
  <c r="W48" i="15"/>
  <c r="S48" i="15"/>
  <c r="T48" i="15" s="1"/>
  <c r="O48" i="15"/>
  <c r="P48" i="15" s="1"/>
  <c r="L48" i="15"/>
  <c r="K48" i="15"/>
  <c r="H48" i="15"/>
  <c r="G48" i="15"/>
  <c r="C48" i="15"/>
  <c r="D48" i="15" s="1"/>
  <c r="W47" i="15"/>
  <c r="X47" i="15" s="1"/>
  <c r="T47" i="15"/>
  <c r="S47" i="15"/>
  <c r="P47" i="15"/>
  <c r="O47" i="15"/>
  <c r="K47" i="15"/>
  <c r="L47" i="15" s="1"/>
  <c r="G47" i="15"/>
  <c r="H47" i="15" s="1"/>
  <c r="D47" i="15"/>
  <c r="C47" i="15"/>
  <c r="X46" i="15"/>
  <c r="W46" i="15"/>
  <c r="S46" i="15"/>
  <c r="T46" i="15" s="1"/>
  <c r="O46" i="15"/>
  <c r="P46" i="15" s="1"/>
  <c r="L46" i="15"/>
  <c r="K46" i="15"/>
  <c r="H46" i="15"/>
  <c r="G46" i="15"/>
  <c r="C46" i="15"/>
  <c r="D46" i="15" s="1"/>
  <c r="W45" i="15"/>
  <c r="X45" i="15" s="1"/>
  <c r="T45" i="15"/>
  <c r="S45" i="15"/>
  <c r="P45" i="15"/>
  <c r="O45" i="15"/>
  <c r="K45" i="15"/>
  <c r="L45" i="15" s="1"/>
  <c r="G45" i="15"/>
  <c r="H45" i="15" s="1"/>
  <c r="D45" i="15"/>
  <c r="C45" i="15"/>
  <c r="X44" i="15"/>
  <c r="W44" i="15"/>
  <c r="S44" i="15"/>
  <c r="T44" i="15" s="1"/>
  <c r="O44" i="15"/>
  <c r="P44" i="15" s="1"/>
  <c r="L44" i="15"/>
  <c r="K44" i="15"/>
  <c r="H44" i="15"/>
  <c r="G44" i="15"/>
  <c r="C44" i="15"/>
  <c r="D44" i="15" s="1"/>
  <c r="W43" i="15"/>
  <c r="X43" i="15" s="1"/>
  <c r="T43" i="15"/>
  <c r="S43" i="15"/>
  <c r="P43" i="15"/>
  <c r="O43" i="15"/>
  <c r="K43" i="15"/>
  <c r="L43" i="15" s="1"/>
  <c r="G43" i="15"/>
  <c r="H43" i="15" s="1"/>
  <c r="D43" i="15"/>
  <c r="C43" i="15"/>
  <c r="X42" i="15"/>
  <c r="W42" i="15"/>
  <c r="S42" i="15"/>
  <c r="T42" i="15" s="1"/>
  <c r="O42" i="15"/>
  <c r="P42" i="15" s="1"/>
  <c r="L42" i="15"/>
  <c r="K42" i="15"/>
  <c r="H42" i="15"/>
  <c r="G42" i="15"/>
  <c r="C42" i="15"/>
  <c r="D42" i="15" s="1"/>
  <c r="W41" i="15"/>
  <c r="X41" i="15" s="1"/>
  <c r="T41" i="15"/>
  <c r="S41" i="15"/>
  <c r="P41" i="15"/>
  <c r="O41" i="15"/>
  <c r="K41" i="15"/>
  <c r="L41" i="15" s="1"/>
  <c r="G41" i="15"/>
  <c r="H41" i="15" s="1"/>
  <c r="D41" i="15"/>
  <c r="C41" i="15"/>
  <c r="X40" i="15"/>
  <c r="W40" i="15"/>
  <c r="S40" i="15"/>
  <c r="T40" i="15" s="1"/>
  <c r="O40" i="15"/>
  <c r="P40" i="15" s="1"/>
  <c r="L40" i="15"/>
  <c r="K40" i="15"/>
  <c r="H40" i="15"/>
  <c r="G40" i="15"/>
  <c r="C40" i="15"/>
  <c r="D40" i="15" s="1"/>
  <c r="W39" i="15"/>
  <c r="X39" i="15" s="1"/>
  <c r="T39" i="15"/>
  <c r="S39" i="15"/>
  <c r="P39" i="15"/>
  <c r="O39" i="15"/>
  <c r="K39" i="15"/>
  <c r="L39" i="15" s="1"/>
  <c r="G39" i="15"/>
  <c r="H39" i="15" s="1"/>
  <c r="D39" i="15"/>
  <c r="C39" i="15"/>
  <c r="X38" i="15"/>
  <c r="W38" i="15"/>
  <c r="S38" i="15"/>
  <c r="T38" i="15" s="1"/>
  <c r="O38" i="15"/>
  <c r="P38" i="15" s="1"/>
  <c r="L38" i="15"/>
  <c r="K38" i="15"/>
  <c r="H38" i="15"/>
  <c r="G38" i="15"/>
  <c r="C38" i="15"/>
  <c r="D38" i="15" s="1"/>
  <c r="W37" i="15"/>
  <c r="X37" i="15" s="1"/>
  <c r="T37" i="15"/>
  <c r="S37" i="15"/>
  <c r="P37" i="15"/>
  <c r="O37" i="15"/>
  <c r="K37" i="15"/>
  <c r="L37" i="15" s="1"/>
  <c r="G37" i="15"/>
  <c r="H37" i="15" s="1"/>
  <c r="D37" i="15"/>
  <c r="C37" i="15"/>
  <c r="X36" i="15"/>
  <c r="W36" i="15"/>
  <c r="S36" i="15"/>
  <c r="T36" i="15" s="1"/>
  <c r="O36" i="15"/>
  <c r="P36" i="15" s="1"/>
  <c r="L36" i="15"/>
  <c r="K36" i="15"/>
  <c r="H36" i="15"/>
  <c r="G36" i="15"/>
  <c r="C36" i="15"/>
  <c r="D36" i="15" s="1"/>
  <c r="W35" i="15"/>
  <c r="X35" i="15" s="1"/>
  <c r="T35" i="15"/>
  <c r="S35" i="15"/>
  <c r="P35" i="15"/>
  <c r="O35" i="15"/>
  <c r="K35" i="15"/>
  <c r="L35" i="15" s="1"/>
  <c r="G35" i="15"/>
  <c r="H35" i="15" s="1"/>
  <c r="D35" i="15"/>
  <c r="C35" i="15"/>
  <c r="X34" i="15"/>
  <c r="W34" i="15"/>
  <c r="S34" i="15"/>
  <c r="T34" i="15" s="1"/>
  <c r="O34" i="15"/>
  <c r="P34" i="15" s="1"/>
  <c r="L34" i="15"/>
  <c r="K34" i="15"/>
  <c r="H34" i="15"/>
  <c r="G34" i="15"/>
  <c r="C34" i="15"/>
  <c r="D34" i="15" s="1"/>
  <c r="W33" i="15"/>
  <c r="X33" i="15" s="1"/>
  <c r="T33" i="15"/>
  <c r="S33" i="15"/>
  <c r="P33" i="15"/>
  <c r="O33" i="15"/>
  <c r="K33" i="15"/>
  <c r="L33" i="15" s="1"/>
  <c r="G33" i="15"/>
  <c r="H33" i="15" s="1"/>
  <c r="D33" i="15"/>
  <c r="C33" i="15"/>
  <c r="X32" i="15"/>
  <c r="W32" i="15"/>
  <c r="S32" i="15"/>
  <c r="T32" i="15" s="1"/>
  <c r="O32" i="15"/>
  <c r="P32" i="15" s="1"/>
  <c r="L32" i="15"/>
  <c r="K32" i="15"/>
  <c r="H32" i="15"/>
  <c r="G32" i="15"/>
  <c r="C32" i="15"/>
  <c r="D32" i="15" s="1"/>
  <c r="W31" i="15"/>
  <c r="X31" i="15" s="1"/>
  <c r="T31" i="15"/>
  <c r="S31" i="15"/>
  <c r="P31" i="15"/>
  <c r="O31" i="15"/>
  <c r="K31" i="15"/>
  <c r="L31" i="15" s="1"/>
  <c r="G31" i="15"/>
  <c r="H31" i="15" s="1"/>
  <c r="D31" i="15"/>
  <c r="C31" i="15"/>
  <c r="X30" i="15"/>
  <c r="W30" i="15"/>
  <c r="S30" i="15"/>
  <c r="T30" i="15" s="1"/>
  <c r="O30" i="15"/>
  <c r="P30" i="15" s="1"/>
  <c r="L30" i="15"/>
  <c r="K30" i="15"/>
  <c r="H30" i="15"/>
  <c r="G30" i="15"/>
  <c r="C30" i="15"/>
  <c r="D30" i="15" s="1"/>
  <c r="W29" i="15"/>
  <c r="X29" i="15" s="1"/>
  <c r="T29" i="15"/>
  <c r="S29" i="15"/>
  <c r="P29" i="15"/>
  <c r="O29" i="15"/>
  <c r="K29" i="15"/>
  <c r="L29" i="15" s="1"/>
  <c r="G29" i="15"/>
  <c r="H29" i="15" s="1"/>
  <c r="D29" i="15"/>
  <c r="C29" i="15"/>
  <c r="X28" i="15"/>
  <c r="W28" i="15"/>
  <c r="S28" i="15"/>
  <c r="T28" i="15" s="1"/>
  <c r="O28" i="15"/>
  <c r="P28" i="15" s="1"/>
  <c r="L28" i="15"/>
  <c r="K28" i="15"/>
  <c r="H28" i="15"/>
  <c r="G28" i="15"/>
  <c r="C28" i="15"/>
  <c r="D28" i="15" s="1"/>
  <c r="W27" i="15"/>
  <c r="X27" i="15" s="1"/>
  <c r="T27" i="15"/>
  <c r="S27" i="15"/>
  <c r="P27" i="15"/>
  <c r="O27" i="15"/>
  <c r="K27" i="15"/>
  <c r="L27" i="15" s="1"/>
  <c r="G27" i="15"/>
  <c r="H27" i="15" s="1"/>
  <c r="D27" i="15"/>
  <c r="C27" i="15"/>
  <c r="X26" i="15"/>
  <c r="W26" i="15"/>
  <c r="S26" i="15"/>
  <c r="T26" i="15" s="1"/>
  <c r="O26" i="15"/>
  <c r="P26" i="15" s="1"/>
  <c r="L26" i="15"/>
  <c r="K26" i="15"/>
  <c r="H26" i="15"/>
  <c r="G26" i="15"/>
  <c r="C26" i="15"/>
  <c r="D26" i="15" s="1"/>
  <c r="W25" i="15"/>
  <c r="X25" i="15" s="1"/>
  <c r="T25" i="15"/>
  <c r="S25" i="15"/>
  <c r="P25" i="15"/>
  <c r="O25" i="15"/>
  <c r="K25" i="15"/>
  <c r="L25" i="15" s="1"/>
  <c r="G25" i="15"/>
  <c r="H25" i="15" s="1"/>
  <c r="D25" i="15"/>
  <c r="C25" i="15"/>
  <c r="X24" i="15"/>
  <c r="W24" i="15"/>
  <c r="S24" i="15"/>
  <c r="T24" i="15" s="1"/>
  <c r="O24" i="15"/>
  <c r="P24" i="15" s="1"/>
  <c r="L24" i="15"/>
  <c r="K24" i="15"/>
  <c r="H24" i="15"/>
  <c r="G24" i="15"/>
  <c r="C24" i="15"/>
  <c r="D24" i="15" s="1"/>
  <c r="W23" i="15"/>
  <c r="X23" i="15" s="1"/>
  <c r="T23" i="15"/>
  <c r="S23" i="15"/>
  <c r="P23" i="15"/>
  <c r="O23" i="15"/>
  <c r="K23" i="15"/>
  <c r="L23" i="15" s="1"/>
  <c r="G23" i="15"/>
  <c r="H23" i="15" s="1"/>
  <c r="D23" i="15"/>
  <c r="C23" i="15"/>
  <c r="X22" i="15"/>
  <c r="W22" i="15"/>
  <c r="S22" i="15"/>
  <c r="T22" i="15" s="1"/>
  <c r="O22" i="15"/>
  <c r="P22" i="15" s="1"/>
  <c r="L22" i="15"/>
  <c r="K22" i="15"/>
  <c r="H22" i="15"/>
  <c r="G22" i="15"/>
  <c r="C22" i="15"/>
  <c r="D22" i="15" s="1"/>
  <c r="W21" i="15"/>
  <c r="X21" i="15" s="1"/>
  <c r="T21" i="15"/>
  <c r="S21" i="15"/>
  <c r="P21" i="15"/>
  <c r="O21" i="15"/>
  <c r="K21" i="15"/>
  <c r="L21" i="15" s="1"/>
  <c r="G21" i="15"/>
  <c r="H21" i="15" s="1"/>
  <c r="D21" i="15"/>
  <c r="C21" i="15"/>
  <c r="X20" i="15"/>
  <c r="W20" i="15"/>
  <c r="S20" i="15"/>
  <c r="T20" i="15" s="1"/>
  <c r="O20" i="15"/>
  <c r="P20" i="15" s="1"/>
  <c r="L20" i="15"/>
  <c r="K20" i="15"/>
  <c r="H20" i="15"/>
  <c r="G20" i="15"/>
  <c r="C20" i="15"/>
  <c r="D20" i="15" s="1"/>
  <c r="W19" i="15"/>
  <c r="X19" i="15" s="1"/>
  <c r="T19" i="15"/>
  <c r="S19" i="15"/>
  <c r="P19" i="15"/>
  <c r="O19" i="15"/>
  <c r="K19" i="15"/>
  <c r="L19" i="15" s="1"/>
  <c r="G19" i="15"/>
  <c r="H19" i="15" s="1"/>
  <c r="D19" i="15"/>
  <c r="C19" i="15"/>
  <c r="X18" i="15"/>
  <c r="W18" i="15"/>
  <c r="S18" i="15"/>
  <c r="T18" i="15" s="1"/>
  <c r="O18" i="15"/>
  <c r="P18" i="15" s="1"/>
  <c r="L18" i="15"/>
  <c r="K18" i="15"/>
  <c r="H18" i="15"/>
  <c r="G18" i="15"/>
  <c r="C18" i="15"/>
  <c r="D18" i="15" s="1"/>
  <c r="W17" i="15"/>
  <c r="X17" i="15" s="1"/>
  <c r="T17" i="15"/>
  <c r="S17" i="15"/>
  <c r="P17" i="15"/>
  <c r="O17" i="15"/>
  <c r="K17" i="15"/>
  <c r="L17" i="15" s="1"/>
  <c r="G17" i="15"/>
  <c r="H17" i="15" s="1"/>
  <c r="D17" i="15"/>
  <c r="C17" i="15"/>
  <c r="X16" i="15"/>
  <c r="W16" i="15"/>
  <c r="S16" i="15"/>
  <c r="T16" i="15" s="1"/>
  <c r="O16" i="15"/>
  <c r="P16" i="15" s="1"/>
  <c r="L16" i="15"/>
  <c r="K16" i="15"/>
  <c r="H16" i="15"/>
  <c r="G16" i="15"/>
  <c r="C16" i="15"/>
  <c r="D16" i="15" s="1"/>
  <c r="W15" i="15"/>
  <c r="X15" i="15" s="1"/>
  <c r="T15" i="15"/>
  <c r="S15" i="15"/>
  <c r="P15" i="15"/>
  <c r="O15" i="15"/>
  <c r="K15" i="15"/>
  <c r="L15" i="15" s="1"/>
  <c r="G15" i="15"/>
  <c r="H15" i="15" s="1"/>
  <c r="D15" i="15"/>
  <c r="C15" i="15"/>
  <c r="X14" i="15"/>
  <c r="W14" i="15"/>
  <c r="S14" i="15"/>
  <c r="T14" i="15" s="1"/>
  <c r="O14" i="15"/>
  <c r="P14" i="15" s="1"/>
  <c r="L14" i="15"/>
  <c r="K14" i="15"/>
  <c r="H14" i="15"/>
  <c r="G14" i="15"/>
  <c r="C14" i="15"/>
  <c r="D14" i="15" s="1"/>
  <c r="W13" i="15"/>
  <c r="X13" i="15" s="1"/>
  <c r="T13" i="15"/>
  <c r="S13" i="15"/>
  <c r="P13" i="15"/>
  <c r="O13" i="15"/>
  <c r="K13" i="15"/>
  <c r="L13" i="15" s="1"/>
  <c r="G13" i="15"/>
  <c r="H13" i="15" s="1"/>
  <c r="D13" i="15"/>
  <c r="C13" i="15"/>
  <c r="X12" i="15"/>
  <c r="W12" i="15"/>
  <c r="S12" i="15"/>
  <c r="T12" i="15" s="1"/>
  <c r="O12" i="15"/>
  <c r="P12" i="15" s="1"/>
  <c r="L12" i="15"/>
  <c r="K12" i="15"/>
  <c r="H12" i="15"/>
  <c r="G12" i="15"/>
  <c r="C12" i="15"/>
  <c r="D12" i="15" s="1"/>
  <c r="W11" i="15"/>
  <c r="X11" i="15" s="1"/>
  <c r="T11" i="15"/>
  <c r="S11" i="15"/>
  <c r="P11" i="15"/>
  <c r="O11" i="15"/>
  <c r="K11" i="15"/>
  <c r="L11" i="15" s="1"/>
  <c r="G11" i="15"/>
  <c r="H11" i="15" s="1"/>
  <c r="D11" i="15"/>
  <c r="C11" i="15"/>
  <c r="X10" i="15"/>
  <c r="W10" i="15"/>
  <c r="S10" i="15"/>
  <c r="T10" i="15" s="1"/>
  <c r="O10" i="15"/>
  <c r="P10" i="15" s="1"/>
  <c r="L10" i="15"/>
  <c r="K10" i="15"/>
  <c r="H10" i="15"/>
  <c r="G10" i="15"/>
  <c r="C10" i="15"/>
  <c r="D10" i="15" s="1"/>
  <c r="W9" i="15"/>
  <c r="X9" i="15" s="1"/>
  <c r="T9" i="15"/>
  <c r="S9" i="15"/>
  <c r="P9" i="15"/>
  <c r="O9" i="15"/>
  <c r="K9" i="15"/>
  <c r="L9" i="15" s="1"/>
  <c r="G9" i="15"/>
  <c r="H9" i="15" s="1"/>
  <c r="D9" i="15"/>
  <c r="C9" i="15"/>
  <c r="X8" i="15"/>
  <c r="W8" i="15"/>
  <c r="S8" i="15"/>
  <c r="T8" i="15" s="1"/>
  <c r="O8" i="15"/>
  <c r="P8" i="15" s="1"/>
  <c r="L8" i="15"/>
  <c r="K8" i="15"/>
  <c r="H8" i="15"/>
  <c r="G8" i="15"/>
  <c r="C8" i="15"/>
  <c r="D8" i="15" s="1"/>
  <c r="W7" i="15"/>
  <c r="X7" i="15" s="1"/>
  <c r="T7" i="15"/>
  <c r="S7" i="15"/>
  <c r="P7" i="15"/>
  <c r="O7" i="15"/>
  <c r="K7" i="15"/>
  <c r="L7" i="15" s="1"/>
  <c r="G7" i="15"/>
  <c r="H7" i="15" s="1"/>
  <c r="D7" i="15"/>
  <c r="C7" i="15"/>
  <c r="X6" i="15"/>
  <c r="W6" i="15"/>
  <c r="S6" i="15"/>
  <c r="T6" i="15" s="1"/>
  <c r="O6" i="15"/>
  <c r="P6" i="15" s="1"/>
  <c r="L6" i="15"/>
  <c r="K6" i="15"/>
  <c r="H6" i="15"/>
  <c r="G6" i="15"/>
  <c r="C6" i="15"/>
  <c r="D6" i="15" s="1"/>
  <c r="W5" i="15"/>
  <c r="X5" i="15" s="1"/>
  <c r="T5" i="15"/>
  <c r="S5" i="15"/>
  <c r="P5" i="15"/>
  <c r="O5" i="15"/>
  <c r="K5" i="15"/>
  <c r="L5" i="15" s="1"/>
  <c r="G5" i="15"/>
  <c r="H5" i="15" s="1"/>
  <c r="D5" i="15"/>
  <c r="C5" i="15"/>
  <c r="X4" i="15"/>
  <c r="W4" i="15"/>
  <c r="S4" i="15"/>
  <c r="T4" i="15" s="1"/>
  <c r="O4" i="15"/>
  <c r="P4" i="15" s="1"/>
  <c r="L4" i="15"/>
  <c r="K4" i="15"/>
  <c r="H4" i="15"/>
  <c r="G4" i="15"/>
  <c r="C4" i="15"/>
  <c r="D4" i="15" s="1"/>
  <c r="W3" i="15"/>
  <c r="X3" i="15" s="1"/>
  <c r="T3" i="15"/>
  <c r="S3" i="15"/>
  <c r="P3" i="15"/>
  <c r="O3" i="15"/>
  <c r="K3" i="15"/>
  <c r="L3" i="15" s="1"/>
  <c r="G3" i="15"/>
  <c r="H3" i="15" s="1"/>
  <c r="D3" i="15"/>
  <c r="C3" i="15"/>
  <c r="X2" i="15"/>
  <c r="W2" i="15"/>
  <c r="S2" i="15"/>
  <c r="T2" i="15" s="1"/>
  <c r="O2" i="15"/>
  <c r="P2" i="15" s="1"/>
  <c r="L2" i="15"/>
  <c r="K2" i="15"/>
  <c r="H2" i="15"/>
  <c r="G2" i="15"/>
  <c r="C2" i="15"/>
  <c r="D2" i="15" s="1"/>
  <c r="W1" i="15"/>
  <c r="X1" i="15" s="1"/>
  <c r="T1" i="15"/>
  <c r="S1" i="15"/>
  <c r="P1" i="15"/>
  <c r="O1" i="15"/>
  <c r="K1" i="15"/>
  <c r="L1" i="15" s="1"/>
  <c r="G1" i="15"/>
  <c r="H1" i="15" s="1"/>
  <c r="D1" i="15"/>
  <c r="C1" i="15"/>
</calcChain>
</file>

<file path=xl/sharedStrings.xml><?xml version="1.0" encoding="utf-8"?>
<sst xmlns="http://schemas.openxmlformats.org/spreadsheetml/2006/main" count="1241" uniqueCount="665">
  <si>
    <t>Overhead Costs</t>
  </si>
  <si>
    <t>Billable Hours</t>
  </si>
  <si>
    <t>Metropolitan Area</t>
  </si>
  <si>
    <t>State</t>
  </si>
  <si>
    <t>ANCHORAGE</t>
  </si>
  <si>
    <t>AK</t>
  </si>
  <si>
    <t>BIRMINGHAM</t>
  </si>
  <si>
    <t>AL</t>
  </si>
  <si>
    <t>HUNTSVILLE</t>
  </si>
  <si>
    <t>MOBILE</t>
  </si>
  <si>
    <t>MONTGOMERY</t>
  </si>
  <si>
    <t>LITTLE ROCK</t>
  </si>
  <si>
    <t>AR</t>
  </si>
  <si>
    <t>PHOENIX</t>
  </si>
  <si>
    <t>AZ</t>
  </si>
  <si>
    <t>TUCSON</t>
  </si>
  <si>
    <t>BAKERSFIELD</t>
  </si>
  <si>
    <t>CA</t>
  </si>
  <si>
    <t>FRESNO</t>
  </si>
  <si>
    <t>LOS ANGELES</t>
  </si>
  <si>
    <t>SACRAMENTO</t>
  </si>
  <si>
    <t>SAN DIEGO</t>
  </si>
  <si>
    <t>SAN FRANCISCO</t>
  </si>
  <si>
    <t>COLORADO SPRINGS</t>
  </si>
  <si>
    <t>CO</t>
  </si>
  <si>
    <t>DENVER</t>
  </si>
  <si>
    <t>PUEBLO</t>
  </si>
  <si>
    <t>HARTFORD</t>
  </si>
  <si>
    <t>CT</t>
  </si>
  <si>
    <t>WASHINGTON</t>
  </si>
  <si>
    <t>DC</t>
  </si>
  <si>
    <t>WILMINGTON</t>
  </si>
  <si>
    <t>DE</t>
  </si>
  <si>
    <t>FORT MYERS</t>
  </si>
  <si>
    <t>FL</t>
  </si>
  <si>
    <t>JACKSONVILLE</t>
  </si>
  <si>
    <t>MIAMI</t>
  </si>
  <si>
    <t>ORLANDO</t>
  </si>
  <si>
    <t>PENSACOLA</t>
  </si>
  <si>
    <t>TALLAHASSEE</t>
  </si>
  <si>
    <t>TAMPA</t>
  </si>
  <si>
    <t>WEST PALM BEACH</t>
  </si>
  <si>
    <t>ATLANTA</t>
  </si>
  <si>
    <t>GA</t>
  </si>
  <si>
    <t>COLUMBUS</t>
  </si>
  <si>
    <t>MACON</t>
  </si>
  <si>
    <t>DES MOINES</t>
  </si>
  <si>
    <t>A</t>
  </si>
  <si>
    <t>DUBUQUE</t>
  </si>
  <si>
    <t>BOISE</t>
  </si>
  <si>
    <t>ID</t>
  </si>
  <si>
    <t>POCATELLO</t>
  </si>
  <si>
    <t>CHICAGO</t>
  </si>
  <si>
    <t>IL</t>
  </si>
  <si>
    <t>ROCKFORD</t>
  </si>
  <si>
    <t>SPRINGFIELD</t>
  </si>
  <si>
    <t>FORT WAYNE</t>
  </si>
  <si>
    <t>IN</t>
  </si>
  <si>
    <t>INDIANAPOLIS</t>
  </si>
  <si>
    <t>SOUTH SEND</t>
  </si>
  <si>
    <t>TOPEKA</t>
  </si>
  <si>
    <t>KS</t>
  </si>
  <si>
    <t>WICHITA</t>
  </si>
  <si>
    <t>LEXINGTON</t>
  </si>
  <si>
    <t>KY</t>
  </si>
  <si>
    <t>LOUISVILLE</t>
  </si>
  <si>
    <t>BATON ROUGE</t>
  </si>
  <si>
    <t>LA</t>
  </si>
  <si>
    <t>NEW ORLEANS</t>
  </si>
  <si>
    <t>SHREVEPORT</t>
  </si>
  <si>
    <t>BOSTON</t>
  </si>
  <si>
    <t>MA</t>
  </si>
  <si>
    <t>BALTIMORE</t>
  </si>
  <si>
    <t>MD</t>
  </si>
  <si>
    <t>DETROIT</t>
  </si>
  <si>
    <t>MI</t>
  </si>
  <si>
    <t>GRAND RAPIDS</t>
  </si>
  <si>
    <t>LANSING</t>
  </si>
  <si>
    <t>MINNEAPOLIS-ST.PAUL</t>
  </si>
  <si>
    <t>MN</t>
  </si>
  <si>
    <t>ROCHESTER</t>
  </si>
  <si>
    <t>COLUMBIA</t>
  </si>
  <si>
    <t>MO</t>
  </si>
  <si>
    <t>KANSAS CITY</t>
  </si>
  <si>
    <t>ST. LOUIS</t>
  </si>
  <si>
    <t>JACKSON</t>
  </si>
  <si>
    <t>MS</t>
  </si>
  <si>
    <t>BILLINGS</t>
  </si>
  <si>
    <t>MT</t>
  </si>
  <si>
    <t>GREAT FALLS</t>
  </si>
  <si>
    <t>MISSOULA</t>
  </si>
  <si>
    <t>ASHEVILLE</t>
  </si>
  <si>
    <t>NC</t>
  </si>
  <si>
    <t>CHARLOTTE</t>
  </si>
  <si>
    <t xml:space="preserve">GREENSBORO-WNSTN-S </t>
  </si>
  <si>
    <t>RALEIGH</t>
  </si>
  <si>
    <t>BISMARCK</t>
  </si>
  <si>
    <t>ND</t>
  </si>
  <si>
    <t>FARGO</t>
  </si>
  <si>
    <t>LINCOLN</t>
  </si>
  <si>
    <t>NE</t>
  </si>
  <si>
    <t>OMAHA</t>
  </si>
  <si>
    <t>CONCORD</t>
  </si>
  <si>
    <t>NH</t>
  </si>
  <si>
    <t>ATLANTIC CITY</t>
  </si>
  <si>
    <t>NJ</t>
  </si>
  <si>
    <t>ALBUQUERQUE</t>
  </si>
  <si>
    <t>NM</t>
  </si>
  <si>
    <t>LAS VEGAS</t>
  </si>
  <si>
    <t>NV</t>
  </si>
  <si>
    <t>RENO</t>
  </si>
  <si>
    <t>ALBANY</t>
  </si>
  <si>
    <t>NY</t>
  </si>
  <si>
    <t>BUFFALO</t>
  </si>
  <si>
    <t>NEW YORK</t>
  </si>
  <si>
    <t>SYRACUSE</t>
  </si>
  <si>
    <t>AKRON</t>
  </si>
  <si>
    <t>OH</t>
  </si>
  <si>
    <t>CINCINNATI</t>
  </si>
  <si>
    <t>CLEVELAND</t>
  </si>
  <si>
    <t>TOLEDO</t>
  </si>
  <si>
    <t>OKLAHOMA CITY</t>
  </si>
  <si>
    <t>OK</t>
  </si>
  <si>
    <t>TULSA</t>
  </si>
  <si>
    <t>EUGENE</t>
  </si>
  <si>
    <t>OR</t>
  </si>
  <si>
    <t>PORTLAND</t>
  </si>
  <si>
    <t>SALEM</t>
  </si>
  <si>
    <t>ALLENTOWN</t>
  </si>
  <si>
    <t>PA</t>
  </si>
  <si>
    <t>ERIE</t>
  </si>
  <si>
    <t>HARRISBURG</t>
  </si>
  <si>
    <t>PHILADELPHIA</t>
  </si>
  <si>
    <t>PITTSBURGH</t>
  </si>
  <si>
    <t>WILLIAMSPORT</t>
  </si>
  <si>
    <t>CHARLESTON</t>
  </si>
  <si>
    <t>SC</t>
  </si>
  <si>
    <t>GREENVILLE</t>
  </si>
  <si>
    <t>RAPID CITY</t>
  </si>
  <si>
    <t>SO</t>
  </si>
  <si>
    <t>SIOUXFALLS</t>
  </si>
  <si>
    <t>KNOXVILLE</t>
  </si>
  <si>
    <t>TN</t>
  </si>
  <si>
    <t>MEMPHIS</t>
  </si>
  <si>
    <t>NASHVILLE</t>
  </si>
  <si>
    <t>ABILENE</t>
  </si>
  <si>
    <t>TX</t>
  </si>
  <si>
    <t>AMARILLO</t>
  </si>
  <si>
    <t>AUSTIN</t>
  </si>
  <si>
    <t>CORPUS CHRISTI</t>
  </si>
  <si>
    <t>DALLAS-FORT WORTH</t>
  </si>
  <si>
    <t>ELPASO</t>
  </si>
  <si>
    <t>HOUSTON</t>
  </si>
  <si>
    <t>SAN ANTONIO</t>
  </si>
  <si>
    <t>WACO</t>
  </si>
  <si>
    <t>SALT LAKE CITY</t>
  </si>
  <si>
    <t>UT</t>
  </si>
  <si>
    <t>NORFOLK</t>
  </si>
  <si>
    <t>VA</t>
  </si>
  <si>
    <t>RICHMOND</t>
  </si>
  <si>
    <t>ROANOKE</t>
  </si>
  <si>
    <t>BURLINGTON</t>
  </si>
  <si>
    <t>VT</t>
  </si>
  <si>
    <t>OLYMPIA</t>
  </si>
  <si>
    <t>WA</t>
  </si>
  <si>
    <t>SEATTLE</t>
  </si>
  <si>
    <t>SPOKANE</t>
  </si>
  <si>
    <t>YAKIMA</t>
  </si>
  <si>
    <t>GREEN BAY</t>
  </si>
  <si>
    <t>Wl</t>
  </si>
  <si>
    <t>LA CROSSE</t>
  </si>
  <si>
    <t>WI</t>
  </si>
  <si>
    <t>MILWAUKEE</t>
  </si>
  <si>
    <t>WV</t>
  </si>
  <si>
    <t>HUNTINGTON</t>
  </si>
  <si>
    <t>CASPER</t>
  </si>
  <si>
    <t>WY</t>
  </si>
  <si>
    <t>CHEYENNE</t>
  </si>
  <si>
    <t xml:space="preserve"> Cost of Living 1999 - US Avg = 100</t>
  </si>
  <si>
    <t>Unemployment Rate (July 1999)</t>
  </si>
  <si>
    <t xml:space="preserve">Team </t>
  </si>
  <si>
    <t>Points/Game</t>
  </si>
  <si>
    <t>Yards/Game</t>
  </si>
  <si>
    <t xml:space="preserve">Arizona Cardinals </t>
  </si>
  <si>
    <t xml:space="preserve">Atlanta Falcons </t>
  </si>
  <si>
    <t xml:space="preserve">Baltimore Ravens </t>
  </si>
  <si>
    <t xml:space="preserve">Buffalo Bills </t>
  </si>
  <si>
    <t xml:space="preserve">Carolina Panthers </t>
  </si>
  <si>
    <t xml:space="preserve">Chicago Bears </t>
  </si>
  <si>
    <t xml:space="preserve">Cincinnati Bengals </t>
  </si>
  <si>
    <t xml:space="preserve">Cleveland Browns </t>
  </si>
  <si>
    <t xml:space="preserve">Dallas Cowboys </t>
  </si>
  <si>
    <t xml:space="preserve">Denver Broncos </t>
  </si>
  <si>
    <t xml:space="preserve">Detroit Lions </t>
  </si>
  <si>
    <t xml:space="preserve">Green Bay Packers </t>
  </si>
  <si>
    <t xml:space="preserve">Houston Texans </t>
  </si>
  <si>
    <t xml:space="preserve">Indianapolis Colts </t>
  </si>
  <si>
    <t xml:space="preserve">Jacksonville Jaguars </t>
  </si>
  <si>
    <t xml:space="preserve">Kansas City Chiefs </t>
  </si>
  <si>
    <t xml:space="preserve">Miami Dolphins </t>
  </si>
  <si>
    <t xml:space="preserve">Minnesota Vikings </t>
  </si>
  <si>
    <t xml:space="preserve">New England Patriots </t>
  </si>
  <si>
    <t xml:space="preserve">New Orleans Saints </t>
  </si>
  <si>
    <t xml:space="preserve">New York Giants </t>
  </si>
  <si>
    <t xml:space="preserve">New York Jets </t>
  </si>
  <si>
    <t xml:space="preserve">Oakland Raiders </t>
  </si>
  <si>
    <t xml:space="preserve">Philadelphia Eagles </t>
  </si>
  <si>
    <t xml:space="preserve">Pittsburgh Steelers </t>
  </si>
  <si>
    <t xml:space="preserve">San Diego Chargers </t>
  </si>
  <si>
    <t xml:space="preserve">San Francisco 49ers </t>
  </si>
  <si>
    <t xml:space="preserve">Seattle Seahawks </t>
  </si>
  <si>
    <t xml:space="preserve">St. Louis Rams </t>
  </si>
  <si>
    <t xml:space="preserve">Tampa Bay Buccaneers </t>
  </si>
  <si>
    <t xml:space="preserve">Tennessee Titans </t>
  </si>
  <si>
    <t xml:space="preserve">Washington Redskins </t>
  </si>
  <si>
    <t>Wedding cost</t>
  </si>
  <si>
    <t>Attendance</t>
  </si>
  <si>
    <t>Pile Number</t>
  </si>
  <si>
    <t>Estimated Pile Length (ft.)</t>
  </si>
  <si>
    <t>Actual Pile Length (ft.)</t>
  </si>
  <si>
    <t>Answer 8.9.a</t>
  </si>
  <si>
    <t>Answer 8.11.b.b: What is the predictive power of the model?</t>
  </si>
  <si>
    <t>Answer 8.11.a: Yes or No</t>
  </si>
  <si>
    <t>Answer 8.11.b.a: Is the model statistically signficant?  Yes or No</t>
  </si>
  <si>
    <t>Answer 8.9.c: Yes or No</t>
  </si>
  <si>
    <t>Answer 8.9.b: What does the "fixed component" of the model mean?</t>
  </si>
  <si>
    <t>Is the indedendant variable statistically significant? Yes or No</t>
  </si>
  <si>
    <t>← The dependent variable label is usually shown in green.</t>
  </si>
  <si>
    <t>Answer 8.13.a: What is the linear model?</t>
  </si>
  <si>
    <t>Answer 8.13.b.a: Is the full model statistically significant?  Yes or No</t>
  </si>
  <si>
    <t>Note modified questions from textbook</t>
  </si>
  <si>
    <t>Answer 8.13.b.a: What is the predictive power of the model?</t>
  </si>
  <si>
    <t>Answer 8.13.c: For 175 guests, what amount of $$, would the couple budget?</t>
  </si>
  <si>
    <t>Answer 8.15.b.a: Is the full model statistically significant?  Yes or No</t>
  </si>
  <si>
    <t>Answer 8.15.b.b: What is the predictive power of the model?</t>
  </si>
  <si>
    <t>←  The dependent variable label is usually shown in green.</t>
  </si>
  <si>
    <t>Is the "full model" statistically significant?  Yes or No</t>
  </si>
  <si>
    <t>Answer 8.15.a: Create XLSTAT scatter plot place on correct worksheet</t>
  </si>
  <si>
    <t xml:space="preserve">What is the predictive power of the linear model? </t>
  </si>
  <si>
    <t>Answers ↓</t>
  </si>
  <si>
    <r>
      <t xml:space="preserve">Name chart </t>
    </r>
    <r>
      <rPr>
        <b/>
        <sz val="12"/>
        <color rgb="FF000000"/>
        <rFont val="Times New Roman"/>
        <family val="1"/>
      </rPr>
      <t>Chart_1</t>
    </r>
    <r>
      <rPr>
        <sz val="12"/>
        <color rgb="FF000000"/>
        <rFont val="Times New Roman"/>
        <family val="1"/>
      </rPr>
      <t xml:space="preserve">  Place the scatter plot beginning in D2 and expand to K20, use Trendline tool to add a linear trendline model.</t>
    </r>
  </si>
  <si>
    <r>
      <t xml:space="preserve">Remember to name the chart </t>
    </r>
    <r>
      <rPr>
        <b/>
        <sz val="12"/>
        <color theme="1"/>
        <rFont val="Times New Roman"/>
        <family val="1"/>
      </rPr>
      <t>Chart_1</t>
    </r>
    <r>
      <rPr>
        <sz val="12"/>
        <color theme="1"/>
        <rFont val="Times New Roman"/>
        <family val="1"/>
      </rPr>
      <t xml:space="preserve"> in the XLSTAT scatter plot output.</t>
    </r>
  </si>
  <si>
    <t>y = 47.343x + 205781</t>
  </si>
  <si>
    <t>No</t>
  </si>
  <si>
    <t>Confidence interval (%): 95</t>
  </si>
  <si>
    <t>Tolerance: 0.0001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</si>
  <si>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</si>
  <si>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</si>
  <si>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</si>
  <si>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</si>
  <si>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</si>
  <si>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</si>
  <si>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</si>
  <si>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</si>
  <si>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</si>
  <si>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Cost of Living 1999 - US Avg = 100</t>
  </si>
  <si>
    <t>Correlation matrix:</t>
  </si>
  <si>
    <t>Regression of variable Unemployment Rate (July 1999):</t>
  </si>
  <si>
    <t>Goodness of fit statistics (Unemployment Rate (July 1999)):</t>
  </si>
  <si>
    <t>Sum of weights</t>
  </si>
  <si>
    <t>DF</t>
  </si>
  <si>
    <t>R²</t>
  </si>
  <si>
    <t>Adjusted R²</t>
  </si>
  <si>
    <t>MSE</t>
  </si>
  <si>
    <t>RMSE</t>
  </si>
  <si>
    <t>MAPE</t>
  </si>
  <si>
    <t>DW</t>
  </si>
  <si>
    <t>Cp</t>
  </si>
  <si>
    <t>AIC</t>
  </si>
  <si>
    <t>AICC</t>
  </si>
  <si>
    <t>SBC</t>
  </si>
  <si>
    <t>PC</t>
  </si>
  <si>
    <t>Analysis of variance (Unemployment Rate (July 1999)):</t>
  </si>
  <si>
    <t>Source</t>
  </si>
  <si>
    <t>Sum of squares</t>
  </si>
  <si>
    <t>Mean squares</t>
  </si>
  <si>
    <t>F</t>
  </si>
  <si>
    <t>Pr &gt; F</t>
  </si>
  <si>
    <t>p-values signification codes</t>
  </si>
  <si>
    <t>Model</t>
  </si>
  <si>
    <t>Error</t>
  </si>
  <si>
    <t>Corrected Total</t>
  </si>
  <si>
    <t>**</t>
  </si>
  <si>
    <t/>
  </si>
  <si>
    <t>Computed against model Y=Mean(Y)</t>
  </si>
  <si>
    <t>Signification codes: 0 &lt; *** &lt; 0.001 &lt; ** &lt; 0.01 &lt; * &lt; 0.05 &lt; . &lt; 0.1 &lt; ° &lt; 1</t>
  </si>
  <si>
    <t>Model parameters (Unemployment Rate (July 1999)):</t>
  </si>
  <si>
    <t>Value</t>
  </si>
  <si>
    <t>Standard error</t>
  </si>
  <si>
    <t>t</t>
  </si>
  <si>
    <t>Pr &gt; |t|</t>
  </si>
  <si>
    <t>Lower bound (95%)</t>
  </si>
  <si>
    <t>Upper bound (95%)</t>
  </si>
  <si>
    <t>Intercept</t>
  </si>
  <si>
    <t>°</t>
  </si>
  <si>
    <t>Equation of the model (Unemployment Rate (July 1999)):</t>
  </si>
  <si>
    <t>Unemployment Rate (July 1999) = 2.6979505471637E-03+3.38851147572238E-04*Cost of Living 1999 - US Avg = 100</t>
  </si>
  <si>
    <t>Standardized coefficients (Unemployment Rate (July 1999)):</t>
  </si>
  <si>
    <t xml:space="preserve"> </t>
  </si>
  <si>
    <t>Predictions and residuals (Unemployment Rate (July 1999)):</t>
  </si>
  <si>
    <t>Observation</t>
  </si>
  <si>
    <t>Weight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</si>
  <si>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</si>
  <si>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</si>
  <si>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</si>
  <si>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</si>
  <si>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</si>
  <si>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</si>
  <si>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</si>
  <si>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</si>
  <si>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</si>
  <si>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</si>
  <si>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</si>
  <si>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</si>
  <si>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</si>
  <si>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</si>
  <si>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</si>
  <si>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</si>
  <si>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</si>
  <si>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</si>
  <si>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</si>
  <si>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</si>
  <si>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</si>
  <si>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</si>
  <si>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</si>
  <si>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</si>
  <si>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</si>
  <si>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</si>
  <si>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</si>
  <si>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</si>
  <si>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</si>
  <si>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</si>
  <si>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</si>
  <si>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</si>
  <si>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</si>
  <si>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</si>
  <si>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</si>
  <si>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</si>
  <si>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</si>
  <si>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</si>
  <si>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</si>
  <si>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</si>
  <si>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</si>
  <si>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</si>
  <si>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</si>
  <si>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</si>
  <si>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</si>
  <si>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</si>
  <si>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</si>
  <si>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</si>
  <si>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</si>
  <si>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</si>
  <si>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</si>
  <si>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</si>
  <si>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</si>
  <si>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</si>
  <si>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</si>
  <si>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</si>
  <si>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</si>
  <si>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</si>
  <si>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</si>
  <si>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</si>
  <si>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</si>
  <si>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</si>
  <si>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</si>
  <si>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</si>
  <si>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</si>
  <si>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</si>
  <si>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</si>
  <si>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</si>
  <si>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</si>
  <si>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</si>
  <si>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</si>
  <si>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</si>
  <si>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</si>
  <si>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</si>
  <si>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</si>
  <si>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</si>
  <si>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</si>
  <si>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</si>
  <si>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</si>
  <si>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</si>
  <si>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</si>
  <si>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</si>
  <si>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</si>
  <si>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</si>
  <si>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</si>
  <si>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</si>
  <si>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</si>
  <si>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</si>
  <si>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</si>
  <si>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</si>
  <si>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</si>
  <si>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</si>
  <si>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</si>
  <si>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</si>
  <si>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</si>
  <si>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</si>
  <si>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</si>
  <si>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</si>
  <si>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</si>
  <si>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</si>
  <si>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</si>
  <si>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</si>
  <si>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</si>
  <si>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</si>
  <si>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</si>
  <si>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</si>
  <si>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</si>
  <si>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</si>
  <si>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</si>
  <si>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</si>
  <si>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</si>
  <si>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</si>
  <si>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</si>
  <si>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</si>
  <si>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</si>
  <si>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</si>
  <si>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</si>
  <si>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</si>
  <si>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</si>
  <si>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</si>
  <si>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Obs121</t>
  </si>
  <si>
    <t>Obs122</t>
  </si>
  <si>
    <t>Obs123</t>
  </si>
  <si>
    <t>Obs124</t>
  </si>
  <si>
    <t>Obs125</t>
  </si>
  <si>
    <t>Obs126</t>
  </si>
  <si>
    <t>Obs127</t>
  </si>
  <si>
    <t>Obs128</t>
  </si>
  <si>
    <t>Obs129</t>
  </si>
  <si>
    <t>Obs130</t>
  </si>
  <si>
    <t>Obs131</t>
  </si>
  <si>
    <t>Pred(Unemployment Rate (July 1999))</t>
  </si>
  <si>
    <t>Residual</t>
  </si>
  <si>
    <t>Std. residual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</si>
  <si>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</si>
  <si>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</si>
  <si>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</si>
  <si>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</si>
  <si>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</si>
  <si>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</si>
  <si>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t>Interpretation (Unemployment Rate (July 1999)):</t>
  </si>
  <si>
    <t>Given the R2, 6% of the variability of the dependent variable Unemployment Rate (July 1999) is explained by the explanatory variable.</t>
  </si>
  <si>
    <t>Given the p-value of the F statistic computed in the ANOVA table, and given the significance level of 5%, the information brought by the explanatory variables is significantly better than what a basic mean would bring.</t>
  </si>
  <si>
    <r>
      <t>XLSTAT 2025.2.0.1432 - Linear regression - Start time: 14/11/2025 at 13:42:03 / End time: 14/11/2025 at 13:42:05</t>
    </r>
    <r>
      <rPr>
        <sz val="12"/>
        <color rgb="FFFFFFFF"/>
        <rFont val="Times New Roman"/>
        <family val="2"/>
      </rPr>
      <t xml:space="preserve"> / Microsoft Excel 14.04734</t>
    </r>
  </si>
  <si>
    <t>Low</t>
  </si>
  <si>
    <t>Yes</t>
  </si>
  <si>
    <t>***</t>
  </si>
  <si>
    <t>Pred(Points/Game)</t>
  </si>
  <si>
    <r>
      <t>XLSTAT 2025.2.0.1432 - Linear regression - Start time: 14/11/2025 at 13:59:09 / End time: 14/11/2025 at 13:59:10</t>
    </r>
    <r>
      <rPr>
        <sz val="12"/>
        <color rgb="FFFFFFFF"/>
        <rFont val="Times New Roman"/>
        <family val="2"/>
      </rPr>
      <t xml:space="preserve"> / Microsoft Excel 14.04734</t>
    </r>
  </si>
  <si>
    <t>High</t>
  </si>
  <si>
    <t>X: Workbook = Homework 8 BUS 310 (Empty).xlsx / Sheet = P 8.11 / Range = 'P 8.11'!$B$4:$B$36 / 32 rows and 1 column</t>
  </si>
  <si>
    <t>Y: Workbook = Homework 8 BUS 310 (Empty).xlsx / Sheet = P 8.11 / Range = 'P 8.11'!$C$4:$C$36 / 32 rows and 1 column</t>
  </si>
  <si>
    <t>Scatter plots:</t>
  </si>
  <si>
    <r>
      <t>XLSTAT 2025.2.0.1432 - Scatter plots - Start time: 14/11/2025 at 14:06:05 / End time: 14/11/2025 at 14:06:07</t>
    </r>
    <r>
      <rPr>
        <sz val="12"/>
        <color rgb="FFFFFFFF"/>
        <rFont val="Times New Roman"/>
        <family val="2"/>
      </rPr>
      <t xml:space="preserve"> / Microsoft Excel 14.04734</t>
    </r>
  </si>
  <si>
    <t>Regression of variable Wedding cost:</t>
  </si>
  <si>
    <t>Goodness of fit statistics (Wedding cost):</t>
  </si>
  <si>
    <t>Analysis of variance (Wedding cost):</t>
  </si>
  <si>
    <t>Model parameters (Wedding cost):</t>
  </si>
  <si>
    <t>Equation of the model (Wedding cost):</t>
  </si>
  <si>
    <t>Wedding cost = 1905.68862275449+130.12125748503*Attendance</t>
  </si>
  <si>
    <t>Standardized coefficients (Wedding cost):</t>
  </si>
  <si>
    <t>Predictions and residuals (Wedding cost):</t>
  </si>
  <si>
    <t>Pred(Wedding cost)</t>
  </si>
  <si>
    <t>Interpretation (Wedding cost):</t>
  </si>
  <si>
    <t>Given the R2, 54% of the variability of the dependent variable Wedding cost is explained by the explanatory variable.</t>
  </si>
  <si>
    <r>
      <t>XLSTAT 2025.2.0.1432 - Linear regression - Start time: 14/11/2025 at 14:16:04 / End time: 14/11/2025 at 14:16:05</t>
    </r>
    <r>
      <rPr>
        <sz val="12"/>
        <color rgb="FFFFFFFF"/>
        <rFont val="Times New Roman"/>
        <family val="2"/>
      </rPr>
      <t xml:space="preserve"> / Microsoft Excel 14.04734</t>
    </r>
  </si>
  <si>
    <t>y = 130.12x + 1905.7</t>
  </si>
  <si>
    <t>Medium</t>
  </si>
  <si>
    <t>Regression of variable Actual Pile Length (ft.):</t>
  </si>
  <si>
    <t>Goodness of fit statistics (Actual Pile Length (ft.)):</t>
  </si>
  <si>
    <t>Analysis of variance (Actual Pile Length (ft.)):</t>
  </si>
  <si>
    <t>Model parameters (Actual Pile Length (ft.)):</t>
  </si>
  <si>
    <t>Equation of the model (Actual Pile Length (ft.)):</t>
  </si>
  <si>
    <t>Actual Pile Length (ft.) = 11.6143770642258+0.81418916026595*Estimated Pile Length (ft.)</t>
  </si>
  <si>
    <t>Standardized coefficients (Actual Pile Length (ft.)):</t>
  </si>
  <si>
    <t>Predictions and residuals (Actual Pile Length (ft.)):</t>
  </si>
  <si>
    <t>Obs132</t>
  </si>
  <si>
    <t>Obs133</t>
  </si>
  <si>
    <t>Obs134</t>
  </si>
  <si>
    <t>Obs135</t>
  </si>
  <si>
    <t>Obs136</t>
  </si>
  <si>
    <t>Obs137</t>
  </si>
  <si>
    <t>Obs138</t>
  </si>
  <si>
    <t>Obs139</t>
  </si>
  <si>
    <t>Obs140</t>
  </si>
  <si>
    <t>Obs141</t>
  </si>
  <si>
    <t>Obs142</t>
  </si>
  <si>
    <t>Obs143</t>
  </si>
  <si>
    <t>Obs144</t>
  </si>
  <si>
    <t>Obs145</t>
  </si>
  <si>
    <t>Obs146</t>
  </si>
  <si>
    <t>Obs147</t>
  </si>
  <si>
    <t>Obs148</t>
  </si>
  <si>
    <t>Obs149</t>
  </si>
  <si>
    <t>Obs150</t>
  </si>
  <si>
    <t>Obs151</t>
  </si>
  <si>
    <t>Obs152</t>
  </si>
  <si>
    <t>Obs153</t>
  </si>
  <si>
    <t>Obs154</t>
  </si>
  <si>
    <t>Obs155</t>
  </si>
  <si>
    <t>Obs156</t>
  </si>
  <si>
    <t>Obs157</t>
  </si>
  <si>
    <t>Obs158</t>
  </si>
  <si>
    <t>Obs159</t>
  </si>
  <si>
    <t>Obs160</t>
  </si>
  <si>
    <t>Obs161</t>
  </si>
  <si>
    <t>Obs162</t>
  </si>
  <si>
    <t>Obs163</t>
  </si>
  <si>
    <t>Obs164</t>
  </si>
  <si>
    <t>Obs165</t>
  </si>
  <si>
    <t>Obs166</t>
  </si>
  <si>
    <t>Obs167</t>
  </si>
  <si>
    <t>Obs168</t>
  </si>
  <si>
    <t>Obs169</t>
  </si>
  <si>
    <t>Obs170</t>
  </si>
  <si>
    <t>Obs171</t>
  </si>
  <si>
    <t>Obs172</t>
  </si>
  <si>
    <t>Obs173</t>
  </si>
  <si>
    <t>Obs174</t>
  </si>
  <si>
    <t>Obs175</t>
  </si>
  <si>
    <t>Obs176</t>
  </si>
  <si>
    <t>Obs177</t>
  </si>
  <si>
    <t>Obs178</t>
  </si>
  <si>
    <t>Obs179</t>
  </si>
  <si>
    <t>Obs180</t>
  </si>
  <si>
    <t>Obs181</t>
  </si>
  <si>
    <t>Obs182</t>
  </si>
  <si>
    <t>Obs183</t>
  </si>
  <si>
    <t>Obs184</t>
  </si>
  <si>
    <t>Obs185</t>
  </si>
  <si>
    <t>Obs186</t>
  </si>
  <si>
    <t>Obs187</t>
  </si>
  <si>
    <t>Obs188</t>
  </si>
  <si>
    <t>Obs189</t>
  </si>
  <si>
    <t>Obs190</t>
  </si>
  <si>
    <t>Obs191</t>
  </si>
  <si>
    <t>Obs192</t>
  </si>
  <si>
    <t>Obs193</t>
  </si>
  <si>
    <t>Obs194</t>
  </si>
  <si>
    <t>Obs195</t>
  </si>
  <si>
    <t>Obs196</t>
  </si>
  <si>
    <t>Obs197</t>
  </si>
  <si>
    <t>Obs198</t>
  </si>
  <si>
    <t>Obs199</t>
  </si>
  <si>
    <t>Obs200</t>
  </si>
  <si>
    <t>Obs201</t>
  </si>
  <si>
    <t>Obs202</t>
  </si>
  <si>
    <t>Obs203</t>
  </si>
  <si>
    <t>Obs204</t>
  </si>
  <si>
    <t>Obs205</t>
  </si>
  <si>
    <t>Obs206</t>
  </si>
  <si>
    <t>Obs207</t>
  </si>
  <si>
    <t>Obs208</t>
  </si>
  <si>
    <t>Obs209</t>
  </si>
  <si>
    <t>Obs210</t>
  </si>
  <si>
    <t>Obs211</t>
  </si>
  <si>
    <t>Obs212</t>
  </si>
  <si>
    <t>Obs213</t>
  </si>
  <si>
    <t>Obs214</t>
  </si>
  <si>
    <t>Obs215</t>
  </si>
  <si>
    <t>Obs216</t>
  </si>
  <si>
    <t>Obs217</t>
  </si>
  <si>
    <t>Obs218</t>
  </si>
  <si>
    <t>Obs219</t>
  </si>
  <si>
    <t>Obs220</t>
  </si>
  <si>
    <t>Obs221</t>
  </si>
  <si>
    <t>Obs222</t>
  </si>
  <si>
    <t>Obs223</t>
  </si>
  <si>
    <t>Obs224</t>
  </si>
  <si>
    <t>Obs225</t>
  </si>
  <si>
    <t>Obs226</t>
  </si>
  <si>
    <t>Obs227</t>
  </si>
  <si>
    <t>Obs228</t>
  </si>
  <si>
    <t>Obs229</t>
  </si>
  <si>
    <t>Obs230</t>
  </si>
  <si>
    <t>Obs231</t>
  </si>
  <si>
    <t>Obs232</t>
  </si>
  <si>
    <t>Obs233</t>
  </si>
  <si>
    <t>Obs234</t>
  </si>
  <si>
    <t>Obs235</t>
  </si>
  <si>
    <t>Obs236</t>
  </si>
  <si>
    <t>Obs237</t>
  </si>
  <si>
    <t>Obs238</t>
  </si>
  <si>
    <t>Obs239</t>
  </si>
  <si>
    <t>Obs240</t>
  </si>
  <si>
    <t>Obs241</t>
  </si>
  <si>
    <t>Obs242</t>
  </si>
  <si>
    <t>Obs243</t>
  </si>
  <si>
    <t>Obs244</t>
  </si>
  <si>
    <t>Obs245</t>
  </si>
  <si>
    <t>Obs246</t>
  </si>
  <si>
    <t>Obs247</t>
  </si>
  <si>
    <t>Obs248</t>
  </si>
  <si>
    <t>Obs249</t>
  </si>
  <si>
    <t>Obs250</t>
  </si>
  <si>
    <t>Obs251</t>
  </si>
  <si>
    <t>Obs252</t>
  </si>
  <si>
    <t>Obs253</t>
  </si>
  <si>
    <t>Obs254</t>
  </si>
  <si>
    <t>Obs255</t>
  </si>
  <si>
    <t>Obs256</t>
  </si>
  <si>
    <t>Obs257</t>
  </si>
  <si>
    <t>Obs258</t>
  </si>
  <si>
    <t>Obs259</t>
  </si>
  <si>
    <t>Obs260</t>
  </si>
  <si>
    <t>Obs261</t>
  </si>
  <si>
    <t>Obs262</t>
  </si>
  <si>
    <t>Obs263</t>
  </si>
  <si>
    <t>Obs264</t>
  </si>
  <si>
    <t>Obs265</t>
  </si>
  <si>
    <t>Obs266</t>
  </si>
  <si>
    <t>Obs267</t>
  </si>
  <si>
    <t>Obs268</t>
  </si>
  <si>
    <t>Obs269</t>
  </si>
  <si>
    <t>Obs270</t>
  </si>
  <si>
    <t>Obs271</t>
  </si>
  <si>
    <t>Obs272</t>
  </si>
  <si>
    <t>Obs273</t>
  </si>
  <si>
    <t>Obs274</t>
  </si>
  <si>
    <t>Obs275</t>
  </si>
  <si>
    <t>Obs276</t>
  </si>
  <si>
    <t>Obs277</t>
  </si>
  <si>
    <t>Obs278</t>
  </si>
  <si>
    <t>Obs279</t>
  </si>
  <si>
    <t>Obs280</t>
  </si>
  <si>
    <t>Obs281</t>
  </si>
  <si>
    <t>Obs282</t>
  </si>
  <si>
    <t>Obs283</t>
  </si>
  <si>
    <t>Obs284</t>
  </si>
  <si>
    <t>Obs285</t>
  </si>
  <si>
    <t>Obs286</t>
  </si>
  <si>
    <t>Obs287</t>
  </si>
  <si>
    <t>Obs288</t>
  </si>
  <si>
    <t>Obs289</t>
  </si>
  <si>
    <t>Obs290</t>
  </si>
  <si>
    <t>Obs291</t>
  </si>
  <si>
    <t>Obs292</t>
  </si>
  <si>
    <t>Obs293</t>
  </si>
  <si>
    <t>Obs294</t>
  </si>
  <si>
    <t>Obs295</t>
  </si>
  <si>
    <t>Obs296</t>
  </si>
  <si>
    <t>Obs297</t>
  </si>
  <si>
    <t>Obs298</t>
  </si>
  <si>
    <t>Obs299</t>
  </si>
  <si>
    <t>Obs300</t>
  </si>
  <si>
    <t>Obs301</t>
  </si>
  <si>
    <t>Obs302</t>
  </si>
  <si>
    <t>Obs303</t>
  </si>
  <si>
    <t>Obs304</t>
  </si>
  <si>
    <t>Obs305</t>
  </si>
  <si>
    <t>Obs306</t>
  </si>
  <si>
    <t>Obs307</t>
  </si>
  <si>
    <t>Obs308</t>
  </si>
  <si>
    <t>Obs309</t>
  </si>
  <si>
    <t>Obs310</t>
  </si>
  <si>
    <t>Obs311</t>
  </si>
  <si>
    <t>Pred(Actual Pile Length (ft.))</t>
  </si>
  <si>
    <t>Interpretation (Actual Pile Length (ft.)):</t>
  </si>
  <si>
    <t>Given the R2, 64% of the variability of the dependent variable Actual Pile Length (ft.) is explained by the explanatory variable.</t>
  </si>
  <si>
    <r>
      <t>XLSTAT 2025.2.0.1432 - Linear regression - Start time: 14/11/2025 at 14:31:10 / End time: 14/11/2025 at 14:31:12</t>
    </r>
    <r>
      <rPr>
        <sz val="12"/>
        <color rgb="FFFFFFFF"/>
        <rFont val="Times New Roman"/>
        <family val="2"/>
      </rPr>
      <t xml:space="preserve"> / Microsoft Excel 14.04734</t>
    </r>
  </si>
  <si>
    <t>X: Workbook = Homework 8 BUS 310 (Empty).xlsx / Sheet = P 8.15 / Range = 'P 8.15'!$B$3:$B$314 / 311 rows and 1 column</t>
  </si>
  <si>
    <t>Y: Workbook = Homework 8 BUS 310 (Empty).xlsx / Sheet = P 8.15 / Range = 'P 8.15'!$C$3:$C$314 / 311 rows and 1 column</t>
  </si>
  <si>
    <r>
      <t>XLSTAT 2025.2.0.1432 - Scatter plots - Start time: 14/11/2025 at 14:38:05 / End time: 14/11/2025 at 14:38:07</t>
    </r>
    <r>
      <rPr>
        <sz val="12"/>
        <color rgb="FFFFFFFF"/>
        <rFont val="Times New Roman"/>
        <family val="2"/>
      </rPr>
      <t xml:space="preserve"> / Microsoft Excel 14.04734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</si>
</sst>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0"/>
    <numFmt numFmtId="167" formatCode="0.000"/>
    <numFmt numFmtId="168" formatCode="[&lt;0.0001]&quot;&lt;0.0001&quot;;0.000"/>
  </numFmts>
  <fonts count="1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FFFF"/>
      <name val="Arial"/>
      <family val="2"/>
    </font>
    <font>
      <sz val="12"/>
      <color rgb="FF008941"/>
      <name val="Times New Roman"/>
      <family val="1"/>
    </font>
    <font>
      <sz val="12"/>
      <color rgb="FF008941"/>
      <name val="Times New Roman"/>
      <family val="2"/>
    </font>
    <font>
      <sz val="12"/>
      <color rgb="FF007800"/>
      <name val="Times New Roman"/>
      <family val="1"/>
    </font>
    <font>
      <sz val="12"/>
      <color rgb="FF007800"/>
      <name val="Times New Roman"/>
      <family val="2"/>
    </font>
    <font>
      <b/>
      <sz val="12"/>
      <color rgb="FF007800"/>
      <name val="Times New Roman"/>
      <family val="1"/>
    </font>
    <font>
      <i/>
      <sz val="12"/>
      <color theme="1"/>
      <name val="Times New Roman"/>
      <family val="1"/>
    </font>
    <font>
      <sz val="12"/>
      <color rgb="FFFFFFFF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164" fontId="3" fillId="0" borderId="0" xfId="2" applyNumberFormat="1" applyFont="1"/>
    <xf numFmtId="0" fontId="2" fillId="0" borderId="1" xfId="0" applyFont="1" applyBorder="1" applyAlignment="1">
      <alignment horizontal="center"/>
    </xf>
    <xf numFmtId="1" fontId="3" fillId="0" borderId="0" xfId="1" applyNumberFormat="1" applyFont="1"/>
    <xf numFmtId="0" fontId="2" fillId="0" borderId="0" xfId="0" applyFont="1"/>
    <xf numFmtId="0" fontId="4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left"/>
    </xf>
    <xf numFmtId="10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/>
    </xf>
    <xf numFmtId="3" fontId="5" fillId="0" borderId="0" xfId="0" applyNumberFormat="1" applyFont="1" applyAlignment="1">
      <alignment horizontal="left"/>
    </xf>
    <xf numFmtId="165" fontId="4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right"/>
    </xf>
    <xf numFmtId="165" fontId="5" fillId="0" borderId="0" xfId="0" applyNumberFormat="1" applyFont="1"/>
    <xf numFmtId="165" fontId="3" fillId="0" borderId="0" xfId="0" applyNumberFormat="1" applyFont="1"/>
    <xf numFmtId="165" fontId="4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3" fillId="0" borderId="0" xfId="0" applyNumberFormat="1" applyFont="1" applyAlignment="1">
      <alignment horizontal="right" wrapText="1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 wrapText="1"/>
    </xf>
    <xf numFmtId="166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3" fillId="2" borderId="2" xfId="0" applyFont="1" applyFill="1" applyBorder="1"/>
    <xf numFmtId="0" fontId="2" fillId="2" borderId="2" xfId="0" applyFont="1" applyFill="1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/>
    <xf numFmtId="0" fontId="2" fillId="0" borderId="3" xfId="0" applyFont="1" applyBorder="1"/>
    <xf numFmtId="0" fontId="2" fillId="0" borderId="4" xfId="0" applyFont="1" applyBorder="1"/>
    <xf numFmtId="0" fontId="2" fillId="3" borderId="2" xfId="0" applyFont="1" applyFill="1" applyBorder="1"/>
    <xf numFmtId="4" fontId="3" fillId="2" borderId="2" xfId="0" applyNumberFormat="1" applyFont="1" applyFill="1" applyBorder="1"/>
    <xf numFmtId="0" fontId="6" fillId="2" borderId="2" xfId="0" applyFont="1" applyFill="1" applyBorder="1"/>
    <xf numFmtId="0" fontId="6" fillId="2" borderId="2" xfId="0" applyFont="1" applyFill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/>
    <xf numFmtId="0" fontId="7" fillId="4" borderId="0" xfId="0" applyFont="1" applyFill="1"/>
    <xf numFmtId="0" fontId="9" fillId="0" borderId="0" xfId="0" applyFont="1"/>
    <xf numFmtId="49" fontId="3" fillId="0" borderId="0" xfId="0" applyNumberFormat="1" applyFont="1"/>
    <xf numFmtId="0" fontId="3" fillId="0" borderId="9" xfId="0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/>
    <xf numFmtId="49" fontId="3" fillId="0" borderId="1" xfId="0" applyNumberFormat="1" applyFont="1" applyBorder="1"/>
    <xf numFmtId="0" fontId="11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7" fontId="11" fillId="0" borderId="10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49" fontId="12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/>
    <xf numFmtId="49" fontId="12" fillId="0" borderId="1" xfId="0" applyNumberFormat="1" applyFont="1" applyBorder="1"/>
    <xf numFmtId="167" fontId="0" fillId="0" borderId="10" xfId="0" applyNumberFormat="1" applyBorder="1" applyAlignment="1">
      <alignment horizontal="center"/>
    </xf>
    <xf numFmtId="167" fontId="13" fillId="0" borderId="10" xfId="0" applyNumberFormat="1" applyFont="1" applyBorder="1" applyAlignment="1">
      <alignment horizontal="center"/>
    </xf>
    <xf numFmtId="167" fontId="13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3" fillId="0" borderId="9" xfId="0" applyNumberFormat="1" applyFont="1" applyBorder="1"/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10" xfId="0" applyNumberFormat="1" applyBorder="1" applyAlignment="1">
      <alignment horizontal="center"/>
    </xf>
    <xf numFmtId="168" fontId="2" fillId="0" borderId="10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15" fillId="0" borderId="0" xfId="0" applyFont="1"/>
    <xf numFmtId="49" fontId="3" fillId="0" borderId="11" xfId="0" applyNumberFormat="1" applyFont="1" applyBorder="1"/>
    <xf numFmtId="167" fontId="0" fillId="0" borderId="11" xfId="0" applyNumberFormat="1" applyBorder="1" applyAlignment="1">
      <alignment horizontal="center"/>
    </xf>
    <xf numFmtId="168" fontId="2" fillId="0" borderId="11" xfId="0" applyNumberFormat="1" applyFon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 8.9'!$B$1</c:f>
              <c:strCache>
                <c:ptCount val="1"/>
                <c:pt idx="0">
                  <c:v>Overhead Costs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'P 8.9'!$A$2:$A$7</c:f>
              <c:numCache>
                <c:formatCode>0</c:formatCode>
                <c:ptCount val="6"/>
                <c:pt idx="0">
                  <c:v>3000</c:v>
                </c:pt>
                <c:pt idx="1">
                  <c:v>4000</c:v>
                </c:pt>
                <c:pt idx="2">
                  <c:v>5000</c:v>
                </c:pt>
                <c:pt idx="3">
                  <c:v>6000</c:v>
                </c:pt>
                <c:pt idx="4">
                  <c:v>7000</c:v>
                </c:pt>
                <c:pt idx="5">
                  <c:v>8000</c:v>
                </c:pt>
              </c:numCache>
            </c:numRef>
          </c:xVal>
          <c:yVal>
            <c:numRef>
              <c:f>'P 8.9'!$B$2:$B$7</c:f>
              <c:numCache>
                <c:formatCode>"$"#,##0</c:formatCode>
                <c:ptCount val="6"/>
                <c:pt idx="0">
                  <c:v>355000</c:v>
                </c:pt>
                <c:pt idx="1">
                  <c:v>400000</c:v>
                </c:pt>
                <c:pt idx="2">
                  <c:v>425000</c:v>
                </c:pt>
                <c:pt idx="3">
                  <c:v>477000</c:v>
                </c:pt>
                <c:pt idx="4">
                  <c:v>560000</c:v>
                </c:pt>
                <c:pt idx="5">
                  <c:v>580000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8-4D84-82BD-CB1AC67B1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846400"/>
        <c:axId val="245847936"/>
      </c:scatterChart>
      <c:valAx>
        <c:axId val="245846400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nextTo"/>
        <c:crossAx val="245847936"/>
        <c:crosses val="autoZero"/>
        <c:crossBetween val="midCat"/>
      </c:valAx>
      <c:valAx>
        <c:axId val="245847936"/>
        <c:scaling>
          <c:orientation val="minMax"/>
        </c:scaling>
        <c:delete val="0"/>
        <c:axPos val="r"/>
        <c:majorGridlines/>
        <c:numFmt formatCode="&quot;$&quot;#,##0" sourceLinked="1"/>
        <c:majorTickMark val="out"/>
        <c:minorTickMark val="none"/>
        <c:tickLblPos val="nextTo"/>
        <c:crossAx val="245846400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Unemployment Rate (July 1999)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E5B-4978-9E6F-DD3FB66612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0.16905609860925</c:v>
                </c:pt>
              </c:numLit>
            </c:plus>
            <c:minus>
              <c:numLit>
                <c:formatCode>General</c:formatCode>
                <c:ptCount val="1"/>
                <c:pt idx="0">
                  <c:v>0.16905609860925</c:v>
                </c:pt>
              </c:numLit>
            </c:minus>
          </c:errBars>
          <c:cat>
            <c:strRef>
              <c:f>'Linear Regression Output 1'!$A$68</c:f>
              <c:strCache>
                <c:ptCount val="1"/>
                <c:pt idx="0">
                  <c:v>Cost of Living 1999 - US Avg = 100</c:v>
                </c:pt>
              </c:strCache>
            </c:strRef>
          </c:cat>
          <c:val>
            <c:numRef>
              <c:f>'Linear Regression Output 1'!$B$68</c:f>
              <c:numCache>
                <c:formatCode>0.000</c:formatCode>
                <c:ptCount val="1"/>
                <c:pt idx="0">
                  <c:v>0.24120249683104464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B-4978-9E6F-DD3FB6661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76456960"/>
        <c:axId val="276458880"/>
      </c:barChart>
      <c:catAx>
        <c:axId val="27645696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6458880"/>
        <c:crosses val="autoZero"/>
        <c:auto val="1"/>
        <c:lblAlgn val="ctr"/>
        <c:lblOffset val="100"/>
        <c:noMultiLvlLbl val="0"/>
      </c:catAx>
      <c:valAx>
        <c:axId val="27645888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645696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Regression of Unemployment Rate (July 1999) by Cost of Living 1999 - US Avg = 100 (R²=0.058)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1'!$C$94:$C$224</c:f>
              <c:numCache>
                <c:formatCode>0.000</c:formatCode>
                <c:ptCount val="131"/>
                <c:pt idx="0">
                  <c:v>125.9</c:v>
                </c:pt>
                <c:pt idx="1">
                  <c:v>99.1</c:v>
                </c:pt>
                <c:pt idx="2">
                  <c:v>95.2</c:v>
                </c:pt>
                <c:pt idx="3">
                  <c:v>91.8</c:v>
                </c:pt>
                <c:pt idx="4">
                  <c:v>92.4</c:v>
                </c:pt>
                <c:pt idx="5">
                  <c:v>87.2</c:v>
                </c:pt>
                <c:pt idx="6">
                  <c:v>99.9</c:v>
                </c:pt>
                <c:pt idx="7">
                  <c:v>99.7</c:v>
                </c:pt>
                <c:pt idx="8">
                  <c:v>106.1</c:v>
                </c:pt>
                <c:pt idx="9">
                  <c:v>105.8</c:v>
                </c:pt>
                <c:pt idx="10">
                  <c:v>122</c:v>
                </c:pt>
                <c:pt idx="11">
                  <c:v>114</c:v>
                </c:pt>
                <c:pt idx="12">
                  <c:v>122.8</c:v>
                </c:pt>
                <c:pt idx="13">
                  <c:v>144.69999999999999</c:v>
                </c:pt>
                <c:pt idx="14">
                  <c:v>96.8</c:v>
                </c:pt>
                <c:pt idx="15">
                  <c:v>105.3</c:v>
                </c:pt>
                <c:pt idx="16">
                  <c:v>92.5</c:v>
                </c:pt>
                <c:pt idx="17">
                  <c:v>121.8</c:v>
                </c:pt>
                <c:pt idx="18">
                  <c:v>132</c:v>
                </c:pt>
                <c:pt idx="19">
                  <c:v>108.1</c:v>
                </c:pt>
                <c:pt idx="20">
                  <c:v>97.2</c:v>
                </c:pt>
                <c:pt idx="21">
                  <c:v>95.4</c:v>
                </c:pt>
                <c:pt idx="22">
                  <c:v>104.5</c:v>
                </c:pt>
                <c:pt idx="23">
                  <c:v>97</c:v>
                </c:pt>
                <c:pt idx="24">
                  <c:v>93.6</c:v>
                </c:pt>
                <c:pt idx="25">
                  <c:v>100.1</c:v>
                </c:pt>
                <c:pt idx="26">
                  <c:v>97.8</c:v>
                </c:pt>
                <c:pt idx="27">
                  <c:v>104.7</c:v>
                </c:pt>
                <c:pt idx="28">
                  <c:v>97.4</c:v>
                </c:pt>
                <c:pt idx="29">
                  <c:v>93.9</c:v>
                </c:pt>
                <c:pt idx="30">
                  <c:v>95.1</c:v>
                </c:pt>
                <c:pt idx="31">
                  <c:v>94.7</c:v>
                </c:pt>
                <c:pt idx="32">
                  <c:v>107.5</c:v>
                </c:pt>
                <c:pt idx="33">
                  <c:v>102.7</c:v>
                </c:pt>
                <c:pt idx="34">
                  <c:v>99.8</c:v>
                </c:pt>
                <c:pt idx="35">
                  <c:v>121.6</c:v>
                </c:pt>
                <c:pt idx="36">
                  <c:v>103.6</c:v>
                </c:pt>
                <c:pt idx="37">
                  <c:v>95.1</c:v>
                </c:pt>
                <c:pt idx="38">
                  <c:v>93.3</c:v>
                </c:pt>
                <c:pt idx="39">
                  <c:v>94.9</c:v>
                </c:pt>
                <c:pt idx="40">
                  <c:v>90.9</c:v>
                </c:pt>
                <c:pt idx="41">
                  <c:v>95.1</c:v>
                </c:pt>
                <c:pt idx="42">
                  <c:v>94.8</c:v>
                </c:pt>
                <c:pt idx="43">
                  <c:v>95.9</c:v>
                </c:pt>
                <c:pt idx="44">
                  <c:v>92.8</c:v>
                </c:pt>
                <c:pt idx="45">
                  <c:v>98.5</c:v>
                </c:pt>
                <c:pt idx="46">
                  <c:v>94.5</c:v>
                </c:pt>
                <c:pt idx="47">
                  <c:v>94.9</c:v>
                </c:pt>
                <c:pt idx="48">
                  <c:v>136.80000000000001</c:v>
                </c:pt>
                <c:pt idx="49">
                  <c:v>102.3</c:v>
                </c:pt>
                <c:pt idx="50">
                  <c:v>113</c:v>
                </c:pt>
                <c:pt idx="51">
                  <c:v>102.1</c:v>
                </c:pt>
                <c:pt idx="52">
                  <c:v>102.9</c:v>
                </c:pt>
                <c:pt idx="53">
                  <c:v>99.7</c:v>
                </c:pt>
                <c:pt idx="54">
                  <c:v>97.5</c:v>
                </c:pt>
                <c:pt idx="55">
                  <c:v>93.1</c:v>
                </c:pt>
                <c:pt idx="56">
                  <c:v>96.1</c:v>
                </c:pt>
                <c:pt idx="57">
                  <c:v>94.5</c:v>
                </c:pt>
                <c:pt idx="58">
                  <c:v>97.4</c:v>
                </c:pt>
                <c:pt idx="59">
                  <c:v>94.3</c:v>
                </c:pt>
                <c:pt idx="60">
                  <c:v>102.7</c:v>
                </c:pt>
                <c:pt idx="61">
                  <c:v>102.5</c:v>
                </c:pt>
                <c:pt idx="62">
                  <c:v>101.8</c:v>
                </c:pt>
                <c:pt idx="63">
                  <c:v>100</c:v>
                </c:pt>
                <c:pt idx="64">
                  <c:v>96.8</c:v>
                </c:pt>
                <c:pt idx="65">
                  <c:v>97.5</c:v>
                </c:pt>
                <c:pt idx="66">
                  <c:v>97.3</c:v>
                </c:pt>
                <c:pt idx="67">
                  <c:v>97.8</c:v>
                </c:pt>
                <c:pt idx="68">
                  <c:v>99.9</c:v>
                </c:pt>
                <c:pt idx="69">
                  <c:v>100.8</c:v>
                </c:pt>
                <c:pt idx="70">
                  <c:v>88.8</c:v>
                </c:pt>
                <c:pt idx="71">
                  <c:v>92.3</c:v>
                </c:pt>
                <c:pt idx="72">
                  <c:v>108.8</c:v>
                </c:pt>
                <c:pt idx="73">
                  <c:v>132.6</c:v>
                </c:pt>
                <c:pt idx="74">
                  <c:v>102.8</c:v>
                </c:pt>
                <c:pt idx="75">
                  <c:v>105.6</c:v>
                </c:pt>
                <c:pt idx="76">
                  <c:v>111.8</c:v>
                </c:pt>
                <c:pt idx="77">
                  <c:v>109.7</c:v>
                </c:pt>
                <c:pt idx="78">
                  <c:v>97.3</c:v>
                </c:pt>
                <c:pt idx="79">
                  <c:v>226.5</c:v>
                </c:pt>
                <c:pt idx="80">
                  <c:v>110.4</c:v>
                </c:pt>
                <c:pt idx="81">
                  <c:v>102.9</c:v>
                </c:pt>
                <c:pt idx="82">
                  <c:v>96.3</c:v>
                </c:pt>
                <c:pt idx="83">
                  <c:v>101.1</c:v>
                </c:pt>
                <c:pt idx="84">
                  <c:v>106</c:v>
                </c:pt>
                <c:pt idx="85">
                  <c:v>101.4</c:v>
                </c:pt>
                <c:pt idx="86">
                  <c:v>96.9</c:v>
                </c:pt>
                <c:pt idx="87">
                  <c:v>90.2</c:v>
                </c:pt>
                <c:pt idx="88">
                  <c:v>89.4</c:v>
                </c:pt>
                <c:pt idx="89">
                  <c:v>108.9</c:v>
                </c:pt>
                <c:pt idx="90">
                  <c:v>107.3</c:v>
                </c:pt>
                <c:pt idx="91">
                  <c:v>103.3</c:v>
                </c:pt>
                <c:pt idx="92">
                  <c:v>104.4</c:v>
                </c:pt>
                <c:pt idx="93">
                  <c:v>101.6</c:v>
                </c:pt>
                <c:pt idx="94">
                  <c:v>104.9</c:v>
                </c:pt>
                <c:pt idx="95">
                  <c:v>127.4</c:v>
                </c:pt>
                <c:pt idx="96">
                  <c:v>113.3</c:v>
                </c:pt>
                <c:pt idx="97">
                  <c:v>97.5</c:v>
                </c:pt>
                <c:pt idx="98">
                  <c:v>95.2</c:v>
                </c:pt>
                <c:pt idx="99">
                  <c:v>94.2</c:v>
                </c:pt>
                <c:pt idx="100">
                  <c:v>95.2</c:v>
                </c:pt>
                <c:pt idx="101">
                  <c:v>100.2</c:v>
                </c:pt>
                <c:pt idx="102">
                  <c:v>96.6</c:v>
                </c:pt>
                <c:pt idx="103">
                  <c:v>93.8</c:v>
                </c:pt>
                <c:pt idx="104">
                  <c:v>95.3</c:v>
                </c:pt>
                <c:pt idx="105">
                  <c:v>91.7</c:v>
                </c:pt>
                <c:pt idx="106">
                  <c:v>91.8</c:v>
                </c:pt>
                <c:pt idx="107">
                  <c:v>90</c:v>
                </c:pt>
                <c:pt idx="108">
                  <c:v>100.9</c:v>
                </c:pt>
                <c:pt idx="109">
                  <c:v>93.6</c:v>
                </c:pt>
                <c:pt idx="110">
                  <c:v>101.8</c:v>
                </c:pt>
                <c:pt idx="111">
                  <c:v>95</c:v>
                </c:pt>
                <c:pt idx="112">
                  <c:v>96.8</c:v>
                </c:pt>
                <c:pt idx="113">
                  <c:v>99.6</c:v>
                </c:pt>
                <c:pt idx="114">
                  <c:v>92.1</c:v>
                </c:pt>
                <c:pt idx="115">
                  <c:v>100.9</c:v>
                </c:pt>
                <c:pt idx="116">
                  <c:v>100.5</c:v>
                </c:pt>
                <c:pt idx="117">
                  <c:v>102</c:v>
                </c:pt>
                <c:pt idx="118">
                  <c:v>93</c:v>
                </c:pt>
                <c:pt idx="119">
                  <c:v>109.6</c:v>
                </c:pt>
                <c:pt idx="120">
                  <c:v>103.4</c:v>
                </c:pt>
                <c:pt idx="121">
                  <c:v>119.7</c:v>
                </c:pt>
                <c:pt idx="122">
                  <c:v>106.7</c:v>
                </c:pt>
                <c:pt idx="123">
                  <c:v>102.6</c:v>
                </c:pt>
                <c:pt idx="124">
                  <c:v>97</c:v>
                </c:pt>
                <c:pt idx="125">
                  <c:v>98.5</c:v>
                </c:pt>
                <c:pt idx="126">
                  <c:v>107.5</c:v>
                </c:pt>
                <c:pt idx="127">
                  <c:v>96.6</c:v>
                </c:pt>
                <c:pt idx="128">
                  <c:v>100.8</c:v>
                </c:pt>
                <c:pt idx="129">
                  <c:v>101.4</c:v>
                </c:pt>
                <c:pt idx="130">
                  <c:v>95</c:v>
                </c:pt>
              </c:numCache>
            </c:numRef>
          </c:xVal>
          <c:yVal>
            <c:numRef>
              <c:f>'Linear Regression Output 1'!$D$94:$D$224</c:f>
              <c:numCache>
                <c:formatCode>0.000</c:formatCode>
                <c:ptCount val="131"/>
                <c:pt idx="0">
                  <c:v>3.6000000000000004E-2</c:v>
                </c:pt>
                <c:pt idx="1">
                  <c:v>2.7000000000000003E-2</c:v>
                </c:pt>
                <c:pt idx="2">
                  <c:v>2.7000000000000003E-2</c:v>
                </c:pt>
                <c:pt idx="3">
                  <c:v>3.6000000000000004E-2</c:v>
                </c:pt>
                <c:pt idx="4">
                  <c:v>2.8999999999999998E-2</c:v>
                </c:pt>
                <c:pt idx="5">
                  <c:v>3.2000000000000001E-2</c:v>
                </c:pt>
                <c:pt idx="6">
                  <c:v>2.6000000000000002E-2</c:v>
                </c:pt>
                <c:pt idx="7">
                  <c:v>2.3E-2</c:v>
                </c:pt>
                <c:pt idx="8">
                  <c:v>0.125</c:v>
                </c:pt>
                <c:pt idx="9">
                  <c:v>0.13800000000000001</c:v>
                </c:pt>
                <c:pt idx="10">
                  <c:v>6.3E-2</c:v>
                </c:pt>
                <c:pt idx="11">
                  <c:v>4.0999999999999995E-2</c:v>
                </c:pt>
                <c:pt idx="12">
                  <c:v>3.2000000000000001E-2</c:v>
                </c:pt>
                <c:pt idx="13">
                  <c:v>2.5000000000000001E-2</c:v>
                </c:pt>
                <c:pt idx="14">
                  <c:v>3.7000000000000005E-2</c:v>
                </c:pt>
                <c:pt idx="15">
                  <c:v>2.5999999999999999E-2</c:v>
                </c:pt>
                <c:pt idx="16">
                  <c:v>5.7999999999999996E-2</c:v>
                </c:pt>
                <c:pt idx="17">
                  <c:v>3.4000000000000002E-2</c:v>
                </c:pt>
                <c:pt idx="18">
                  <c:v>2.8999999999999998E-2</c:v>
                </c:pt>
                <c:pt idx="19">
                  <c:v>3.2000000000000001E-2</c:v>
                </c:pt>
                <c:pt idx="20">
                  <c:v>4.4000000000000004E-2</c:v>
                </c:pt>
                <c:pt idx="21">
                  <c:v>2.8999999999999998E-2</c:v>
                </c:pt>
                <c:pt idx="22">
                  <c:v>6.7000000000000004E-2</c:v>
                </c:pt>
                <c:pt idx="23">
                  <c:v>2.8999999999999998E-2</c:v>
                </c:pt>
                <c:pt idx="24">
                  <c:v>3.7000000000000005E-2</c:v>
                </c:pt>
                <c:pt idx="25">
                  <c:v>3.1E-2</c:v>
                </c:pt>
                <c:pt idx="26">
                  <c:v>2.9000000000000001E-2</c:v>
                </c:pt>
                <c:pt idx="27">
                  <c:v>5.6000000000000001E-2</c:v>
                </c:pt>
                <c:pt idx="28">
                  <c:v>0.03</c:v>
                </c:pt>
                <c:pt idx="29">
                  <c:v>4.4000000000000004E-2</c:v>
                </c:pt>
                <c:pt idx="30">
                  <c:v>4.7E-2</c:v>
                </c:pt>
                <c:pt idx="31">
                  <c:v>1.8000000000000002E-2</c:v>
                </c:pt>
                <c:pt idx="32">
                  <c:v>2.5999999999999999E-2</c:v>
                </c:pt>
                <c:pt idx="33">
                  <c:v>3.3000000000000002E-2</c:v>
                </c:pt>
                <c:pt idx="34">
                  <c:v>4.4999999999999998E-2</c:v>
                </c:pt>
                <c:pt idx="35">
                  <c:v>0.04</c:v>
                </c:pt>
                <c:pt idx="36">
                  <c:v>4.0999999999999995E-2</c:v>
                </c:pt>
                <c:pt idx="37">
                  <c:v>3.6000000000000004E-2</c:v>
                </c:pt>
                <c:pt idx="38">
                  <c:v>2.4E-2</c:v>
                </c:pt>
                <c:pt idx="39">
                  <c:v>2.3E-2</c:v>
                </c:pt>
                <c:pt idx="40">
                  <c:v>2.4E-2</c:v>
                </c:pt>
                <c:pt idx="41">
                  <c:v>4.2999999999999997E-2</c:v>
                </c:pt>
                <c:pt idx="42">
                  <c:v>3.3000000000000002E-2</c:v>
                </c:pt>
                <c:pt idx="43">
                  <c:v>1.9E-2</c:v>
                </c:pt>
                <c:pt idx="44">
                  <c:v>2.7000000000000003E-2</c:v>
                </c:pt>
                <c:pt idx="45">
                  <c:v>3.7000000000000005E-2</c:v>
                </c:pt>
                <c:pt idx="46">
                  <c:v>0.04</c:v>
                </c:pt>
                <c:pt idx="47">
                  <c:v>4.8000000000000001E-2</c:v>
                </c:pt>
                <c:pt idx="48">
                  <c:v>2.1999999999999999E-2</c:v>
                </c:pt>
                <c:pt idx="49">
                  <c:v>4.7E-2</c:v>
                </c:pt>
                <c:pt idx="50">
                  <c:v>2.7999999999999997E-2</c:v>
                </c:pt>
                <c:pt idx="51">
                  <c:v>2.5000000000000001E-2</c:v>
                </c:pt>
                <c:pt idx="52">
                  <c:v>2.1000000000000001E-2</c:v>
                </c:pt>
                <c:pt idx="53">
                  <c:v>1.4999999999999999E-2</c:v>
                </c:pt>
                <c:pt idx="54">
                  <c:v>1.2E-2</c:v>
                </c:pt>
                <c:pt idx="55">
                  <c:v>1.3999999999999999E-2</c:v>
                </c:pt>
                <c:pt idx="56">
                  <c:v>3.2000000000000001E-2</c:v>
                </c:pt>
                <c:pt idx="57">
                  <c:v>2.5000000000000001E-2</c:v>
                </c:pt>
                <c:pt idx="58">
                  <c:v>3.5000000000000003E-2</c:v>
                </c:pt>
                <c:pt idx="59">
                  <c:v>2.8000000000000001E-2</c:v>
                </c:pt>
                <c:pt idx="60">
                  <c:v>3.7999999999999999E-2</c:v>
                </c:pt>
                <c:pt idx="61">
                  <c:v>5.7000000000000002E-2</c:v>
                </c:pt>
                <c:pt idx="62">
                  <c:v>5.2000000000000005E-2</c:v>
                </c:pt>
                <c:pt idx="63">
                  <c:v>3.3000000000000002E-2</c:v>
                </c:pt>
                <c:pt idx="64">
                  <c:v>0.05</c:v>
                </c:pt>
                <c:pt idx="65">
                  <c:v>2.7999999999999997E-2</c:v>
                </c:pt>
                <c:pt idx="66">
                  <c:v>1.9E-2</c:v>
                </c:pt>
                <c:pt idx="67">
                  <c:v>4.2000000000000003E-2</c:v>
                </c:pt>
                <c:pt idx="68">
                  <c:v>1.8000000000000002E-2</c:v>
                </c:pt>
                <c:pt idx="69">
                  <c:v>1.1000000000000001E-2</c:v>
                </c:pt>
                <c:pt idx="70">
                  <c:v>1.3999999999999999E-2</c:v>
                </c:pt>
                <c:pt idx="71">
                  <c:v>1.9E-2</c:v>
                </c:pt>
                <c:pt idx="72">
                  <c:v>2.3E-2</c:v>
                </c:pt>
                <c:pt idx="73">
                  <c:v>0.127</c:v>
                </c:pt>
                <c:pt idx="74">
                  <c:v>4.5999999999999999E-2</c:v>
                </c:pt>
                <c:pt idx="75">
                  <c:v>3.3000000000000002E-2</c:v>
                </c:pt>
                <c:pt idx="76">
                  <c:v>2.8000000000000001E-2</c:v>
                </c:pt>
                <c:pt idx="77">
                  <c:v>3.1E-2</c:v>
                </c:pt>
                <c:pt idx="78">
                  <c:v>4.4999999999999998E-2</c:v>
                </c:pt>
                <c:pt idx="79">
                  <c:v>7.5999999999999998E-2</c:v>
                </c:pt>
                <c:pt idx="80">
                  <c:v>3.5000000000000003E-2</c:v>
                </c:pt>
                <c:pt idx="81">
                  <c:v>3.4000000000000002E-2</c:v>
                </c:pt>
                <c:pt idx="82">
                  <c:v>3.6999999999999998E-2</c:v>
                </c:pt>
                <c:pt idx="83">
                  <c:v>3.2000000000000001E-2</c:v>
                </c:pt>
                <c:pt idx="84">
                  <c:v>4.2000000000000003E-2</c:v>
                </c:pt>
                <c:pt idx="85">
                  <c:v>2.5000000000000001E-2</c:v>
                </c:pt>
                <c:pt idx="86">
                  <c:v>4.5999999999999999E-2</c:v>
                </c:pt>
                <c:pt idx="87">
                  <c:v>0.03</c:v>
                </c:pt>
                <c:pt idx="88">
                  <c:v>0.03</c:v>
                </c:pt>
                <c:pt idx="89">
                  <c:v>5.0999999999999997E-2</c:v>
                </c:pt>
                <c:pt idx="90">
                  <c:v>4.2999999999999997E-2</c:v>
                </c:pt>
                <c:pt idx="91">
                  <c:v>5.5E-2</c:v>
                </c:pt>
                <c:pt idx="92">
                  <c:v>4.4000000000000004E-2</c:v>
                </c:pt>
                <c:pt idx="93">
                  <c:v>4.7E-2</c:v>
                </c:pt>
                <c:pt idx="94">
                  <c:v>2.7000000000000003E-2</c:v>
                </c:pt>
                <c:pt idx="95">
                  <c:v>0.04</c:v>
                </c:pt>
                <c:pt idx="96">
                  <c:v>4.3099999999999999E-2</c:v>
                </c:pt>
                <c:pt idx="97">
                  <c:v>5.0999999999999997E-2</c:v>
                </c:pt>
                <c:pt idx="98">
                  <c:v>2.5000000000000001E-2</c:v>
                </c:pt>
                <c:pt idx="99">
                  <c:v>1.7999999999999999E-2</c:v>
                </c:pt>
                <c:pt idx="100">
                  <c:v>2.5000000000000001E-2</c:v>
                </c:pt>
                <c:pt idx="101">
                  <c:v>2.4E-2</c:v>
                </c:pt>
                <c:pt idx="102">
                  <c:v>1.3999999999999999E-2</c:v>
                </c:pt>
                <c:pt idx="103">
                  <c:v>3.4000000000000002E-2</c:v>
                </c:pt>
                <c:pt idx="104">
                  <c:v>3.2000000000000001E-2</c:v>
                </c:pt>
                <c:pt idx="105">
                  <c:v>2.5000000000000001E-2</c:v>
                </c:pt>
                <c:pt idx="106">
                  <c:v>3.4000000000000002E-2</c:v>
                </c:pt>
                <c:pt idx="107">
                  <c:v>3.1E-2</c:v>
                </c:pt>
                <c:pt idx="108">
                  <c:v>2.4E-2</c:v>
                </c:pt>
                <c:pt idx="109">
                  <c:v>6.4000000000000001E-2</c:v>
                </c:pt>
                <c:pt idx="110">
                  <c:v>2.9000000000000001E-2</c:v>
                </c:pt>
                <c:pt idx="111">
                  <c:v>9.8000000000000004E-2</c:v>
                </c:pt>
                <c:pt idx="112">
                  <c:v>3.7999999999999999E-2</c:v>
                </c:pt>
                <c:pt idx="113">
                  <c:v>3.2000000000000001E-2</c:v>
                </c:pt>
                <c:pt idx="114">
                  <c:v>3.3000000000000002E-2</c:v>
                </c:pt>
                <c:pt idx="115">
                  <c:v>2.7000000000000003E-2</c:v>
                </c:pt>
                <c:pt idx="116">
                  <c:v>3.3000000000000002E-2</c:v>
                </c:pt>
                <c:pt idx="117">
                  <c:v>2.7999999999999997E-2</c:v>
                </c:pt>
                <c:pt idx="118">
                  <c:v>2.1000000000000001E-2</c:v>
                </c:pt>
                <c:pt idx="119">
                  <c:v>1.9E-2</c:v>
                </c:pt>
                <c:pt idx="120">
                  <c:v>4.8000000000000001E-2</c:v>
                </c:pt>
                <c:pt idx="121">
                  <c:v>3.1E-2</c:v>
                </c:pt>
                <c:pt idx="122">
                  <c:v>5.2999999999999999E-2</c:v>
                </c:pt>
                <c:pt idx="123">
                  <c:v>0.11700000000000001</c:v>
                </c:pt>
                <c:pt idx="124">
                  <c:v>2.4E-2</c:v>
                </c:pt>
                <c:pt idx="125">
                  <c:v>2.5000000000000001E-2</c:v>
                </c:pt>
                <c:pt idx="126">
                  <c:v>3.3000000000000002E-2</c:v>
                </c:pt>
                <c:pt idx="127">
                  <c:v>4.4000000000000004E-2</c:v>
                </c:pt>
                <c:pt idx="128">
                  <c:v>5.7999999999999996E-2</c:v>
                </c:pt>
                <c:pt idx="129">
                  <c:v>0.05</c:v>
                </c:pt>
                <c:pt idx="130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7-4D78-9652-BD6F7A1365C0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99.1</c:v>
              </c:pt>
            </c:numLit>
          </c:xVal>
          <c:yVal>
            <c:numLit>
              <c:formatCode>General</c:formatCode>
              <c:ptCount val="1"/>
              <c:pt idx="0">
                <c:v>2.7000000000000003E-2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917-4D78-9652-BD6F7A1365C0}"/>
            </c:ext>
          </c:extLst>
        </c:ser>
        <c:ser>
          <c:idx val="2"/>
          <c:order val="2"/>
          <c:tx>
            <c:v>Model</c:v>
          </c:tx>
          <c:spPr>
            <a:ln w="127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73.27000000000001</c:v>
              </c:pt>
              <c:pt idx="1">
                <c:v>240.43</c:v>
              </c:pt>
            </c:numLit>
          </c:xVal>
          <c:yVal>
            <c:numLit>
              <c:formatCode>General</c:formatCode>
              <c:ptCount val="2"/>
              <c:pt idx="0">
                <c:v>2.7525574129781554E-2</c:v>
              </c:pt>
              <c:pt idx="1">
                <c:v>8.4167931957956799E-2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917-4D78-9652-BD6F7A1365C0}"/>
            </c:ext>
          </c:extLst>
        </c:ser>
        <c:ser>
          <c:idx val="3"/>
          <c:order val="3"/>
          <c:tx>
            <c:v>Conf. interval (Mean 95%)</c:v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Sheet3_HID!xdata1</c:f>
              <c:numCache>
                <c:formatCode>General</c:formatCode>
                <c:ptCount val="70"/>
                <c:pt idx="0">
                  <c:v>73.27</c:v>
                </c:pt>
                <c:pt idx="1">
                  <c:v>75.692608695652169</c:v>
                </c:pt>
                <c:pt idx="2">
                  <c:v>78.115217391304341</c:v>
                </c:pt>
                <c:pt idx="3">
                  <c:v>80.5378260869565</c:v>
                </c:pt>
                <c:pt idx="4">
                  <c:v>82.960434782608672</c:v>
                </c:pt>
                <c:pt idx="5">
                  <c:v>85.383043478260845</c:v>
                </c:pt>
                <c:pt idx="6">
                  <c:v>87.805652173913018</c:v>
                </c:pt>
                <c:pt idx="7">
                  <c:v>90.22826086956519</c:v>
                </c:pt>
                <c:pt idx="8">
                  <c:v>92.650869565217363</c:v>
                </c:pt>
                <c:pt idx="9">
                  <c:v>95.073478260869521</c:v>
                </c:pt>
                <c:pt idx="10">
                  <c:v>97.496086956521694</c:v>
                </c:pt>
                <c:pt idx="11">
                  <c:v>99.918695652173867</c:v>
                </c:pt>
                <c:pt idx="12">
                  <c:v>102.34130434782604</c:v>
                </c:pt>
                <c:pt idx="13">
                  <c:v>104.7639130434782</c:v>
                </c:pt>
                <c:pt idx="14">
                  <c:v>107.18652173913037</c:v>
                </c:pt>
                <c:pt idx="15">
                  <c:v>109.60913043478254</c:v>
                </c:pt>
                <c:pt idx="16">
                  <c:v>112.03173913043472</c:v>
                </c:pt>
                <c:pt idx="17">
                  <c:v>114.45434782608689</c:v>
                </c:pt>
                <c:pt idx="18">
                  <c:v>116.87695652173906</c:v>
                </c:pt>
                <c:pt idx="19">
                  <c:v>119.29956521739123</c:v>
                </c:pt>
                <c:pt idx="20">
                  <c:v>121.72217391304339</c:v>
                </c:pt>
                <c:pt idx="21">
                  <c:v>124.14478260869556</c:v>
                </c:pt>
                <c:pt idx="22">
                  <c:v>126.56739130434774</c:v>
                </c:pt>
                <c:pt idx="23">
                  <c:v>128.9899999999999</c:v>
                </c:pt>
                <c:pt idx="24">
                  <c:v>131.41260869565207</c:v>
                </c:pt>
                <c:pt idx="25">
                  <c:v>133.83521739130424</c:v>
                </c:pt>
                <c:pt idx="26">
                  <c:v>136.25782608695641</c:v>
                </c:pt>
                <c:pt idx="27">
                  <c:v>138.68043478260859</c:v>
                </c:pt>
                <c:pt idx="28">
                  <c:v>141.10304347826076</c:v>
                </c:pt>
                <c:pt idx="29">
                  <c:v>143.52565217391293</c:v>
                </c:pt>
                <c:pt idx="30">
                  <c:v>145.9482608695651</c:v>
                </c:pt>
                <c:pt idx="31">
                  <c:v>148.37086956521728</c:v>
                </c:pt>
                <c:pt idx="32">
                  <c:v>150.79347826086945</c:v>
                </c:pt>
                <c:pt idx="33">
                  <c:v>153.21608695652162</c:v>
                </c:pt>
                <c:pt idx="34">
                  <c:v>155.63869565217379</c:v>
                </c:pt>
                <c:pt idx="35">
                  <c:v>158.06130434782594</c:v>
                </c:pt>
                <c:pt idx="36">
                  <c:v>160.48391304347811</c:v>
                </c:pt>
                <c:pt idx="37">
                  <c:v>162.90652173913028</c:v>
                </c:pt>
                <c:pt idx="38">
                  <c:v>165.32913043478246</c:v>
                </c:pt>
                <c:pt idx="39">
                  <c:v>167.75173913043463</c:v>
                </c:pt>
                <c:pt idx="40">
                  <c:v>170.17434782608677</c:v>
                </c:pt>
                <c:pt idx="41">
                  <c:v>172.59695652173895</c:v>
                </c:pt>
                <c:pt idx="42">
                  <c:v>175.01956521739112</c:v>
                </c:pt>
                <c:pt idx="43">
                  <c:v>177.44217391304329</c:v>
                </c:pt>
                <c:pt idx="44">
                  <c:v>179.86478260869546</c:v>
                </c:pt>
                <c:pt idx="45">
                  <c:v>182.28739130434764</c:v>
                </c:pt>
                <c:pt idx="46">
                  <c:v>184.70999999999981</c:v>
                </c:pt>
                <c:pt idx="47">
                  <c:v>187.13260869565198</c:v>
                </c:pt>
                <c:pt idx="48">
                  <c:v>189.55521739130415</c:v>
                </c:pt>
                <c:pt idx="49">
                  <c:v>191.97782608695633</c:v>
                </c:pt>
                <c:pt idx="50">
                  <c:v>194.4004347826085</c:v>
                </c:pt>
                <c:pt idx="51">
                  <c:v>196.82304347826067</c:v>
                </c:pt>
                <c:pt idx="52">
                  <c:v>199.24565217391284</c:v>
                </c:pt>
                <c:pt idx="53">
                  <c:v>201.66826086956502</c:v>
                </c:pt>
                <c:pt idx="54">
                  <c:v>204.09086956521719</c:v>
                </c:pt>
                <c:pt idx="55">
                  <c:v>206.51347826086936</c:v>
                </c:pt>
                <c:pt idx="56">
                  <c:v>208.93608695652154</c:v>
                </c:pt>
                <c:pt idx="57">
                  <c:v>211.35869565217371</c:v>
                </c:pt>
                <c:pt idx="58">
                  <c:v>213.78130434782588</c:v>
                </c:pt>
                <c:pt idx="59">
                  <c:v>216.203913043478</c:v>
                </c:pt>
                <c:pt idx="60">
                  <c:v>218.62652173913017</c:v>
                </c:pt>
                <c:pt idx="61">
                  <c:v>221.04913043478234</c:v>
                </c:pt>
                <c:pt idx="62">
                  <c:v>223.47173913043451</c:v>
                </c:pt>
                <c:pt idx="63">
                  <c:v>225.89434782608669</c:v>
                </c:pt>
                <c:pt idx="64">
                  <c:v>228.31695652173886</c:v>
                </c:pt>
                <c:pt idx="65">
                  <c:v>230.73956521739103</c:v>
                </c:pt>
                <c:pt idx="66">
                  <c:v>233.1621739130432</c:v>
                </c:pt>
                <c:pt idx="67">
                  <c:v>235.58478260869538</c:v>
                </c:pt>
                <c:pt idx="68">
                  <c:v>238.00739130434755</c:v>
                </c:pt>
                <c:pt idx="69">
                  <c:v>240.42999999999972</c:v>
                </c:pt>
              </c:numCache>
            </c:numRef>
          </c:xVal>
          <c:yVal>
            <c:numRef>
              <c:f>Sheet3_HID!ydata1</c:f>
              <c:numCache>
                <c:formatCode>General</c:formatCode>
                <c:ptCount val="70"/>
                <c:pt idx="0">
                  <c:v>1.9743514588227002E-2</c:v>
                </c:pt>
                <c:pt idx="1">
                  <c:v>2.1074186240760618E-2</c:v>
                </c:pt>
                <c:pt idx="2">
                  <c:v>2.2394340673236344E-2</c:v>
                </c:pt>
                <c:pt idx="3">
                  <c:v>2.3701471794383987E-2</c:v>
                </c:pt>
                <c:pt idx="4">
                  <c:v>2.4992312866711448E-2</c:v>
                </c:pt>
                <c:pt idx="5">
                  <c:v>2.6262583493864879E-2</c:v>
                </c:pt>
                <c:pt idx="6">
                  <c:v>2.7506671832178389E-2</c:v>
                </c:pt>
                <c:pt idx="7">
                  <c:v>2.8717273989812435E-2</c:v>
                </c:pt>
                <c:pt idx="8">
                  <c:v>2.9885075697883012E-2</c:v>
                </c:pt>
                <c:pt idx="9">
                  <c:v>3.0998683138662133E-2</c:v>
                </c:pt>
                <c:pt idx="10">
                  <c:v>3.2045175079180747E-2</c:v>
                </c:pt>
                <c:pt idx="11">
                  <c:v>3.3011711127603219E-2</c:v>
                </c:pt>
                <c:pt idx="12">
                  <c:v>3.388826226923957E-2</c:v>
                </c:pt>
                <c:pt idx="13">
                  <c:v>3.4670566411357712E-2</c:v>
                </c:pt>
                <c:pt idx="14">
                  <c:v>3.5361606975556389E-2</c:v>
                </c:pt>
                <c:pt idx="15">
                  <c:v>3.5970563899588734E-2</c:v>
                </c:pt>
                <c:pt idx="16">
                  <c:v>3.6509994474935123E-2</c:v>
                </c:pt>
                <c:pt idx="17">
                  <c:v>3.6992961178562531E-2</c:v>
                </c:pt>
                <c:pt idx="18">
                  <c:v>3.7431202676603804E-2</c:v>
                </c:pt>
                <c:pt idx="19">
                  <c:v>3.7834418994237493E-2</c:v>
                </c:pt>
                <c:pt idx="20">
                  <c:v>3.8210259965169434E-2</c:v>
                </c:pt>
                <c:pt idx="21">
                  <c:v>3.8564618213218466E-2</c:v>
                </c:pt>
                <c:pt idx="22">
                  <c:v>3.8901991089405272E-2</c:v>
                </c:pt>
                <c:pt idx="23">
                  <c:v>3.9225809106280034E-2</c:v>
                </c:pt>
                <c:pt idx="24">
                  <c:v>3.9538700885909987E-2</c:v>
                </c:pt>
                <c:pt idx="25">
                  <c:v>3.984269555213317E-2</c:v>
                </c:pt>
                <c:pt idx="26">
                  <c:v>4.0139373428505001E-2</c:v>
                </c:pt>
                <c:pt idx="27">
                  <c:v>4.0429977083269494E-2</c:v>
                </c:pt>
                <c:pt idx="28">
                  <c:v>4.0715493000707439E-2</c:v>
                </c:pt>
                <c:pt idx="29">
                  <c:v>4.0996711830973032E-2</c:v>
                </c:pt>
                <c:pt idx="30">
                  <c:v>4.127427309884673E-2</c:v>
                </c:pt>
                <c:pt idx="31">
                  <c:v>4.1548698629054297E-2</c:v>
                </c:pt>
                <c:pt idx="32">
                  <c:v>4.182041774447174E-2</c:v>
                </c:pt>
                <c:pt idx="33">
                  <c:v>4.2089786427795511E-2</c:v>
                </c:pt>
                <c:pt idx="34">
                  <c:v>4.2357102020844341E-2</c:v>
                </c:pt>
                <c:pt idx="35">
                  <c:v>4.2622614598461291E-2</c:v>
                </c:pt>
                <c:pt idx="36">
                  <c:v>4.2886535843602719E-2</c:v>
                </c:pt>
                <c:pt idx="37">
                  <c:v>4.3149046029000604E-2</c:v>
                </c:pt>
                <c:pt idx="38">
                  <c:v>4.3410299552255553E-2</c:v>
                </c:pt>
                <c:pt idx="39">
                  <c:v>4.3670429356843135E-2</c:v>
                </c:pt>
                <c:pt idx="40">
                  <c:v>4.3929550488398347E-2</c:v>
                </c:pt>
                <c:pt idx="41">
                  <c:v>4.4187762974779769E-2</c:v>
                </c:pt>
                <c:pt idx="42">
                  <c:v>4.4445154173506848E-2</c:v>
                </c:pt>
                <c:pt idx="43">
                  <c:v>4.4701800696772272E-2</c:v>
                </c:pt>
                <c:pt idx="44">
                  <c:v>4.4957769999217072E-2</c:v>
                </c:pt>
                <c:pt idx="45">
                  <c:v>4.5213121694777668E-2</c:v>
                </c:pt>
                <c:pt idx="46">
                  <c:v>4.5467908654565348E-2</c:v>
                </c:pt>
                <c:pt idx="47">
                  <c:v>4.5722177926755835E-2</c:v>
                </c:pt>
                <c:pt idx="48">
                  <c:v>4.5975971511004458E-2</c:v>
                </c:pt>
                <c:pt idx="49">
                  <c:v>4.622932701333992E-2</c:v>
                </c:pt>
                <c:pt idx="50">
                  <c:v>4.6482278202368527E-2</c:v>
                </c:pt>
                <c:pt idx="51">
                  <c:v>4.6734855483601005E-2</c:v>
                </c:pt>
                <c:pt idx="52">
                  <c:v>4.6987086305539716E-2</c:v>
                </c:pt>
                <c:pt idx="53">
                  <c:v>4.7238995508644438E-2</c:v>
                </c:pt>
                <c:pt idx="54">
                  <c:v>4.7490605626283974E-2</c:v>
                </c:pt>
                <c:pt idx="55">
                  <c:v>4.77419371451673E-2</c:v>
                </c:pt>
                <c:pt idx="56">
                  <c:v>4.7993008731447372E-2</c:v>
                </c:pt>
                <c:pt idx="57">
                  <c:v>4.824383742763802E-2</c:v>
                </c:pt>
                <c:pt idx="58">
                  <c:v>4.8494438824626299E-2</c:v>
                </c:pt>
                <c:pt idx="59">
                  <c:v>4.8744827212363569E-2</c:v>
                </c:pt>
                <c:pt idx="60">
                  <c:v>4.8995015712242941E-2</c:v>
                </c:pt>
                <c:pt idx="61">
                  <c:v>4.9245016393698021E-2</c:v>
                </c:pt>
                <c:pt idx="62">
                  <c:v>4.9494840377165908E-2</c:v>
                </c:pt>
                <c:pt idx="63">
                  <c:v>4.9744497925232417E-2</c:v>
                </c:pt>
                <c:pt idx="64">
                  <c:v>4.9993998523506868E-2</c:v>
                </c:pt>
                <c:pt idx="65">
                  <c:v>5.0243350952547047E-2</c:v>
                </c:pt>
                <c:pt idx="66">
                  <c:v>5.0492563351965114E-2</c:v>
                </c:pt>
                <c:pt idx="67">
                  <c:v>5.0741643277685475E-2</c:v>
                </c:pt>
                <c:pt idx="68">
                  <c:v>5.0990597753190522E-2</c:v>
                </c:pt>
                <c:pt idx="69">
                  <c:v>5.1239433315475875E-2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17-4D78-9652-BD6F7A1365C0}"/>
            </c:ext>
          </c:extLst>
        </c:ser>
        <c:ser>
          <c:idx val="4"/>
          <c:order val="4"/>
          <c:tx>
            <c:v/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Sheet3_HID!xdata2</c:f>
              <c:numCache>
                <c:formatCode>General</c:formatCode>
                <c:ptCount val="70"/>
                <c:pt idx="0">
                  <c:v>73.27</c:v>
                </c:pt>
                <c:pt idx="1">
                  <c:v>75.692608695652169</c:v>
                </c:pt>
                <c:pt idx="2">
                  <c:v>78.115217391304341</c:v>
                </c:pt>
                <c:pt idx="3">
                  <c:v>80.5378260869565</c:v>
                </c:pt>
                <c:pt idx="4">
                  <c:v>82.960434782608672</c:v>
                </c:pt>
                <c:pt idx="5">
                  <c:v>85.383043478260845</c:v>
                </c:pt>
                <c:pt idx="6">
                  <c:v>87.805652173913018</c:v>
                </c:pt>
                <c:pt idx="7">
                  <c:v>90.22826086956519</c:v>
                </c:pt>
                <c:pt idx="8">
                  <c:v>92.650869565217363</c:v>
                </c:pt>
                <c:pt idx="9">
                  <c:v>95.073478260869521</c:v>
                </c:pt>
                <c:pt idx="10">
                  <c:v>97.496086956521694</c:v>
                </c:pt>
                <c:pt idx="11">
                  <c:v>99.918695652173867</c:v>
                </c:pt>
                <c:pt idx="12">
                  <c:v>102.34130434782604</c:v>
                </c:pt>
                <c:pt idx="13">
                  <c:v>104.7639130434782</c:v>
                </c:pt>
                <c:pt idx="14">
                  <c:v>107.18652173913037</c:v>
                </c:pt>
                <c:pt idx="15">
                  <c:v>109.60913043478254</c:v>
                </c:pt>
                <c:pt idx="16">
                  <c:v>112.03173913043472</c:v>
                </c:pt>
                <c:pt idx="17">
                  <c:v>114.45434782608689</c:v>
                </c:pt>
                <c:pt idx="18">
                  <c:v>116.87695652173906</c:v>
                </c:pt>
                <c:pt idx="19">
                  <c:v>119.29956521739123</c:v>
                </c:pt>
                <c:pt idx="20">
                  <c:v>121.72217391304339</c:v>
                </c:pt>
                <c:pt idx="21">
                  <c:v>124.14478260869556</c:v>
                </c:pt>
                <c:pt idx="22">
                  <c:v>126.56739130434774</c:v>
                </c:pt>
                <c:pt idx="23">
                  <c:v>128.9899999999999</c:v>
                </c:pt>
                <c:pt idx="24">
                  <c:v>131.41260869565207</c:v>
                </c:pt>
                <c:pt idx="25">
                  <c:v>133.83521739130424</c:v>
                </c:pt>
                <c:pt idx="26">
                  <c:v>136.25782608695641</c:v>
                </c:pt>
                <c:pt idx="27">
                  <c:v>138.68043478260859</c:v>
                </c:pt>
                <c:pt idx="28">
                  <c:v>141.10304347826076</c:v>
                </c:pt>
                <c:pt idx="29">
                  <c:v>143.52565217391293</c:v>
                </c:pt>
                <c:pt idx="30">
                  <c:v>145.9482608695651</c:v>
                </c:pt>
                <c:pt idx="31">
                  <c:v>148.37086956521728</c:v>
                </c:pt>
                <c:pt idx="32">
                  <c:v>150.79347826086945</c:v>
                </c:pt>
                <c:pt idx="33">
                  <c:v>153.21608695652162</c:v>
                </c:pt>
                <c:pt idx="34">
                  <c:v>155.63869565217379</c:v>
                </c:pt>
                <c:pt idx="35">
                  <c:v>158.06130434782594</c:v>
                </c:pt>
                <c:pt idx="36">
                  <c:v>160.48391304347811</c:v>
                </c:pt>
                <c:pt idx="37">
                  <c:v>162.90652173913028</c:v>
                </c:pt>
                <c:pt idx="38">
                  <c:v>165.32913043478246</c:v>
                </c:pt>
                <c:pt idx="39">
                  <c:v>167.75173913043463</c:v>
                </c:pt>
                <c:pt idx="40">
                  <c:v>170.17434782608677</c:v>
                </c:pt>
                <c:pt idx="41">
                  <c:v>172.59695652173895</c:v>
                </c:pt>
                <c:pt idx="42">
                  <c:v>175.01956521739112</c:v>
                </c:pt>
                <c:pt idx="43">
                  <c:v>177.44217391304329</c:v>
                </c:pt>
                <c:pt idx="44">
                  <c:v>179.86478260869546</c:v>
                </c:pt>
                <c:pt idx="45">
                  <c:v>182.28739130434764</c:v>
                </c:pt>
                <c:pt idx="46">
                  <c:v>184.70999999999981</c:v>
                </c:pt>
                <c:pt idx="47">
                  <c:v>187.13260869565198</c:v>
                </c:pt>
                <c:pt idx="48">
                  <c:v>189.55521739130415</c:v>
                </c:pt>
                <c:pt idx="49">
                  <c:v>191.97782608695633</c:v>
                </c:pt>
                <c:pt idx="50">
                  <c:v>194.4004347826085</c:v>
                </c:pt>
                <c:pt idx="51">
                  <c:v>196.82304347826067</c:v>
                </c:pt>
                <c:pt idx="52">
                  <c:v>199.24565217391284</c:v>
                </c:pt>
                <c:pt idx="53">
                  <c:v>201.66826086956502</c:v>
                </c:pt>
                <c:pt idx="54">
                  <c:v>204.09086956521719</c:v>
                </c:pt>
                <c:pt idx="55">
                  <c:v>206.51347826086936</c:v>
                </c:pt>
                <c:pt idx="56">
                  <c:v>208.93608695652154</c:v>
                </c:pt>
                <c:pt idx="57">
                  <c:v>211.35869565217371</c:v>
                </c:pt>
                <c:pt idx="58">
                  <c:v>213.78130434782588</c:v>
                </c:pt>
                <c:pt idx="59">
                  <c:v>216.203913043478</c:v>
                </c:pt>
                <c:pt idx="60">
                  <c:v>218.62652173913017</c:v>
                </c:pt>
                <c:pt idx="61">
                  <c:v>221.04913043478234</c:v>
                </c:pt>
                <c:pt idx="62">
                  <c:v>223.47173913043451</c:v>
                </c:pt>
                <c:pt idx="63">
                  <c:v>225.89434782608669</c:v>
                </c:pt>
                <c:pt idx="64">
                  <c:v>228.31695652173886</c:v>
                </c:pt>
                <c:pt idx="65">
                  <c:v>230.73956521739103</c:v>
                </c:pt>
                <c:pt idx="66">
                  <c:v>233.1621739130432</c:v>
                </c:pt>
                <c:pt idx="67">
                  <c:v>235.58478260869538</c:v>
                </c:pt>
                <c:pt idx="68">
                  <c:v>238.00739130434755</c:v>
                </c:pt>
                <c:pt idx="69">
                  <c:v>240.42999999999972</c:v>
                </c:pt>
              </c:numCache>
            </c:numRef>
          </c:xVal>
          <c:yVal>
            <c:numRef>
              <c:f>Sheet3_HID!ydata2</c:f>
              <c:numCache>
                <c:formatCode>General</c:formatCode>
                <c:ptCount val="70"/>
                <c:pt idx="0">
                  <c:v>3.5307633671336158E-2</c:v>
                </c:pt>
                <c:pt idx="1">
                  <c:v>3.561876949208298E-2</c:v>
                </c:pt>
                <c:pt idx="2">
                  <c:v>3.5940422532887692E-2</c:v>
                </c:pt>
                <c:pt idx="3">
                  <c:v>3.6275098885020493E-2</c:v>
                </c:pt>
                <c:pt idx="4">
                  <c:v>3.6626065285973466E-2</c:v>
                </c:pt>
                <c:pt idx="5">
                  <c:v>3.6997602132100481E-2</c:v>
                </c:pt>
                <c:pt idx="6">
                  <c:v>3.7395321267067405E-2</c:v>
                </c:pt>
                <c:pt idx="7">
                  <c:v>3.78265265827138E-2</c:v>
                </c:pt>
                <c:pt idx="8">
                  <c:v>3.8300532347923674E-2</c:v>
                </c:pt>
                <c:pt idx="9">
                  <c:v>3.8828732380424995E-2</c:v>
                </c:pt>
                <c:pt idx="10">
                  <c:v>3.9424047913186815E-2</c:v>
                </c:pt>
                <c:pt idx="11">
                  <c:v>4.0099319338044781E-2</c:v>
                </c:pt>
                <c:pt idx="12">
                  <c:v>4.0864575669688881E-2</c:v>
                </c:pt>
                <c:pt idx="13">
                  <c:v>4.1724079000851164E-2</c:v>
                </c:pt>
                <c:pt idx="14">
                  <c:v>4.2674845909932937E-2</c:v>
                </c:pt>
                <c:pt idx="15">
                  <c:v>4.3707696459181031E-2</c:v>
                </c:pt>
                <c:pt idx="16">
                  <c:v>4.4810073357115093E-2</c:v>
                </c:pt>
                <c:pt idx="17">
                  <c:v>4.5968914126768123E-2</c:v>
                </c:pt>
                <c:pt idx="18">
                  <c:v>4.7172480102007287E-2</c:v>
                </c:pt>
                <c:pt idx="19">
                  <c:v>4.8411071257654051E-2</c:v>
                </c:pt>
                <c:pt idx="20">
                  <c:v>4.9677037760002533E-2</c:v>
                </c:pt>
                <c:pt idx="21">
                  <c:v>5.0964486985233953E-2</c:v>
                </c:pt>
                <c:pt idx="22">
                  <c:v>5.2268921582327585E-2</c:v>
                </c:pt>
                <c:pt idx="23">
                  <c:v>5.3586911038733261E-2</c:v>
                </c:pt>
                <c:pt idx="24">
                  <c:v>5.4915826732383745E-2</c:v>
                </c:pt>
                <c:pt idx="25">
                  <c:v>5.6253639539441E-2</c:v>
                </c:pt>
                <c:pt idx="26">
                  <c:v>5.759876913634962E-2</c:v>
                </c:pt>
                <c:pt idx="27">
                  <c:v>5.8949972954865565E-2</c:v>
                </c:pt>
                <c:pt idx="28">
                  <c:v>6.0306264510708057E-2</c:v>
                </c:pt>
                <c:pt idx="29">
                  <c:v>6.1666853153722917E-2</c:v>
                </c:pt>
                <c:pt idx="30">
                  <c:v>6.303109935912965E-2</c:v>
                </c:pt>
                <c:pt idx="31">
                  <c:v>6.4398481302202534E-2</c:v>
                </c:pt>
                <c:pt idx="32">
                  <c:v>6.5768569660065529E-2</c:v>
                </c:pt>
                <c:pt idx="33">
                  <c:v>6.7141008450022202E-2</c:v>
                </c:pt>
                <c:pt idx="34">
                  <c:v>6.8515500330253831E-2</c:v>
                </c:pt>
                <c:pt idx="35">
                  <c:v>6.9891795225917291E-2</c:v>
                </c:pt>
                <c:pt idx="36">
                  <c:v>7.1269681454056308E-2</c:v>
                </c:pt>
                <c:pt idx="37">
                  <c:v>7.2648978741938861E-2</c:v>
                </c:pt>
                <c:pt idx="38">
                  <c:v>7.402953269196437E-2</c:v>
                </c:pt>
                <c:pt idx="39">
                  <c:v>7.5411210360657219E-2</c:v>
                </c:pt>
                <c:pt idx="40">
                  <c:v>7.679389670238243E-2</c:v>
                </c:pt>
                <c:pt idx="41">
                  <c:v>7.8177491689281453E-2</c:v>
                </c:pt>
                <c:pt idx="42">
                  <c:v>7.9561907963834819E-2</c:v>
                </c:pt>
                <c:pt idx="43">
                  <c:v>8.094706891384984E-2</c:v>
                </c:pt>
                <c:pt idx="44">
                  <c:v>8.2332907084685464E-2</c:v>
                </c:pt>
                <c:pt idx="45">
                  <c:v>8.3719362862405305E-2</c:v>
                </c:pt>
                <c:pt idx="46">
                  <c:v>8.510638337589807E-2</c:v>
                </c:pt>
                <c:pt idx="47">
                  <c:v>8.6493921576988014E-2</c:v>
                </c:pt>
                <c:pt idx="48">
                  <c:v>8.7881935466019828E-2</c:v>
                </c:pt>
                <c:pt idx="49">
                  <c:v>8.9270387436964832E-2</c:v>
                </c:pt>
                <c:pt idx="50">
                  <c:v>9.065924372121667E-2</c:v>
                </c:pt>
                <c:pt idx="51">
                  <c:v>9.2048473913264622E-2</c:v>
                </c:pt>
                <c:pt idx="52">
                  <c:v>9.3438050564606356E-2</c:v>
                </c:pt>
                <c:pt idx="53">
                  <c:v>9.4827948834782072E-2</c:v>
                </c:pt>
                <c:pt idx="54">
                  <c:v>9.6218146190422973E-2</c:v>
                </c:pt>
                <c:pt idx="55">
                  <c:v>9.7608622144820106E-2</c:v>
                </c:pt>
                <c:pt idx="56">
                  <c:v>9.8999358031820472E-2</c:v>
                </c:pt>
                <c:pt idx="57">
                  <c:v>0.10039033680891027</c:v>
                </c:pt>
                <c:pt idx="58">
                  <c:v>0.10178154288520243</c:v>
                </c:pt>
                <c:pt idx="59">
                  <c:v>0.10317296197074557</c:v>
                </c:pt>
                <c:pt idx="60">
                  <c:v>0.10456458094414664</c:v>
                </c:pt>
                <c:pt idx="61">
                  <c:v>0.10595638773597199</c:v>
                </c:pt>
                <c:pt idx="62">
                  <c:v>0.10734837122578457</c:v>
                </c:pt>
                <c:pt idx="63">
                  <c:v>0.1087405211509985</c:v>
                </c:pt>
                <c:pt idx="64">
                  <c:v>0.11013282802600449</c:v>
                </c:pt>
                <c:pt idx="65">
                  <c:v>0.11152528307024474</c:v>
                </c:pt>
                <c:pt idx="66">
                  <c:v>0.11291787814410711</c:v>
                </c:pt>
                <c:pt idx="67">
                  <c:v>0.11431060569166719</c:v>
                </c:pt>
                <c:pt idx="68">
                  <c:v>0.11570345868944261</c:v>
                </c:pt>
                <c:pt idx="69">
                  <c:v>0.1170964306004377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17-4D78-9652-BD6F7A1365C0}"/>
            </c:ext>
          </c:extLst>
        </c:ser>
        <c:ser>
          <c:idx val="5"/>
          <c:order val="5"/>
          <c:tx>
            <c:v>Conf. interval (Obs 95%)</c:v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Sheet3_HID!xdata3</c:f>
              <c:numCache>
                <c:formatCode>General</c:formatCode>
                <c:ptCount val="100"/>
                <c:pt idx="0">
                  <c:v>73.27</c:v>
                </c:pt>
                <c:pt idx="1">
                  <c:v>74.958484848484844</c:v>
                </c:pt>
                <c:pt idx="2">
                  <c:v>76.646969696969691</c:v>
                </c:pt>
                <c:pt idx="3">
                  <c:v>78.335454545454553</c:v>
                </c:pt>
                <c:pt idx="4">
                  <c:v>80.023939393939401</c:v>
                </c:pt>
                <c:pt idx="5">
                  <c:v>81.712424242424248</c:v>
                </c:pt>
                <c:pt idx="6">
                  <c:v>83.400909090909096</c:v>
                </c:pt>
                <c:pt idx="7">
                  <c:v>85.089393939393943</c:v>
                </c:pt>
                <c:pt idx="8">
                  <c:v>86.777878787878791</c:v>
                </c:pt>
                <c:pt idx="9">
                  <c:v>88.466363636363639</c:v>
                </c:pt>
                <c:pt idx="10">
                  <c:v>90.1548484848485</c:v>
                </c:pt>
                <c:pt idx="11">
                  <c:v>91.843333333333348</c:v>
                </c:pt>
                <c:pt idx="12">
                  <c:v>93.531818181818196</c:v>
                </c:pt>
                <c:pt idx="13">
                  <c:v>95.220303030303043</c:v>
                </c:pt>
                <c:pt idx="14">
                  <c:v>96.908787878787905</c:v>
                </c:pt>
                <c:pt idx="15">
                  <c:v>98.597272727272752</c:v>
                </c:pt>
                <c:pt idx="16">
                  <c:v>100.2857575757576</c:v>
                </c:pt>
                <c:pt idx="17">
                  <c:v>101.97424242424245</c:v>
                </c:pt>
                <c:pt idx="18">
                  <c:v>103.6627272727273</c:v>
                </c:pt>
                <c:pt idx="19">
                  <c:v>105.35121212121214</c:v>
                </c:pt>
                <c:pt idx="20">
                  <c:v>107.03969696969699</c:v>
                </c:pt>
                <c:pt idx="21">
                  <c:v>108.72818181818184</c:v>
                </c:pt>
                <c:pt idx="22">
                  <c:v>110.4166666666667</c:v>
                </c:pt>
                <c:pt idx="23">
                  <c:v>112.10515151515155</c:v>
                </c:pt>
                <c:pt idx="24">
                  <c:v>113.7936363636364</c:v>
                </c:pt>
                <c:pt idx="25">
                  <c:v>115.48212121212126</c:v>
                </c:pt>
                <c:pt idx="26">
                  <c:v>117.1706060606061</c:v>
                </c:pt>
                <c:pt idx="27">
                  <c:v>118.85909090909095</c:v>
                </c:pt>
                <c:pt idx="28">
                  <c:v>120.5475757575758</c:v>
                </c:pt>
                <c:pt idx="29">
                  <c:v>122.23606060606065</c:v>
                </c:pt>
                <c:pt idx="30">
                  <c:v>123.92454545454549</c:v>
                </c:pt>
                <c:pt idx="31">
                  <c:v>125.61303030303034</c:v>
                </c:pt>
                <c:pt idx="32">
                  <c:v>127.30151515151519</c:v>
                </c:pt>
                <c:pt idx="33">
                  <c:v>128.99000000000004</c:v>
                </c:pt>
                <c:pt idx="34">
                  <c:v>130.67848484848491</c:v>
                </c:pt>
                <c:pt idx="35">
                  <c:v>132.36696969696976</c:v>
                </c:pt>
                <c:pt idx="36">
                  <c:v>134.05545454545461</c:v>
                </c:pt>
                <c:pt idx="37">
                  <c:v>135.74393939393946</c:v>
                </c:pt>
                <c:pt idx="38">
                  <c:v>137.4324242424243</c:v>
                </c:pt>
                <c:pt idx="39">
                  <c:v>139.12090909090915</c:v>
                </c:pt>
                <c:pt idx="40">
                  <c:v>140.809393939394</c:v>
                </c:pt>
                <c:pt idx="41">
                  <c:v>142.49787878787885</c:v>
                </c:pt>
                <c:pt idx="42">
                  <c:v>144.18636363636369</c:v>
                </c:pt>
                <c:pt idx="43">
                  <c:v>145.87484848484854</c:v>
                </c:pt>
                <c:pt idx="44">
                  <c:v>147.56333333333339</c:v>
                </c:pt>
                <c:pt idx="45">
                  <c:v>149.25181818181824</c:v>
                </c:pt>
                <c:pt idx="46">
                  <c:v>150.94030303030308</c:v>
                </c:pt>
                <c:pt idx="47">
                  <c:v>152.62878787878793</c:v>
                </c:pt>
                <c:pt idx="48">
                  <c:v>154.31727272727278</c:v>
                </c:pt>
                <c:pt idx="49">
                  <c:v>156.00575757575763</c:v>
                </c:pt>
                <c:pt idx="50">
                  <c:v>157.6942424242425</c:v>
                </c:pt>
                <c:pt idx="51">
                  <c:v>159.38272727272735</c:v>
                </c:pt>
                <c:pt idx="52">
                  <c:v>161.0712121212122</c:v>
                </c:pt>
                <c:pt idx="53">
                  <c:v>162.75969696969705</c:v>
                </c:pt>
                <c:pt idx="54">
                  <c:v>164.44818181818189</c:v>
                </c:pt>
                <c:pt idx="55">
                  <c:v>166.13666666666674</c:v>
                </c:pt>
                <c:pt idx="56">
                  <c:v>167.82515151515162</c:v>
                </c:pt>
                <c:pt idx="57">
                  <c:v>169.51363636363646</c:v>
                </c:pt>
                <c:pt idx="58">
                  <c:v>171.20212121212131</c:v>
                </c:pt>
                <c:pt idx="59">
                  <c:v>172.89060606060616</c:v>
                </c:pt>
                <c:pt idx="60">
                  <c:v>174.57909090909101</c:v>
                </c:pt>
                <c:pt idx="61">
                  <c:v>176.26757575757586</c:v>
                </c:pt>
                <c:pt idx="62">
                  <c:v>177.9560606060607</c:v>
                </c:pt>
                <c:pt idx="63">
                  <c:v>179.64454545454555</c:v>
                </c:pt>
                <c:pt idx="64">
                  <c:v>181.3330303030304</c:v>
                </c:pt>
                <c:pt idx="65">
                  <c:v>183.02151515151525</c:v>
                </c:pt>
                <c:pt idx="66">
                  <c:v>184.71000000000009</c:v>
                </c:pt>
                <c:pt idx="67">
                  <c:v>186.39848484848494</c:v>
                </c:pt>
                <c:pt idx="68">
                  <c:v>188.08696969696979</c:v>
                </c:pt>
                <c:pt idx="69">
                  <c:v>189.77545454545464</c:v>
                </c:pt>
                <c:pt idx="70">
                  <c:v>191.46393939393948</c:v>
                </c:pt>
                <c:pt idx="71">
                  <c:v>193.15242424242433</c:v>
                </c:pt>
                <c:pt idx="72">
                  <c:v>194.84090909090918</c:v>
                </c:pt>
                <c:pt idx="73">
                  <c:v>196.52939393939405</c:v>
                </c:pt>
                <c:pt idx="74">
                  <c:v>198.2178787878789</c:v>
                </c:pt>
                <c:pt idx="75">
                  <c:v>199.90636363636375</c:v>
                </c:pt>
                <c:pt idx="76">
                  <c:v>201.59484848484863</c:v>
                </c:pt>
                <c:pt idx="77">
                  <c:v>203.28333333333347</c:v>
                </c:pt>
                <c:pt idx="78">
                  <c:v>204.97181818181832</c:v>
                </c:pt>
                <c:pt idx="79">
                  <c:v>206.66030303030317</c:v>
                </c:pt>
                <c:pt idx="80">
                  <c:v>208.34878787878802</c:v>
                </c:pt>
                <c:pt idx="81">
                  <c:v>210.03727272727286</c:v>
                </c:pt>
                <c:pt idx="82">
                  <c:v>211.72575757575771</c:v>
                </c:pt>
                <c:pt idx="83">
                  <c:v>213.41424242424256</c:v>
                </c:pt>
                <c:pt idx="84">
                  <c:v>215.10272727272741</c:v>
                </c:pt>
                <c:pt idx="85">
                  <c:v>216.79121212121225</c:v>
                </c:pt>
                <c:pt idx="86">
                  <c:v>218.4796969696971</c:v>
                </c:pt>
                <c:pt idx="87">
                  <c:v>220.16818181818195</c:v>
                </c:pt>
                <c:pt idx="88">
                  <c:v>221.8566666666668</c:v>
                </c:pt>
                <c:pt idx="89">
                  <c:v>223.54515151515164</c:v>
                </c:pt>
                <c:pt idx="90">
                  <c:v>225.23363636363649</c:v>
                </c:pt>
                <c:pt idx="91">
                  <c:v>226.92212121212134</c:v>
                </c:pt>
                <c:pt idx="92">
                  <c:v>228.61060606060619</c:v>
                </c:pt>
                <c:pt idx="93">
                  <c:v>230.29909090909103</c:v>
                </c:pt>
                <c:pt idx="94">
                  <c:v>231.98757575757588</c:v>
                </c:pt>
                <c:pt idx="95">
                  <c:v>233.67606060606073</c:v>
                </c:pt>
                <c:pt idx="96">
                  <c:v>235.36454545454558</c:v>
                </c:pt>
                <c:pt idx="97">
                  <c:v>237.05303030303043</c:v>
                </c:pt>
                <c:pt idx="98">
                  <c:v>238.74151515151527</c:v>
                </c:pt>
                <c:pt idx="99">
                  <c:v>240.43000000000018</c:v>
                </c:pt>
              </c:numCache>
            </c:numRef>
          </c:xVal>
          <c:yVal>
            <c:numRef>
              <c:f>Sheet3_HID!ydata3</c:f>
              <c:numCache>
                <c:formatCode>General</c:formatCode>
                <c:ptCount val="100"/>
                <c:pt idx="0">
                  <c:v>-1.3145166860186595E-2</c:v>
                </c:pt>
                <c:pt idx="1">
                  <c:v>-1.2506351490933963E-2</c:v>
                </c:pt>
                <c:pt idx="2">
                  <c:v>-1.1871393217180629E-2</c:v>
                </c:pt>
                <c:pt idx="3">
                  <c:v>-1.1240309993189864E-2</c:v>
                </c:pt>
                <c:pt idx="4">
                  <c:v>-1.0613118767061658E-2</c:v>
                </c:pt>
                <c:pt idx="5">
                  <c:v>-9.9898354570898198E-3</c:v>
                </c:pt>
                <c:pt idx="6">
                  <c:v>-9.3704749293424296E-3</c:v>
                </c:pt>
                <c:pt idx="7">
                  <c:v>-8.755050976537046E-3</c:v>
                </c:pt>
                <c:pt idx="8">
                  <c:v>-8.1435762982791024E-3</c:v>
                </c:pt>
                <c:pt idx="9">
                  <c:v>-7.5360624827284436E-3</c:v>
                </c:pt>
                <c:pt idx="10">
                  <c:v>-6.9325199897543391E-3</c:v>
                </c:pt>
                <c:pt idx="11">
                  <c:v>-6.3329581356357662E-3</c:v>
                </c:pt>
                <c:pt idx="12">
                  <c:v>-5.7373850793581704E-3</c:v>
                </c:pt>
                <c:pt idx="13">
                  <c:v>-5.1458078105536889E-3</c:v>
                </c:pt>
                <c:pt idx="14">
                  <c:v>-4.558232139125859E-3</c:v>
                </c:pt>
                <c:pt idx="15">
                  <c:v>-3.9746626865947016E-3</c:v>
                </c:pt>
                <c:pt idx="16">
                  <c:v>-3.3951028791921259E-3</c:v>
                </c:pt>
                <c:pt idx="17">
                  <c:v>-2.8195549427316863E-3</c:v>
                </c:pt>
                <c:pt idx="18">
                  <c:v>-2.2480198992704953E-3</c:v>
                </c:pt>
                <c:pt idx="19">
                  <c:v>-1.6804975655751384E-3</c:v>
                </c:pt>
                <c:pt idx="20">
                  <c:v>-1.1169865533966969E-3</c:v>
                </c:pt>
                <c:pt idx="21">
                  <c:v>-5.574842715542136E-4</c:v>
                </c:pt>
                <c:pt idx="22">
                  <c:v>-1.9869298190644535E-6</c:v>
                </c:pt>
                <c:pt idx="23">
                  <c:v>5.4951045541316856E-4</c:v>
                </c:pt>
                <c:pt idx="24">
                  <c:v>1.097014053683204E-3</c:v>
                </c:pt>
                <c:pt idx="25">
                  <c:v>1.640531211286704E-3</c:v>
                </c:pt>
                <c:pt idx="26">
                  <c:v>2.1800704403828614E-3</c:v>
                </c:pt>
                <c:pt idx="27">
                  <c:v>2.7156414064303525E-3</c:v>
                </c:pt>
                <c:pt idx="28">
                  <c:v>3.2472549139936149E-3</c:v>
                </c:pt>
                <c:pt idx="29">
                  <c:v>3.7749228909676885E-3</c:v>
                </c:pt>
                <c:pt idx="30">
                  <c:v>4.2986583712745427E-3</c:v>
                </c:pt>
                <c:pt idx="31">
                  <c:v>4.8184754760888238E-3</c:v>
                </c:pt>
                <c:pt idx="32">
                  <c:v>5.3343893936548537E-3</c:v>
                </c:pt>
                <c:pt idx="33">
                  <c:v>5.8464163577608072E-3</c:v>
                </c:pt>
                <c:pt idx="34">
                  <c:v>6.3545736249394982E-3</c:v>
                </c:pt>
                <c:pt idx="35">
                  <c:v>6.858879450468397E-3</c:v>
                </c:pt>
                <c:pt idx="36">
                  <c:v>7.3593530632440757E-3</c:v>
                </c:pt>
                <c:pt idx="37">
                  <c:v>7.8560146396087147E-3</c:v>
                </c:pt>
                <c:pt idx="38">
                  <c:v>8.3488852762084106E-3</c:v>
                </c:pt>
                <c:pt idx="39">
                  <c:v>8.8379869619639867E-3</c:v>
                </c:pt>
                <c:pt idx="40">
                  <c:v>9.3233425492367933E-3</c:v>
                </c:pt>
                <c:pt idx="41">
                  <c:v>9.8049757242719693E-3</c:v>
                </c:pt>
                <c:pt idx="42">
                  <c:v>1.0282910977002659E-2</c:v>
                </c:pt>
                <c:pt idx="43">
                  <c:v>1.075717357029779E-2</c:v>
                </c:pt>
                <c:pt idx="44">
                  <c:v>1.1227789508736256E-2</c:v>
                </c:pt>
                <c:pt idx="45">
                  <c:v>1.1694785506989172E-2</c:v>
                </c:pt>
                <c:pt idx="46">
                  <c:v>1.2158188957890531E-2</c:v>
                </c:pt>
                <c:pt idx="47">
                  <c:v>1.2618027900275691E-2</c:v>
                </c:pt>
                <c:pt idx="48">
                  <c:v>1.3074330986664884E-2</c:v>
                </c:pt>
                <c:pt idx="49">
                  <c:v>1.3527127450866809E-2</c:v>
                </c:pt>
                <c:pt idx="50">
                  <c:v>1.3976447075575639E-2</c:v>
                </c:pt>
                <c:pt idx="51">
                  <c:v>1.4422320160031664E-2</c:v>
                </c:pt>
                <c:pt idx="52">
                  <c:v>1.4864777487813417E-2</c:v>
                </c:pt>
                <c:pt idx="53">
                  <c:v>1.5303850294825998E-2</c:v>
                </c:pt>
                <c:pt idx="54">
                  <c:v>1.5739570237547587E-2</c:v>
                </c:pt>
                <c:pt idx="55">
                  <c:v>1.6171969361592563E-2</c:v>
                </c:pt>
                <c:pt idx="56">
                  <c:v>1.660108007064668E-2</c:v>
                </c:pt>
                <c:pt idx="57">
                  <c:v>1.7026935095826201E-2</c:v>
                </c:pt>
                <c:pt idx="58">
                  <c:v>1.7449567465509623E-2</c:v>
                </c:pt>
                <c:pt idx="59">
                  <c:v>1.7869010475686939E-2</c:v>
                </c:pt>
                <c:pt idx="60">
                  <c:v>1.828529766086829E-2</c:v>
                </c:pt>
                <c:pt idx="61">
                  <c:v>1.8698462765589847E-2</c:v>
                </c:pt>
                <c:pt idx="62">
                  <c:v>1.910853971655193E-2</c:v>
                </c:pt>
                <c:pt idx="63">
                  <c:v>1.9515562595420484E-2</c:v>
                </c:pt>
                <c:pt idx="64">
                  <c:v>1.9919565612319917E-2</c:v>
                </c:pt>
                <c:pt idx="65">
                  <c:v>2.032058308004181E-2</c:v>
                </c:pt>
                <c:pt idx="66">
                  <c:v>2.0718649388991289E-2</c:v>
                </c:pt>
                <c:pt idx="67">
                  <c:v>2.1113798982888989E-2</c:v>
                </c:pt>
                <c:pt idx="68">
                  <c:v>2.1506066335244219E-2</c:v>
                </c:pt>
                <c:pt idx="69">
                  <c:v>2.1895485926611544E-2</c:v>
                </c:pt>
                <c:pt idx="70">
                  <c:v>2.2282092222640701E-2</c:v>
                </c:pt>
                <c:pt idx="71">
                  <c:v>2.2665919652926497E-2</c:v>
                </c:pt>
                <c:pt idx="72">
                  <c:v>2.3047002590663369E-2</c:v>
                </c:pt>
                <c:pt idx="73">
                  <c:v>2.3425375333106638E-2</c:v>
                </c:pt>
                <c:pt idx="74">
                  <c:v>2.3801072082840151E-2</c:v>
                </c:pt>
                <c:pt idx="75">
                  <c:v>2.4174126929848098E-2</c:v>
                </c:pt>
                <c:pt idx="76">
                  <c:v>2.4544573834386581E-2</c:v>
                </c:pt>
                <c:pt idx="77">
                  <c:v>2.4912446610648918E-2</c:v>
                </c:pt>
                <c:pt idx="78">
                  <c:v>2.5277778911216665E-2</c:v>
                </c:pt>
                <c:pt idx="79">
                  <c:v>2.5640604212286956E-2</c:v>
                </c:pt>
                <c:pt idx="80">
                  <c:v>2.6000955799665285E-2</c:v>
                </c:pt>
                <c:pt idx="81">
                  <c:v>2.6358866755511565E-2</c:v>
                </c:pt>
                <c:pt idx="82">
                  <c:v>2.6714369945825926E-2</c:v>
                </c:pt>
                <c:pt idx="83">
                  <c:v>2.7067498008659784E-2</c:v>
                </c:pt>
                <c:pt idx="84">
                  <c:v>2.7418283343037107E-2</c:v>
                </c:pt>
                <c:pt idx="85">
                  <c:v>2.7766758098569128E-2</c:v>
                </c:pt>
                <c:pt idx="86">
                  <c:v>2.8112954165745697E-2</c:v>
                </c:pt>
                <c:pt idx="87">
                  <c:v>2.8456903166886018E-2</c:v>
                </c:pt>
                <c:pt idx="88">
                  <c:v>2.8798636447730064E-2</c:v>
                </c:pt>
                <c:pt idx="89">
                  <c:v>2.9138185069652496E-2</c:v>
                </c:pt>
                <c:pt idx="90">
                  <c:v>2.9475579802480112E-2</c:v>
                </c:pt>
                <c:pt idx="91">
                  <c:v>2.9810851117893528E-2</c:v>
                </c:pt>
                <c:pt idx="92">
                  <c:v>3.0144029183393858E-2</c:v>
                </c:pt>
                <c:pt idx="93">
                  <c:v>3.0475143856814935E-2</c:v>
                </c:pt>
                <c:pt idx="94">
                  <c:v>3.0804224681361521E-2</c:v>
                </c:pt>
                <c:pt idx="95">
                  <c:v>3.1131300881153873E-2</c:v>
                </c:pt>
                <c:pt idx="96">
                  <c:v>3.145640135725964E-2</c:v>
                </c:pt>
                <c:pt idx="97">
                  <c:v>3.1779554684193356E-2</c:v>
                </c:pt>
                <c:pt idx="98">
                  <c:v>3.2100789106864563E-2</c:v>
                </c:pt>
                <c:pt idx="99">
                  <c:v>3.242013253795599E-2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17-4D78-9652-BD6F7A1365C0}"/>
            </c:ext>
          </c:extLst>
        </c:ser>
        <c:ser>
          <c:idx val="6"/>
          <c:order val="6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Sheet3_HID!xdata4</c:f>
              <c:numCache>
                <c:formatCode>General</c:formatCode>
                <c:ptCount val="100"/>
                <c:pt idx="0">
                  <c:v>73.27</c:v>
                </c:pt>
                <c:pt idx="1">
                  <c:v>74.958484848484844</c:v>
                </c:pt>
                <c:pt idx="2">
                  <c:v>76.646969696969691</c:v>
                </c:pt>
                <c:pt idx="3">
                  <c:v>78.335454545454553</c:v>
                </c:pt>
                <c:pt idx="4">
                  <c:v>80.023939393939401</c:v>
                </c:pt>
                <c:pt idx="5">
                  <c:v>81.712424242424248</c:v>
                </c:pt>
                <c:pt idx="6">
                  <c:v>83.400909090909096</c:v>
                </c:pt>
                <c:pt idx="7">
                  <c:v>85.089393939393943</c:v>
                </c:pt>
                <c:pt idx="8">
                  <c:v>86.777878787878791</c:v>
                </c:pt>
                <c:pt idx="9">
                  <c:v>88.466363636363639</c:v>
                </c:pt>
                <c:pt idx="10">
                  <c:v>90.1548484848485</c:v>
                </c:pt>
                <c:pt idx="11">
                  <c:v>91.843333333333348</c:v>
                </c:pt>
                <c:pt idx="12">
                  <c:v>93.531818181818196</c:v>
                </c:pt>
                <c:pt idx="13">
                  <c:v>95.220303030303043</c:v>
                </c:pt>
                <c:pt idx="14">
                  <c:v>96.908787878787905</c:v>
                </c:pt>
                <c:pt idx="15">
                  <c:v>98.597272727272752</c:v>
                </c:pt>
                <c:pt idx="16">
                  <c:v>100.2857575757576</c:v>
                </c:pt>
                <c:pt idx="17">
                  <c:v>101.97424242424245</c:v>
                </c:pt>
                <c:pt idx="18">
                  <c:v>103.6627272727273</c:v>
                </c:pt>
                <c:pt idx="19">
                  <c:v>105.35121212121214</c:v>
                </c:pt>
                <c:pt idx="20">
                  <c:v>107.03969696969699</c:v>
                </c:pt>
                <c:pt idx="21">
                  <c:v>108.72818181818184</c:v>
                </c:pt>
                <c:pt idx="22">
                  <c:v>110.4166666666667</c:v>
                </c:pt>
                <c:pt idx="23">
                  <c:v>112.10515151515155</c:v>
                </c:pt>
                <c:pt idx="24">
                  <c:v>113.7936363636364</c:v>
                </c:pt>
                <c:pt idx="25">
                  <c:v>115.48212121212126</c:v>
                </c:pt>
                <c:pt idx="26">
                  <c:v>117.1706060606061</c:v>
                </c:pt>
                <c:pt idx="27">
                  <c:v>118.85909090909095</c:v>
                </c:pt>
                <c:pt idx="28">
                  <c:v>120.5475757575758</c:v>
                </c:pt>
                <c:pt idx="29">
                  <c:v>122.23606060606065</c:v>
                </c:pt>
                <c:pt idx="30">
                  <c:v>123.92454545454549</c:v>
                </c:pt>
                <c:pt idx="31">
                  <c:v>125.61303030303034</c:v>
                </c:pt>
                <c:pt idx="32">
                  <c:v>127.30151515151519</c:v>
                </c:pt>
                <c:pt idx="33">
                  <c:v>128.99000000000004</c:v>
                </c:pt>
                <c:pt idx="34">
                  <c:v>130.67848484848491</c:v>
                </c:pt>
                <c:pt idx="35">
                  <c:v>132.36696969696976</c:v>
                </c:pt>
                <c:pt idx="36">
                  <c:v>134.05545454545461</c:v>
                </c:pt>
                <c:pt idx="37">
                  <c:v>135.74393939393946</c:v>
                </c:pt>
                <c:pt idx="38">
                  <c:v>137.4324242424243</c:v>
                </c:pt>
                <c:pt idx="39">
                  <c:v>139.12090909090915</c:v>
                </c:pt>
                <c:pt idx="40">
                  <c:v>140.809393939394</c:v>
                </c:pt>
                <c:pt idx="41">
                  <c:v>142.49787878787885</c:v>
                </c:pt>
                <c:pt idx="42">
                  <c:v>144.18636363636369</c:v>
                </c:pt>
                <c:pt idx="43">
                  <c:v>145.87484848484854</c:v>
                </c:pt>
                <c:pt idx="44">
                  <c:v>147.56333333333339</c:v>
                </c:pt>
                <c:pt idx="45">
                  <c:v>149.25181818181824</c:v>
                </c:pt>
                <c:pt idx="46">
                  <c:v>150.94030303030308</c:v>
                </c:pt>
                <c:pt idx="47">
                  <c:v>152.62878787878793</c:v>
                </c:pt>
                <c:pt idx="48">
                  <c:v>154.31727272727278</c:v>
                </c:pt>
                <c:pt idx="49">
                  <c:v>156.00575757575763</c:v>
                </c:pt>
                <c:pt idx="50">
                  <c:v>157.6942424242425</c:v>
                </c:pt>
                <c:pt idx="51">
                  <c:v>159.38272727272735</c:v>
                </c:pt>
                <c:pt idx="52">
                  <c:v>161.0712121212122</c:v>
                </c:pt>
                <c:pt idx="53">
                  <c:v>162.75969696969705</c:v>
                </c:pt>
                <c:pt idx="54">
                  <c:v>164.44818181818189</c:v>
                </c:pt>
                <c:pt idx="55">
                  <c:v>166.13666666666674</c:v>
                </c:pt>
                <c:pt idx="56">
                  <c:v>167.82515151515162</c:v>
                </c:pt>
                <c:pt idx="57">
                  <c:v>169.51363636363646</c:v>
                </c:pt>
                <c:pt idx="58">
                  <c:v>171.20212121212131</c:v>
                </c:pt>
                <c:pt idx="59">
                  <c:v>172.89060606060616</c:v>
                </c:pt>
                <c:pt idx="60">
                  <c:v>174.57909090909101</c:v>
                </c:pt>
                <c:pt idx="61">
                  <c:v>176.26757575757586</c:v>
                </c:pt>
                <c:pt idx="62">
                  <c:v>177.9560606060607</c:v>
                </c:pt>
                <c:pt idx="63">
                  <c:v>179.64454545454555</c:v>
                </c:pt>
                <c:pt idx="64">
                  <c:v>181.3330303030304</c:v>
                </c:pt>
                <c:pt idx="65">
                  <c:v>183.02151515151525</c:v>
                </c:pt>
                <c:pt idx="66">
                  <c:v>184.71000000000009</c:v>
                </c:pt>
                <c:pt idx="67">
                  <c:v>186.39848484848494</c:v>
                </c:pt>
                <c:pt idx="68">
                  <c:v>188.08696969696979</c:v>
                </c:pt>
                <c:pt idx="69">
                  <c:v>189.77545454545464</c:v>
                </c:pt>
                <c:pt idx="70">
                  <c:v>191.46393939393948</c:v>
                </c:pt>
                <c:pt idx="71">
                  <c:v>193.15242424242433</c:v>
                </c:pt>
                <c:pt idx="72">
                  <c:v>194.84090909090918</c:v>
                </c:pt>
                <c:pt idx="73">
                  <c:v>196.52939393939405</c:v>
                </c:pt>
                <c:pt idx="74">
                  <c:v>198.2178787878789</c:v>
                </c:pt>
                <c:pt idx="75">
                  <c:v>199.90636363636375</c:v>
                </c:pt>
                <c:pt idx="76">
                  <c:v>201.59484848484863</c:v>
                </c:pt>
                <c:pt idx="77">
                  <c:v>203.28333333333347</c:v>
                </c:pt>
                <c:pt idx="78">
                  <c:v>204.97181818181832</c:v>
                </c:pt>
                <c:pt idx="79">
                  <c:v>206.66030303030317</c:v>
                </c:pt>
                <c:pt idx="80">
                  <c:v>208.34878787878802</c:v>
                </c:pt>
                <c:pt idx="81">
                  <c:v>210.03727272727286</c:v>
                </c:pt>
                <c:pt idx="82">
                  <c:v>211.72575757575771</c:v>
                </c:pt>
                <c:pt idx="83">
                  <c:v>213.41424242424256</c:v>
                </c:pt>
                <c:pt idx="84">
                  <c:v>215.10272727272741</c:v>
                </c:pt>
                <c:pt idx="85">
                  <c:v>216.79121212121225</c:v>
                </c:pt>
                <c:pt idx="86">
                  <c:v>218.4796969696971</c:v>
                </c:pt>
                <c:pt idx="87">
                  <c:v>220.16818181818195</c:v>
                </c:pt>
                <c:pt idx="88">
                  <c:v>221.8566666666668</c:v>
                </c:pt>
                <c:pt idx="89">
                  <c:v>223.54515151515164</c:v>
                </c:pt>
                <c:pt idx="90">
                  <c:v>225.23363636363649</c:v>
                </c:pt>
                <c:pt idx="91">
                  <c:v>226.92212121212134</c:v>
                </c:pt>
                <c:pt idx="92">
                  <c:v>228.61060606060619</c:v>
                </c:pt>
                <c:pt idx="93">
                  <c:v>230.29909090909103</c:v>
                </c:pt>
                <c:pt idx="94">
                  <c:v>231.98757575757588</c:v>
                </c:pt>
                <c:pt idx="95">
                  <c:v>233.67606060606073</c:v>
                </c:pt>
                <c:pt idx="96">
                  <c:v>235.36454545454558</c:v>
                </c:pt>
                <c:pt idx="97">
                  <c:v>237.05303030303043</c:v>
                </c:pt>
                <c:pt idx="98">
                  <c:v>238.74151515151527</c:v>
                </c:pt>
                <c:pt idx="99">
                  <c:v>240.43000000000018</c:v>
                </c:pt>
              </c:numCache>
            </c:numRef>
          </c:xVal>
          <c:yVal>
            <c:numRef>
              <c:f>Sheet3_HID!ydata4</c:f>
              <c:numCache>
                <c:formatCode>General</c:formatCode>
                <c:ptCount val="100"/>
                <c:pt idx="0">
                  <c:v>6.8196315119749745E-2</c:v>
                </c:pt>
                <c:pt idx="1">
                  <c:v>6.8701789807631974E-2</c:v>
                </c:pt>
                <c:pt idx="2">
                  <c:v>6.9211121591013489E-2</c:v>
                </c:pt>
                <c:pt idx="3">
                  <c:v>6.9724328424157586E-2</c:v>
                </c:pt>
                <c:pt idx="4">
                  <c:v>7.0241427255164246E-2</c:v>
                </c:pt>
                <c:pt idx="5">
                  <c:v>7.0762434002327262E-2</c:v>
                </c:pt>
                <c:pt idx="6">
                  <c:v>7.128736353171472E-2</c:v>
                </c:pt>
                <c:pt idx="7">
                  <c:v>7.1816229636044185E-2</c:v>
                </c:pt>
                <c:pt idx="8">
                  <c:v>7.2349045014921093E-2</c:v>
                </c:pt>
                <c:pt idx="9">
                  <c:v>7.2885821256505279E-2</c:v>
                </c:pt>
                <c:pt idx="10">
                  <c:v>7.342656882066606E-2</c:v>
                </c:pt>
                <c:pt idx="11">
                  <c:v>7.3971297023682325E-2</c:v>
                </c:pt>
                <c:pt idx="12">
                  <c:v>7.4520014024539588E-2</c:v>
                </c:pt>
                <c:pt idx="13">
                  <c:v>7.5072726812869972E-2</c:v>
                </c:pt>
                <c:pt idx="14">
                  <c:v>7.5629441198576994E-2</c:v>
                </c:pt>
                <c:pt idx="15">
                  <c:v>7.6190161803180695E-2</c:v>
                </c:pt>
                <c:pt idx="16">
                  <c:v>7.6754892052912971E-2</c:v>
                </c:pt>
                <c:pt idx="17">
                  <c:v>7.7323634173587383E-2</c:v>
                </c:pt>
                <c:pt idx="18">
                  <c:v>7.789638918726105E-2</c:v>
                </c:pt>
                <c:pt idx="19">
                  <c:v>7.8473156910700559E-2</c:v>
                </c:pt>
                <c:pt idx="20">
                  <c:v>7.9053935955656962E-2</c:v>
                </c:pt>
                <c:pt idx="21">
                  <c:v>7.9638723730949323E-2</c:v>
                </c:pt>
                <c:pt idx="22">
                  <c:v>8.022751644634904E-2</c:v>
                </c:pt>
                <c:pt idx="23">
                  <c:v>8.0820309118251665E-2</c:v>
                </c:pt>
                <c:pt idx="24">
                  <c:v>8.1417095577116488E-2</c:v>
                </c:pt>
                <c:pt idx="25">
                  <c:v>8.2017868476647854E-2</c:v>
                </c:pt>
                <c:pt idx="26">
                  <c:v>8.2622619304686548E-2</c:v>
                </c:pt>
                <c:pt idx="27">
                  <c:v>8.3231338395773916E-2</c:v>
                </c:pt>
                <c:pt idx="28">
                  <c:v>8.3844014945345491E-2</c:v>
                </c:pt>
                <c:pt idx="29">
                  <c:v>8.4460637025506283E-2</c:v>
                </c:pt>
                <c:pt idx="30">
                  <c:v>8.5081191602334294E-2</c:v>
                </c:pt>
                <c:pt idx="31">
                  <c:v>8.5705664554654851E-2</c:v>
                </c:pt>
                <c:pt idx="32">
                  <c:v>8.6334040694223679E-2</c:v>
                </c:pt>
                <c:pt idx="33">
                  <c:v>8.6966303787252591E-2</c:v>
                </c:pt>
                <c:pt idx="34">
                  <c:v>8.7602436577208759E-2</c:v>
                </c:pt>
                <c:pt idx="35">
                  <c:v>8.8242420808814712E-2</c:v>
                </c:pt>
                <c:pt idx="36">
                  <c:v>8.8886237253173891E-2</c:v>
                </c:pt>
                <c:pt idx="37">
                  <c:v>8.9533865733944118E-2</c:v>
                </c:pt>
                <c:pt idx="38">
                  <c:v>9.0185285154479267E-2</c:v>
                </c:pt>
                <c:pt idx="39">
                  <c:v>9.0840473525858542E-2</c:v>
                </c:pt>
                <c:pt idx="40">
                  <c:v>9.1499407995720594E-2</c:v>
                </c:pt>
                <c:pt idx="41">
                  <c:v>9.2162064877820263E-2</c:v>
                </c:pt>
                <c:pt idx="42">
                  <c:v>9.2828419682224439E-2</c:v>
                </c:pt>
                <c:pt idx="43">
                  <c:v>9.3498447146064159E-2</c:v>
                </c:pt>
                <c:pt idx="44">
                  <c:v>9.4172121264760544E-2</c:v>
                </c:pt>
                <c:pt idx="45">
                  <c:v>9.484941532364248E-2</c:v>
                </c:pt>
                <c:pt idx="46">
                  <c:v>9.553030192987598E-2</c:v>
                </c:pt>
                <c:pt idx="47">
                  <c:v>9.6214753044625664E-2</c:v>
                </c:pt>
                <c:pt idx="48">
                  <c:v>9.690274001537133E-2</c:v>
                </c:pt>
                <c:pt idx="49">
                  <c:v>9.7594233608304271E-2</c:v>
                </c:pt>
                <c:pt idx="50">
                  <c:v>9.8289204040730299E-2</c:v>
                </c:pt>
                <c:pt idx="51">
                  <c:v>9.8987621013409133E-2</c:v>
                </c:pt>
                <c:pt idx="52">
                  <c:v>9.9689453742762224E-2</c:v>
                </c:pt>
                <c:pt idx="53">
                  <c:v>0.10039467099288452</c:v>
                </c:pt>
                <c:pt idx="54">
                  <c:v>0.10110324110729778</c:v>
                </c:pt>
                <c:pt idx="55">
                  <c:v>0.10181513204038764</c:v>
                </c:pt>
                <c:pt idx="56">
                  <c:v>0.10253031138846841</c:v>
                </c:pt>
                <c:pt idx="57">
                  <c:v>0.10324874642042374</c:v>
                </c:pt>
                <c:pt idx="58">
                  <c:v>0.10397040410787517</c:v>
                </c:pt>
                <c:pt idx="59">
                  <c:v>0.10469525115483271</c:v>
                </c:pt>
                <c:pt idx="60">
                  <c:v>0.10542325402678621</c:v>
                </c:pt>
                <c:pt idx="61">
                  <c:v>0.10615437897919952</c:v>
                </c:pt>
                <c:pt idx="62">
                  <c:v>0.10688859208537227</c:v>
                </c:pt>
                <c:pt idx="63">
                  <c:v>0.10762585926363857</c:v>
                </c:pt>
                <c:pt idx="64">
                  <c:v>0.10836614630387401</c:v>
                </c:pt>
                <c:pt idx="65">
                  <c:v>0.10910941889328696</c:v>
                </c:pt>
                <c:pt idx="66">
                  <c:v>0.10985564264147232</c:v>
                </c:pt>
                <c:pt idx="67">
                  <c:v>0.11060478310470948</c:v>
                </c:pt>
                <c:pt idx="68">
                  <c:v>0.11135680580948912</c:v>
                </c:pt>
                <c:pt idx="69">
                  <c:v>0.11211167627525663</c:v>
                </c:pt>
                <c:pt idx="70">
                  <c:v>0.11286936003636232</c:v>
                </c:pt>
                <c:pt idx="71">
                  <c:v>0.11362982266321139</c:v>
                </c:pt>
                <c:pt idx="72">
                  <c:v>0.11439302978260937</c:v>
                </c:pt>
                <c:pt idx="73">
                  <c:v>0.11515894709730097</c:v>
                </c:pt>
                <c:pt idx="74">
                  <c:v>0.1159275404047023</c:v>
                </c:pt>
                <c:pt idx="75">
                  <c:v>0.11669877561482922</c:v>
                </c:pt>
                <c:pt idx="76">
                  <c:v>0.11747261876742562</c:v>
                </c:pt>
                <c:pt idx="77">
                  <c:v>0.11824903604829812</c:v>
                </c:pt>
                <c:pt idx="78">
                  <c:v>0.11902799380486523</c:v>
                </c:pt>
                <c:pt idx="79">
                  <c:v>0.11980945856092981</c:v>
                </c:pt>
                <c:pt idx="80">
                  <c:v>0.12059339703068632</c:v>
                </c:pt>
                <c:pt idx="81">
                  <c:v>0.12137977613197488</c:v>
                </c:pt>
                <c:pt idx="82">
                  <c:v>0.12216856299879539</c:v>
                </c:pt>
                <c:pt idx="83">
                  <c:v>0.12295972499309638</c:v>
                </c:pt>
                <c:pt idx="84">
                  <c:v>0.1237532297158539</c:v>
                </c:pt>
                <c:pt idx="85">
                  <c:v>0.12454904501745676</c:v>
                </c:pt>
                <c:pt idx="86">
                  <c:v>0.12534713900741504</c:v>
                </c:pt>
                <c:pt idx="87">
                  <c:v>0.12614748006340956</c:v>
                </c:pt>
                <c:pt idx="88">
                  <c:v>0.12695003683970038</c:v>
                </c:pt>
                <c:pt idx="89">
                  <c:v>0.1277547782749128</c:v>
                </c:pt>
                <c:pt idx="90">
                  <c:v>0.12856167359922002</c:v>
                </c:pt>
                <c:pt idx="91">
                  <c:v>0.12937069234094148</c:v>
                </c:pt>
                <c:pt idx="92">
                  <c:v>0.13018180433257598</c:v>
                </c:pt>
                <c:pt idx="93">
                  <c:v>0.13099497971628976</c:v>
                </c:pt>
                <c:pt idx="94">
                  <c:v>0.13181018894887805</c:v>
                </c:pt>
                <c:pt idx="95">
                  <c:v>0.13262740280622054</c:v>
                </c:pt>
                <c:pt idx="96">
                  <c:v>0.13344659238724962</c:v>
                </c:pt>
                <c:pt idx="97">
                  <c:v>0.13426772911745077</c:v>
                </c:pt>
                <c:pt idx="98">
                  <c:v>0.13509078475191441</c:v>
                </c:pt>
                <c:pt idx="99">
                  <c:v>0.13591573137795787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17-4D78-9652-BD6F7A13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844928"/>
        <c:axId val="276846848"/>
      </c:scatterChart>
      <c:valAx>
        <c:axId val="276844928"/>
        <c:scaling>
          <c:orientation val="maxMin"/>
          <c:max val="25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Cost of Living 1999 - US Avg = 100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6846848"/>
        <c:crosses val="autoZero"/>
        <c:crossBetween val="midCat"/>
      </c:valAx>
      <c:valAx>
        <c:axId val="276846848"/>
        <c:scaling>
          <c:orientation val="minMax"/>
          <c:max val="0.14000000000000001"/>
          <c:min val="-0.02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Unemployment Rate (July 1999)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684492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Cost of Living 1999 - US Avg = 100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1'!$C$94:$C$224</c:f>
              <c:numCache>
                <c:formatCode>0.000</c:formatCode>
                <c:ptCount val="131"/>
                <c:pt idx="0">
                  <c:v>125.9</c:v>
                </c:pt>
                <c:pt idx="1">
                  <c:v>99.1</c:v>
                </c:pt>
                <c:pt idx="2">
                  <c:v>95.2</c:v>
                </c:pt>
                <c:pt idx="3">
                  <c:v>91.8</c:v>
                </c:pt>
                <c:pt idx="4">
                  <c:v>92.4</c:v>
                </c:pt>
                <c:pt idx="5">
                  <c:v>87.2</c:v>
                </c:pt>
                <c:pt idx="6">
                  <c:v>99.9</c:v>
                </c:pt>
                <c:pt idx="7">
                  <c:v>99.7</c:v>
                </c:pt>
                <c:pt idx="8">
                  <c:v>106.1</c:v>
                </c:pt>
                <c:pt idx="9">
                  <c:v>105.8</c:v>
                </c:pt>
                <c:pt idx="10">
                  <c:v>122</c:v>
                </c:pt>
                <c:pt idx="11">
                  <c:v>114</c:v>
                </c:pt>
                <c:pt idx="12">
                  <c:v>122.8</c:v>
                </c:pt>
                <c:pt idx="13">
                  <c:v>144.69999999999999</c:v>
                </c:pt>
                <c:pt idx="14">
                  <c:v>96.8</c:v>
                </c:pt>
                <c:pt idx="15">
                  <c:v>105.3</c:v>
                </c:pt>
                <c:pt idx="16">
                  <c:v>92.5</c:v>
                </c:pt>
                <c:pt idx="17">
                  <c:v>121.8</c:v>
                </c:pt>
                <c:pt idx="18">
                  <c:v>132</c:v>
                </c:pt>
                <c:pt idx="19">
                  <c:v>108.1</c:v>
                </c:pt>
                <c:pt idx="20">
                  <c:v>97.2</c:v>
                </c:pt>
                <c:pt idx="21">
                  <c:v>95.4</c:v>
                </c:pt>
                <c:pt idx="22">
                  <c:v>104.5</c:v>
                </c:pt>
                <c:pt idx="23">
                  <c:v>97</c:v>
                </c:pt>
                <c:pt idx="24">
                  <c:v>93.6</c:v>
                </c:pt>
                <c:pt idx="25">
                  <c:v>100.1</c:v>
                </c:pt>
                <c:pt idx="26">
                  <c:v>97.8</c:v>
                </c:pt>
                <c:pt idx="27">
                  <c:v>104.7</c:v>
                </c:pt>
                <c:pt idx="28">
                  <c:v>97.4</c:v>
                </c:pt>
                <c:pt idx="29">
                  <c:v>93.9</c:v>
                </c:pt>
                <c:pt idx="30">
                  <c:v>95.1</c:v>
                </c:pt>
                <c:pt idx="31">
                  <c:v>94.7</c:v>
                </c:pt>
                <c:pt idx="32">
                  <c:v>107.5</c:v>
                </c:pt>
                <c:pt idx="33">
                  <c:v>102.7</c:v>
                </c:pt>
                <c:pt idx="34">
                  <c:v>99.8</c:v>
                </c:pt>
                <c:pt idx="35">
                  <c:v>121.6</c:v>
                </c:pt>
                <c:pt idx="36">
                  <c:v>103.6</c:v>
                </c:pt>
                <c:pt idx="37">
                  <c:v>95.1</c:v>
                </c:pt>
                <c:pt idx="38">
                  <c:v>93.3</c:v>
                </c:pt>
                <c:pt idx="39">
                  <c:v>94.9</c:v>
                </c:pt>
                <c:pt idx="40">
                  <c:v>90.9</c:v>
                </c:pt>
                <c:pt idx="41">
                  <c:v>95.1</c:v>
                </c:pt>
                <c:pt idx="42">
                  <c:v>94.8</c:v>
                </c:pt>
                <c:pt idx="43">
                  <c:v>95.9</c:v>
                </c:pt>
                <c:pt idx="44">
                  <c:v>92.8</c:v>
                </c:pt>
                <c:pt idx="45">
                  <c:v>98.5</c:v>
                </c:pt>
                <c:pt idx="46">
                  <c:v>94.5</c:v>
                </c:pt>
                <c:pt idx="47">
                  <c:v>94.9</c:v>
                </c:pt>
                <c:pt idx="48">
                  <c:v>136.80000000000001</c:v>
                </c:pt>
                <c:pt idx="49">
                  <c:v>102.3</c:v>
                </c:pt>
                <c:pt idx="50">
                  <c:v>113</c:v>
                </c:pt>
                <c:pt idx="51">
                  <c:v>102.1</c:v>
                </c:pt>
                <c:pt idx="52">
                  <c:v>102.9</c:v>
                </c:pt>
                <c:pt idx="53">
                  <c:v>99.7</c:v>
                </c:pt>
                <c:pt idx="54">
                  <c:v>97.5</c:v>
                </c:pt>
                <c:pt idx="55">
                  <c:v>93.1</c:v>
                </c:pt>
                <c:pt idx="56">
                  <c:v>96.1</c:v>
                </c:pt>
                <c:pt idx="57">
                  <c:v>94.5</c:v>
                </c:pt>
                <c:pt idx="58">
                  <c:v>97.4</c:v>
                </c:pt>
                <c:pt idx="59">
                  <c:v>94.3</c:v>
                </c:pt>
                <c:pt idx="60">
                  <c:v>102.7</c:v>
                </c:pt>
                <c:pt idx="61">
                  <c:v>102.5</c:v>
                </c:pt>
                <c:pt idx="62">
                  <c:v>101.8</c:v>
                </c:pt>
                <c:pt idx="63">
                  <c:v>100</c:v>
                </c:pt>
                <c:pt idx="64">
                  <c:v>96.8</c:v>
                </c:pt>
                <c:pt idx="65">
                  <c:v>97.5</c:v>
                </c:pt>
                <c:pt idx="66">
                  <c:v>97.3</c:v>
                </c:pt>
                <c:pt idx="67">
                  <c:v>97.8</c:v>
                </c:pt>
                <c:pt idx="68">
                  <c:v>99.9</c:v>
                </c:pt>
                <c:pt idx="69">
                  <c:v>100.8</c:v>
                </c:pt>
                <c:pt idx="70">
                  <c:v>88.8</c:v>
                </c:pt>
                <c:pt idx="71">
                  <c:v>92.3</c:v>
                </c:pt>
                <c:pt idx="72">
                  <c:v>108.8</c:v>
                </c:pt>
                <c:pt idx="73">
                  <c:v>132.6</c:v>
                </c:pt>
                <c:pt idx="74">
                  <c:v>102.8</c:v>
                </c:pt>
                <c:pt idx="75">
                  <c:v>105.6</c:v>
                </c:pt>
                <c:pt idx="76">
                  <c:v>111.8</c:v>
                </c:pt>
                <c:pt idx="77">
                  <c:v>109.7</c:v>
                </c:pt>
                <c:pt idx="78">
                  <c:v>97.3</c:v>
                </c:pt>
                <c:pt idx="79">
                  <c:v>226.5</c:v>
                </c:pt>
                <c:pt idx="80">
                  <c:v>110.4</c:v>
                </c:pt>
                <c:pt idx="81">
                  <c:v>102.9</c:v>
                </c:pt>
                <c:pt idx="82">
                  <c:v>96.3</c:v>
                </c:pt>
                <c:pt idx="83">
                  <c:v>101.1</c:v>
                </c:pt>
                <c:pt idx="84">
                  <c:v>106</c:v>
                </c:pt>
                <c:pt idx="85">
                  <c:v>101.4</c:v>
                </c:pt>
                <c:pt idx="86">
                  <c:v>96.9</c:v>
                </c:pt>
                <c:pt idx="87">
                  <c:v>90.2</c:v>
                </c:pt>
                <c:pt idx="88">
                  <c:v>89.4</c:v>
                </c:pt>
                <c:pt idx="89">
                  <c:v>108.9</c:v>
                </c:pt>
                <c:pt idx="90">
                  <c:v>107.3</c:v>
                </c:pt>
                <c:pt idx="91">
                  <c:v>103.3</c:v>
                </c:pt>
                <c:pt idx="92">
                  <c:v>104.4</c:v>
                </c:pt>
                <c:pt idx="93">
                  <c:v>101.6</c:v>
                </c:pt>
                <c:pt idx="94">
                  <c:v>104.9</c:v>
                </c:pt>
                <c:pt idx="95">
                  <c:v>127.4</c:v>
                </c:pt>
                <c:pt idx="96">
                  <c:v>113.3</c:v>
                </c:pt>
                <c:pt idx="97">
                  <c:v>97.5</c:v>
                </c:pt>
                <c:pt idx="98">
                  <c:v>95.2</c:v>
                </c:pt>
                <c:pt idx="99">
                  <c:v>94.2</c:v>
                </c:pt>
                <c:pt idx="100">
                  <c:v>95.2</c:v>
                </c:pt>
                <c:pt idx="101">
                  <c:v>100.2</c:v>
                </c:pt>
                <c:pt idx="102">
                  <c:v>96.6</c:v>
                </c:pt>
                <c:pt idx="103">
                  <c:v>93.8</c:v>
                </c:pt>
                <c:pt idx="104">
                  <c:v>95.3</c:v>
                </c:pt>
                <c:pt idx="105">
                  <c:v>91.7</c:v>
                </c:pt>
                <c:pt idx="106">
                  <c:v>91.8</c:v>
                </c:pt>
                <c:pt idx="107">
                  <c:v>90</c:v>
                </c:pt>
                <c:pt idx="108">
                  <c:v>100.9</c:v>
                </c:pt>
                <c:pt idx="109">
                  <c:v>93.6</c:v>
                </c:pt>
                <c:pt idx="110">
                  <c:v>101.8</c:v>
                </c:pt>
                <c:pt idx="111">
                  <c:v>95</c:v>
                </c:pt>
                <c:pt idx="112">
                  <c:v>96.8</c:v>
                </c:pt>
                <c:pt idx="113">
                  <c:v>99.6</c:v>
                </c:pt>
                <c:pt idx="114">
                  <c:v>92.1</c:v>
                </c:pt>
                <c:pt idx="115">
                  <c:v>100.9</c:v>
                </c:pt>
                <c:pt idx="116">
                  <c:v>100.5</c:v>
                </c:pt>
                <c:pt idx="117">
                  <c:v>102</c:v>
                </c:pt>
                <c:pt idx="118">
                  <c:v>93</c:v>
                </c:pt>
                <c:pt idx="119">
                  <c:v>109.6</c:v>
                </c:pt>
                <c:pt idx="120">
                  <c:v>103.4</c:v>
                </c:pt>
                <c:pt idx="121">
                  <c:v>119.7</c:v>
                </c:pt>
                <c:pt idx="122">
                  <c:v>106.7</c:v>
                </c:pt>
                <c:pt idx="123">
                  <c:v>102.6</c:v>
                </c:pt>
                <c:pt idx="124">
                  <c:v>97</c:v>
                </c:pt>
                <c:pt idx="125">
                  <c:v>98.5</c:v>
                </c:pt>
                <c:pt idx="126">
                  <c:v>107.5</c:v>
                </c:pt>
                <c:pt idx="127">
                  <c:v>96.6</c:v>
                </c:pt>
                <c:pt idx="128">
                  <c:v>100.8</c:v>
                </c:pt>
                <c:pt idx="129">
                  <c:v>101.4</c:v>
                </c:pt>
                <c:pt idx="130">
                  <c:v>95</c:v>
                </c:pt>
              </c:numCache>
            </c:numRef>
          </c:xVal>
          <c:yVal>
            <c:numRef>
              <c:f>'Linear Regression Output 1'!$G$94:$G$224</c:f>
              <c:numCache>
                <c:formatCode>0.000</c:formatCode>
                <c:ptCount val="131"/>
                <c:pt idx="0">
                  <c:v>-0.46387673416300168</c:v>
                </c:pt>
                <c:pt idx="1">
                  <c:v>-0.45985167465841076</c:v>
                </c:pt>
                <c:pt idx="2">
                  <c:v>-0.39435302820838458</c:v>
                </c:pt>
                <c:pt idx="3">
                  <c:v>0.10881655915645853</c:v>
                </c:pt>
                <c:pt idx="4">
                  <c:v>-0.24820209156661124</c:v>
                </c:pt>
                <c:pt idx="5">
                  <c:v>-1.2181161873174761E-2</c:v>
                </c:pt>
                <c:pt idx="6">
                  <c:v>-0.52285042814083238</c:v>
                </c:pt>
                <c:pt idx="7">
                  <c:v>-0.66818092428807874</c:v>
                </c:pt>
                <c:pt idx="8">
                  <c:v>4.27977375461061</c:v>
                </c:pt>
                <c:pt idx="9">
                  <c:v>4.9291328501012499</c:v>
                </c:pt>
                <c:pt idx="10">
                  <c:v>0.93982652212763895</c:v>
                </c:pt>
                <c:pt idx="11">
                  <c:v>-1.6206221377765364E-2</c:v>
                </c:pt>
                <c:pt idx="12">
                  <c:v>-0.61006624228879824</c:v>
                </c:pt>
                <c:pt idx="13">
                  <c:v>-1.3248082697773951</c:v>
                </c:pt>
                <c:pt idx="14">
                  <c:v>7.4407069200379372E-2</c:v>
                </c:pt>
                <c:pt idx="15">
                  <c:v>-0.61354086168702227</c:v>
                </c:pt>
                <c:pt idx="16">
                  <c:v>1.1874493331965266</c:v>
                </c:pt>
                <c:pt idx="17">
                  <c:v>-0.49414545016242134</c:v>
                </c:pt>
                <c:pt idx="18">
                  <c:v>-0.91326527090533871</c:v>
                </c:pt>
                <c:pt idx="19">
                  <c:v>-0.36318672874639191</c:v>
                </c:pt>
                <c:pt idx="20">
                  <c:v>0.41463119519267239</c:v>
                </c:pt>
                <c:pt idx="21">
                  <c:v>-0.29858566575893913</c:v>
                </c:pt>
                <c:pt idx="22">
                  <c:v>1.4319832397074206</c:v>
                </c:pt>
                <c:pt idx="23">
                  <c:v>-0.32545690532818061</c:v>
                </c:pt>
                <c:pt idx="24">
                  <c:v>0.1281495483388623</c:v>
                </c:pt>
                <c:pt idx="25">
                  <c:v>-0.27839366459798487</c:v>
                </c:pt>
                <c:pt idx="26">
                  <c:v>-0.33889252511280116</c:v>
                </c:pt>
                <c:pt idx="27">
                  <c:v>0.8834298640854592</c:v>
                </c:pt>
                <c:pt idx="28">
                  <c:v>-0.28261158152269039</c:v>
                </c:pt>
                <c:pt idx="29">
                  <c:v>0.47005312680423311</c:v>
                </c:pt>
                <c:pt idx="30">
                  <c:v>0.59858909822070339</c:v>
                </c:pt>
                <c:pt idx="31">
                  <c:v>-0.83202396912320153</c:v>
                </c:pt>
                <c:pt idx="32">
                  <c:v>-0.65048881609472953</c:v>
                </c:pt>
                <c:pt idx="33">
                  <c:v>-0.22293316150240125</c:v>
                </c:pt>
                <c:pt idx="34">
                  <c:v>0.4205285645904554</c:v>
                </c:pt>
                <c:pt idx="35">
                  <c:v>-0.19340774302946287</c:v>
                </c:pt>
                <c:pt idx="36">
                  <c:v>0.15845683582230446</c:v>
                </c:pt>
                <c:pt idx="37">
                  <c:v>5.3394627544897759E-2</c:v>
                </c:pt>
                <c:pt idx="38">
                  <c:v>-0.51113283231331197</c:v>
                </c:pt>
                <c:pt idx="39">
                  <c:v>-0.58756720558035436</c:v>
                </c:pt>
                <c:pt idx="40">
                  <c:v>-0.47082597295944983</c:v>
                </c:pt>
                <c:pt idx="41">
                  <c:v>0.40033656342950114</c:v>
                </c:pt>
                <c:pt idx="42">
                  <c:v>-9.0256416129271114E-2</c:v>
                </c:pt>
                <c:pt idx="43">
                  <c:v>-0.80261426510233225</c:v>
                </c:pt>
                <c:pt idx="44">
                  <c:v>-0.35404616885452239</c:v>
                </c:pt>
                <c:pt idx="45">
                  <c:v>4.5856377158060069E-2</c:v>
                </c:pt>
                <c:pt idx="46">
                  <c:v>0.26172387717456547</c:v>
                </c:pt>
                <c:pt idx="47">
                  <c:v>0.651511136864659</c:v>
                </c:pt>
                <c:pt idx="48">
                  <c:v>-1.3408209254976675</c:v>
                </c:pt>
                <c:pt idx="49">
                  <c:v>0.47766852015911654</c:v>
                </c:pt>
                <c:pt idx="50">
                  <c:v>-0.64373243471839647</c:v>
                </c:pt>
                <c:pt idx="51">
                  <c:v>-0.60936151624633983</c:v>
                </c:pt>
                <c:pt idx="52">
                  <c:v>-0.82104967082216296</c:v>
                </c:pt>
                <c:pt idx="53">
                  <c:v>-1.0646859938704831</c:v>
                </c:pt>
                <c:pt idx="54">
                  <c:v>-1.1764274405561774</c:v>
                </c:pt>
                <c:pt idx="55">
                  <c:v>-1.0034052643451621</c:v>
                </c:pt>
                <c:pt idx="56">
                  <c:v>-0.16165243197708029</c:v>
                </c:pt>
                <c:pt idx="57">
                  <c:v>-0.48172312829244252</c:v>
                </c:pt>
                <c:pt idx="58">
                  <c:v>-3.4795913033687495E-2</c:v>
                </c:pt>
                <c:pt idx="59">
                  <c:v>-0.32967482225288597</c:v>
                </c:pt>
                <c:pt idx="60">
                  <c:v>2.4882506986601303E-2</c:v>
                </c:pt>
                <c:pt idx="61">
                  <c:v>0.96994095219096699</c:v>
                </c:pt>
                <c:pt idx="62">
                  <c:v>0.73388145101350766</c:v>
                </c:pt>
                <c:pt idx="63">
                  <c:v>-0.1775879447293062</c:v>
                </c:pt>
                <c:pt idx="64">
                  <c:v>0.7187278072717862</c:v>
                </c:pt>
                <c:pt idx="65">
                  <c:v>-0.38341730139136904</c:v>
                </c:pt>
                <c:pt idx="66">
                  <c:v>-0.82612659972541869</c:v>
                </c:pt>
                <c:pt idx="67">
                  <c:v>0.30542821295860584</c:v>
                </c:pt>
                <c:pt idx="68">
                  <c:v>-0.91935549772323666</c:v>
                </c:pt>
                <c:pt idx="69">
                  <c:v>-1.2814125058655386</c:v>
                </c:pt>
                <c:pt idx="70">
                  <c:v>-0.93118880800282589</c:v>
                </c:pt>
                <c:pt idx="71">
                  <c:v>-0.74215397607153866</c:v>
                </c:pt>
                <c:pt idx="72">
                  <c:v>-0.82101109933813998</c:v>
                </c:pt>
                <c:pt idx="73">
                  <c:v>3.9338451166406481</c:v>
                </c:pt>
                <c:pt idx="74">
                  <c:v>0.41970812409592806</c:v>
                </c:pt>
                <c:pt idx="75">
                  <c:v>-0.27163728322165132</c:v>
                </c:pt>
                <c:pt idx="76">
                  <c:v>-0.6235790050414648</c:v>
                </c:pt>
                <c:pt idx="77">
                  <c:v>-0.43962110201343396</c:v>
                </c:pt>
                <c:pt idx="78">
                  <c:v>0.46251487641739508</c:v>
                </c:pt>
                <c:pt idx="79">
                  <c:v>-0.17088057416704094</c:v>
                </c:pt>
                <c:pt idx="80">
                  <c:v>-0.25312473453377488</c:v>
                </c:pt>
                <c:pt idx="81">
                  <c:v>-0.17672893275075602</c:v>
                </c:pt>
                <c:pt idx="82">
                  <c:v>8.28043315657669E-2</c:v>
                </c:pt>
                <c:pt idx="83">
                  <c:v>-0.24562505563096002</c:v>
                </c:pt>
                <c:pt idx="84">
                  <c:v>0.16771311016624318</c:v>
                </c:pt>
                <c:pt idx="85">
                  <c:v>-0.59760534893479689</c:v>
                </c:pt>
                <c:pt idx="86">
                  <c:v>0.51879582000750601</c:v>
                </c:pt>
                <c:pt idx="87">
                  <c:v>-0.16169100346110349</c:v>
                </c:pt>
                <c:pt idx="88">
                  <c:v>-0.14825538367648308</c:v>
                </c:pt>
                <c:pt idx="89">
                  <c:v>0.56507719172719728</c:v>
                </c:pt>
                <c:pt idx="90">
                  <c:v>0.19544336171403448</c:v>
                </c:pt>
                <c:pt idx="91">
                  <c:v>0.85737906501074501</c:v>
                </c:pt>
                <c:pt idx="92">
                  <c:v>0.29371061713108548</c:v>
                </c:pt>
                <c:pt idx="93">
                  <c:v>0.48942468747065976</c:v>
                </c:pt>
                <c:pt idx="94">
                  <c:v>-0.55725991809691156</c:v>
                </c:pt>
                <c:pt idx="95">
                  <c:v>-0.29081598646796369</c:v>
                </c:pt>
                <c:pt idx="96">
                  <c:v>9.9632526699159202E-2</c:v>
                </c:pt>
                <c:pt idx="97">
                  <c:v>0.75653477365804322</c:v>
                </c:pt>
                <c:pt idx="98">
                  <c:v>-0.49347929560398573</c:v>
                </c:pt>
                <c:pt idx="99">
                  <c:v>-0.82362670675781391</c:v>
                </c:pt>
                <c:pt idx="100">
                  <c:v>-0.49347929560398573</c:v>
                </c:pt>
                <c:pt idx="101">
                  <c:v>-0.62701505295566606</c:v>
                </c:pt>
                <c:pt idx="102">
                  <c:v>-1.0621861009028781</c:v>
                </c:pt>
                <c:pt idx="103">
                  <c:v>-2.389875770069445E-2</c:v>
                </c:pt>
                <c:pt idx="104">
                  <c:v>-0.14821681219245955</c:v>
                </c:pt>
                <c:pt idx="105">
                  <c:v>-0.43469845904626997</c:v>
                </c:pt>
                <c:pt idx="106">
                  <c:v>9.6902917608573738E-3</c:v>
                </c:pt>
                <c:pt idx="107">
                  <c:v>-0.10876896481714754</c:v>
                </c:pt>
                <c:pt idx="108">
                  <c:v>-0.63877122026720923</c:v>
                </c:pt>
                <c:pt idx="109">
                  <c:v>1.4663541581794766</c:v>
                </c:pt>
                <c:pt idx="110">
                  <c:v>-0.40607062403590477</c:v>
                </c:pt>
                <c:pt idx="111">
                  <c:v>3.1279883692816082</c:v>
                </c:pt>
                <c:pt idx="112">
                  <c:v>0.12397020289817962</c:v>
                </c:pt>
                <c:pt idx="113">
                  <c:v>-0.22043326853479606</c:v>
                </c:pt>
                <c:pt idx="114">
                  <c:v>-4.4911199356176067E-2</c:v>
                </c:pt>
                <c:pt idx="115">
                  <c:v>-0.49008181917380755</c:v>
                </c:pt>
                <c:pt idx="116">
                  <c:v>-0.18598520709469407</c:v>
                </c:pt>
                <c:pt idx="117">
                  <c:v>-0.45899266267986089</c:v>
                </c:pt>
                <c:pt idx="118">
                  <c:v>-0.65478387598748067</c:v>
                </c:pt>
                <c:pt idx="119">
                  <c:v>-1.0326992539139628</c:v>
                </c:pt>
                <c:pt idx="120">
                  <c:v>0.50875767665306348</c:v>
                </c:pt>
                <c:pt idx="121">
                  <c:v>-0.60756634932119336</c:v>
                </c:pt>
                <c:pt idx="122">
                  <c:v>0.70115141353050559</c:v>
                </c:pt>
                <c:pt idx="123">
                  <c:v>3.9420495215859215</c:v>
                </c:pt>
                <c:pt idx="124">
                  <c:v>-0.57327257381718311</c:v>
                </c:pt>
                <c:pt idx="125">
                  <c:v>-0.54890122721554646</c:v>
                </c:pt>
                <c:pt idx="126">
                  <c:v>-0.3035468802101256</c:v>
                </c:pt>
                <c:pt idx="127">
                  <c:v>0.42470791003113806</c:v>
                </c:pt>
                <c:pt idx="128">
                  <c:v>1.048054777931086</c:v>
                </c:pt>
                <c:pt idx="129">
                  <c:v>0.64147299351021647</c:v>
                </c:pt>
                <c:pt idx="130">
                  <c:v>-9.3615321075426458E-2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21-4900-974B-8EAA76F0478F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99.1</c:v>
              </c:pt>
            </c:numLit>
          </c:xVal>
          <c:yVal>
            <c:numLit>
              <c:formatCode>General</c:formatCode>
              <c:ptCount val="1"/>
              <c:pt idx="0">
                <c:v>-0.45985167465841076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621-4900-974B-8EAA76F0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497152"/>
        <c:axId val="276499456"/>
      </c:scatterChart>
      <c:valAx>
        <c:axId val="276497152"/>
        <c:scaling>
          <c:orientation val="maxMin"/>
          <c:max val="25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Cost of Living 1999 - US Avg = 100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6499456"/>
        <c:crosses val="autoZero"/>
        <c:crossBetween val="midCat"/>
      </c:valAx>
      <c:valAx>
        <c:axId val="276499456"/>
        <c:scaling>
          <c:orientation val="minMax"/>
          <c:max val="5"/>
          <c:min val="-2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649715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Unemployment Rate (July 1999)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1'!$D$94:$D$224</c:f>
              <c:numCache>
                <c:formatCode>0.000</c:formatCode>
                <c:ptCount val="131"/>
                <c:pt idx="0">
                  <c:v>3.6000000000000004E-2</c:v>
                </c:pt>
                <c:pt idx="1">
                  <c:v>2.7000000000000003E-2</c:v>
                </c:pt>
                <c:pt idx="2">
                  <c:v>2.7000000000000003E-2</c:v>
                </c:pt>
                <c:pt idx="3">
                  <c:v>3.6000000000000004E-2</c:v>
                </c:pt>
                <c:pt idx="4">
                  <c:v>2.8999999999999998E-2</c:v>
                </c:pt>
                <c:pt idx="5">
                  <c:v>3.2000000000000001E-2</c:v>
                </c:pt>
                <c:pt idx="6">
                  <c:v>2.6000000000000002E-2</c:v>
                </c:pt>
                <c:pt idx="7">
                  <c:v>2.3E-2</c:v>
                </c:pt>
                <c:pt idx="8">
                  <c:v>0.125</c:v>
                </c:pt>
                <c:pt idx="9">
                  <c:v>0.13800000000000001</c:v>
                </c:pt>
                <c:pt idx="10">
                  <c:v>6.3E-2</c:v>
                </c:pt>
                <c:pt idx="11">
                  <c:v>4.0999999999999995E-2</c:v>
                </c:pt>
                <c:pt idx="12">
                  <c:v>3.2000000000000001E-2</c:v>
                </c:pt>
                <c:pt idx="13">
                  <c:v>2.5000000000000001E-2</c:v>
                </c:pt>
                <c:pt idx="14">
                  <c:v>3.7000000000000005E-2</c:v>
                </c:pt>
                <c:pt idx="15">
                  <c:v>2.5999999999999999E-2</c:v>
                </c:pt>
                <c:pt idx="16">
                  <c:v>5.7999999999999996E-2</c:v>
                </c:pt>
                <c:pt idx="17">
                  <c:v>3.4000000000000002E-2</c:v>
                </c:pt>
                <c:pt idx="18">
                  <c:v>2.8999999999999998E-2</c:v>
                </c:pt>
                <c:pt idx="19">
                  <c:v>3.2000000000000001E-2</c:v>
                </c:pt>
                <c:pt idx="20">
                  <c:v>4.4000000000000004E-2</c:v>
                </c:pt>
                <c:pt idx="21">
                  <c:v>2.8999999999999998E-2</c:v>
                </c:pt>
                <c:pt idx="22">
                  <c:v>6.7000000000000004E-2</c:v>
                </c:pt>
                <c:pt idx="23">
                  <c:v>2.8999999999999998E-2</c:v>
                </c:pt>
                <c:pt idx="24">
                  <c:v>3.7000000000000005E-2</c:v>
                </c:pt>
                <c:pt idx="25">
                  <c:v>3.1E-2</c:v>
                </c:pt>
                <c:pt idx="26">
                  <c:v>2.9000000000000001E-2</c:v>
                </c:pt>
                <c:pt idx="27">
                  <c:v>5.6000000000000001E-2</c:v>
                </c:pt>
                <c:pt idx="28">
                  <c:v>0.03</c:v>
                </c:pt>
                <c:pt idx="29">
                  <c:v>4.4000000000000004E-2</c:v>
                </c:pt>
                <c:pt idx="30">
                  <c:v>4.7E-2</c:v>
                </c:pt>
                <c:pt idx="31">
                  <c:v>1.8000000000000002E-2</c:v>
                </c:pt>
                <c:pt idx="32">
                  <c:v>2.5999999999999999E-2</c:v>
                </c:pt>
                <c:pt idx="33">
                  <c:v>3.3000000000000002E-2</c:v>
                </c:pt>
                <c:pt idx="34">
                  <c:v>4.4999999999999998E-2</c:v>
                </c:pt>
                <c:pt idx="35">
                  <c:v>0.04</c:v>
                </c:pt>
                <c:pt idx="36">
                  <c:v>4.0999999999999995E-2</c:v>
                </c:pt>
                <c:pt idx="37">
                  <c:v>3.6000000000000004E-2</c:v>
                </c:pt>
                <c:pt idx="38">
                  <c:v>2.4E-2</c:v>
                </c:pt>
                <c:pt idx="39">
                  <c:v>2.3E-2</c:v>
                </c:pt>
                <c:pt idx="40">
                  <c:v>2.4E-2</c:v>
                </c:pt>
                <c:pt idx="41">
                  <c:v>4.2999999999999997E-2</c:v>
                </c:pt>
                <c:pt idx="42">
                  <c:v>3.3000000000000002E-2</c:v>
                </c:pt>
                <c:pt idx="43">
                  <c:v>1.9E-2</c:v>
                </c:pt>
                <c:pt idx="44">
                  <c:v>2.7000000000000003E-2</c:v>
                </c:pt>
                <c:pt idx="45">
                  <c:v>3.7000000000000005E-2</c:v>
                </c:pt>
                <c:pt idx="46">
                  <c:v>0.04</c:v>
                </c:pt>
                <c:pt idx="47">
                  <c:v>4.8000000000000001E-2</c:v>
                </c:pt>
                <c:pt idx="48">
                  <c:v>2.1999999999999999E-2</c:v>
                </c:pt>
                <c:pt idx="49">
                  <c:v>4.7E-2</c:v>
                </c:pt>
                <c:pt idx="50">
                  <c:v>2.7999999999999997E-2</c:v>
                </c:pt>
                <c:pt idx="51">
                  <c:v>2.5000000000000001E-2</c:v>
                </c:pt>
                <c:pt idx="52">
                  <c:v>2.1000000000000001E-2</c:v>
                </c:pt>
                <c:pt idx="53">
                  <c:v>1.4999999999999999E-2</c:v>
                </c:pt>
                <c:pt idx="54">
                  <c:v>1.2E-2</c:v>
                </c:pt>
                <c:pt idx="55">
                  <c:v>1.3999999999999999E-2</c:v>
                </c:pt>
                <c:pt idx="56">
                  <c:v>3.2000000000000001E-2</c:v>
                </c:pt>
                <c:pt idx="57">
                  <c:v>2.5000000000000001E-2</c:v>
                </c:pt>
                <c:pt idx="58">
                  <c:v>3.5000000000000003E-2</c:v>
                </c:pt>
                <c:pt idx="59">
                  <c:v>2.8000000000000001E-2</c:v>
                </c:pt>
                <c:pt idx="60">
                  <c:v>3.7999999999999999E-2</c:v>
                </c:pt>
                <c:pt idx="61">
                  <c:v>5.7000000000000002E-2</c:v>
                </c:pt>
                <c:pt idx="62">
                  <c:v>5.2000000000000005E-2</c:v>
                </c:pt>
                <c:pt idx="63">
                  <c:v>3.3000000000000002E-2</c:v>
                </c:pt>
                <c:pt idx="64">
                  <c:v>0.05</c:v>
                </c:pt>
                <c:pt idx="65">
                  <c:v>2.7999999999999997E-2</c:v>
                </c:pt>
                <c:pt idx="66">
                  <c:v>1.9E-2</c:v>
                </c:pt>
                <c:pt idx="67">
                  <c:v>4.2000000000000003E-2</c:v>
                </c:pt>
                <c:pt idx="68">
                  <c:v>1.8000000000000002E-2</c:v>
                </c:pt>
                <c:pt idx="69">
                  <c:v>1.1000000000000001E-2</c:v>
                </c:pt>
                <c:pt idx="70">
                  <c:v>1.3999999999999999E-2</c:v>
                </c:pt>
                <c:pt idx="71">
                  <c:v>1.9E-2</c:v>
                </c:pt>
                <c:pt idx="72">
                  <c:v>2.3E-2</c:v>
                </c:pt>
                <c:pt idx="73">
                  <c:v>0.127</c:v>
                </c:pt>
                <c:pt idx="74">
                  <c:v>4.5999999999999999E-2</c:v>
                </c:pt>
                <c:pt idx="75">
                  <c:v>3.3000000000000002E-2</c:v>
                </c:pt>
                <c:pt idx="76">
                  <c:v>2.8000000000000001E-2</c:v>
                </c:pt>
                <c:pt idx="77">
                  <c:v>3.1E-2</c:v>
                </c:pt>
                <c:pt idx="78">
                  <c:v>4.4999999999999998E-2</c:v>
                </c:pt>
                <c:pt idx="79">
                  <c:v>7.5999999999999998E-2</c:v>
                </c:pt>
                <c:pt idx="80">
                  <c:v>3.5000000000000003E-2</c:v>
                </c:pt>
                <c:pt idx="81">
                  <c:v>3.4000000000000002E-2</c:v>
                </c:pt>
                <c:pt idx="82">
                  <c:v>3.6999999999999998E-2</c:v>
                </c:pt>
                <c:pt idx="83">
                  <c:v>3.2000000000000001E-2</c:v>
                </c:pt>
                <c:pt idx="84">
                  <c:v>4.2000000000000003E-2</c:v>
                </c:pt>
                <c:pt idx="85">
                  <c:v>2.5000000000000001E-2</c:v>
                </c:pt>
                <c:pt idx="86">
                  <c:v>4.5999999999999999E-2</c:v>
                </c:pt>
                <c:pt idx="87">
                  <c:v>0.03</c:v>
                </c:pt>
                <c:pt idx="88">
                  <c:v>0.03</c:v>
                </c:pt>
                <c:pt idx="89">
                  <c:v>5.0999999999999997E-2</c:v>
                </c:pt>
                <c:pt idx="90">
                  <c:v>4.2999999999999997E-2</c:v>
                </c:pt>
                <c:pt idx="91">
                  <c:v>5.5E-2</c:v>
                </c:pt>
                <c:pt idx="92">
                  <c:v>4.4000000000000004E-2</c:v>
                </c:pt>
                <c:pt idx="93">
                  <c:v>4.7E-2</c:v>
                </c:pt>
                <c:pt idx="94">
                  <c:v>2.7000000000000003E-2</c:v>
                </c:pt>
                <c:pt idx="95">
                  <c:v>0.04</c:v>
                </c:pt>
                <c:pt idx="96">
                  <c:v>4.3099999999999999E-2</c:v>
                </c:pt>
                <c:pt idx="97">
                  <c:v>5.0999999999999997E-2</c:v>
                </c:pt>
                <c:pt idx="98">
                  <c:v>2.5000000000000001E-2</c:v>
                </c:pt>
                <c:pt idx="99">
                  <c:v>1.7999999999999999E-2</c:v>
                </c:pt>
                <c:pt idx="100">
                  <c:v>2.5000000000000001E-2</c:v>
                </c:pt>
                <c:pt idx="101">
                  <c:v>2.4E-2</c:v>
                </c:pt>
                <c:pt idx="102">
                  <c:v>1.3999999999999999E-2</c:v>
                </c:pt>
                <c:pt idx="103">
                  <c:v>3.4000000000000002E-2</c:v>
                </c:pt>
                <c:pt idx="104">
                  <c:v>3.2000000000000001E-2</c:v>
                </c:pt>
                <c:pt idx="105">
                  <c:v>2.5000000000000001E-2</c:v>
                </c:pt>
                <c:pt idx="106">
                  <c:v>3.4000000000000002E-2</c:v>
                </c:pt>
                <c:pt idx="107">
                  <c:v>3.1E-2</c:v>
                </c:pt>
                <c:pt idx="108">
                  <c:v>2.4E-2</c:v>
                </c:pt>
                <c:pt idx="109">
                  <c:v>6.4000000000000001E-2</c:v>
                </c:pt>
                <c:pt idx="110">
                  <c:v>2.9000000000000001E-2</c:v>
                </c:pt>
                <c:pt idx="111">
                  <c:v>9.8000000000000004E-2</c:v>
                </c:pt>
                <c:pt idx="112">
                  <c:v>3.7999999999999999E-2</c:v>
                </c:pt>
                <c:pt idx="113">
                  <c:v>3.2000000000000001E-2</c:v>
                </c:pt>
                <c:pt idx="114">
                  <c:v>3.3000000000000002E-2</c:v>
                </c:pt>
                <c:pt idx="115">
                  <c:v>2.7000000000000003E-2</c:v>
                </c:pt>
                <c:pt idx="116">
                  <c:v>3.3000000000000002E-2</c:v>
                </c:pt>
                <c:pt idx="117">
                  <c:v>2.7999999999999997E-2</c:v>
                </c:pt>
                <c:pt idx="118">
                  <c:v>2.1000000000000001E-2</c:v>
                </c:pt>
                <c:pt idx="119">
                  <c:v>1.9E-2</c:v>
                </c:pt>
                <c:pt idx="120">
                  <c:v>4.8000000000000001E-2</c:v>
                </c:pt>
                <c:pt idx="121">
                  <c:v>3.1E-2</c:v>
                </c:pt>
                <c:pt idx="122">
                  <c:v>5.2999999999999999E-2</c:v>
                </c:pt>
                <c:pt idx="123">
                  <c:v>0.11700000000000001</c:v>
                </c:pt>
                <c:pt idx="124">
                  <c:v>2.4E-2</c:v>
                </c:pt>
                <c:pt idx="125">
                  <c:v>2.5000000000000001E-2</c:v>
                </c:pt>
                <c:pt idx="126">
                  <c:v>3.3000000000000002E-2</c:v>
                </c:pt>
                <c:pt idx="127">
                  <c:v>4.4000000000000004E-2</c:v>
                </c:pt>
                <c:pt idx="128">
                  <c:v>5.7999999999999996E-2</c:v>
                </c:pt>
                <c:pt idx="129">
                  <c:v>0.05</c:v>
                </c:pt>
                <c:pt idx="130">
                  <c:v>3.3000000000000002E-2</c:v>
                </c:pt>
              </c:numCache>
            </c:numRef>
          </c:xVal>
          <c:yVal>
            <c:numRef>
              <c:f>'Linear Regression Output 1'!$G$94:$G$224</c:f>
              <c:numCache>
                <c:formatCode>0.000</c:formatCode>
                <c:ptCount val="131"/>
                <c:pt idx="0">
                  <c:v>-0.46387673416300168</c:v>
                </c:pt>
                <c:pt idx="1">
                  <c:v>-0.45985167465841076</c:v>
                </c:pt>
                <c:pt idx="2">
                  <c:v>-0.39435302820838458</c:v>
                </c:pt>
                <c:pt idx="3">
                  <c:v>0.10881655915645853</c:v>
                </c:pt>
                <c:pt idx="4">
                  <c:v>-0.24820209156661124</c:v>
                </c:pt>
                <c:pt idx="5">
                  <c:v>-1.2181161873174761E-2</c:v>
                </c:pt>
                <c:pt idx="6">
                  <c:v>-0.52285042814083238</c:v>
                </c:pt>
                <c:pt idx="7">
                  <c:v>-0.66818092428807874</c:v>
                </c:pt>
                <c:pt idx="8">
                  <c:v>4.27977375461061</c:v>
                </c:pt>
                <c:pt idx="9">
                  <c:v>4.9291328501012499</c:v>
                </c:pt>
                <c:pt idx="10">
                  <c:v>0.93982652212763895</c:v>
                </c:pt>
                <c:pt idx="11">
                  <c:v>-1.6206221377765364E-2</c:v>
                </c:pt>
                <c:pt idx="12">
                  <c:v>-0.61006624228879824</c:v>
                </c:pt>
                <c:pt idx="13">
                  <c:v>-1.3248082697773951</c:v>
                </c:pt>
                <c:pt idx="14">
                  <c:v>7.4407069200379372E-2</c:v>
                </c:pt>
                <c:pt idx="15">
                  <c:v>-0.61354086168702227</c:v>
                </c:pt>
                <c:pt idx="16">
                  <c:v>1.1874493331965266</c:v>
                </c:pt>
                <c:pt idx="17">
                  <c:v>-0.49414545016242134</c:v>
                </c:pt>
                <c:pt idx="18">
                  <c:v>-0.91326527090533871</c:v>
                </c:pt>
                <c:pt idx="19">
                  <c:v>-0.36318672874639191</c:v>
                </c:pt>
                <c:pt idx="20">
                  <c:v>0.41463119519267239</c:v>
                </c:pt>
                <c:pt idx="21">
                  <c:v>-0.29858566575893913</c:v>
                </c:pt>
                <c:pt idx="22">
                  <c:v>1.4319832397074206</c:v>
                </c:pt>
                <c:pt idx="23">
                  <c:v>-0.32545690532818061</c:v>
                </c:pt>
                <c:pt idx="24">
                  <c:v>0.1281495483388623</c:v>
                </c:pt>
                <c:pt idx="25">
                  <c:v>-0.27839366459798487</c:v>
                </c:pt>
                <c:pt idx="26">
                  <c:v>-0.33889252511280116</c:v>
                </c:pt>
                <c:pt idx="27">
                  <c:v>0.8834298640854592</c:v>
                </c:pt>
                <c:pt idx="28">
                  <c:v>-0.28261158152269039</c:v>
                </c:pt>
                <c:pt idx="29">
                  <c:v>0.47005312680423311</c:v>
                </c:pt>
                <c:pt idx="30">
                  <c:v>0.59858909822070339</c:v>
                </c:pt>
                <c:pt idx="31">
                  <c:v>-0.83202396912320153</c:v>
                </c:pt>
                <c:pt idx="32">
                  <c:v>-0.65048881609472953</c:v>
                </c:pt>
                <c:pt idx="33">
                  <c:v>-0.22293316150240125</c:v>
                </c:pt>
                <c:pt idx="34">
                  <c:v>0.4205285645904554</c:v>
                </c:pt>
                <c:pt idx="35">
                  <c:v>-0.19340774302946287</c:v>
                </c:pt>
                <c:pt idx="36">
                  <c:v>0.15845683582230446</c:v>
                </c:pt>
                <c:pt idx="37">
                  <c:v>5.3394627544897759E-2</c:v>
                </c:pt>
                <c:pt idx="38">
                  <c:v>-0.51113283231331197</c:v>
                </c:pt>
                <c:pt idx="39">
                  <c:v>-0.58756720558035436</c:v>
                </c:pt>
                <c:pt idx="40">
                  <c:v>-0.47082597295944983</c:v>
                </c:pt>
                <c:pt idx="41">
                  <c:v>0.40033656342950114</c:v>
                </c:pt>
                <c:pt idx="42">
                  <c:v>-9.0256416129271114E-2</c:v>
                </c:pt>
                <c:pt idx="43">
                  <c:v>-0.80261426510233225</c:v>
                </c:pt>
                <c:pt idx="44">
                  <c:v>-0.35404616885452239</c:v>
                </c:pt>
                <c:pt idx="45">
                  <c:v>4.5856377158060069E-2</c:v>
                </c:pt>
                <c:pt idx="46">
                  <c:v>0.26172387717456547</c:v>
                </c:pt>
                <c:pt idx="47">
                  <c:v>0.651511136864659</c:v>
                </c:pt>
                <c:pt idx="48">
                  <c:v>-1.3408209254976675</c:v>
                </c:pt>
                <c:pt idx="49">
                  <c:v>0.47766852015911654</c:v>
                </c:pt>
                <c:pt idx="50">
                  <c:v>-0.64373243471839647</c:v>
                </c:pt>
                <c:pt idx="51">
                  <c:v>-0.60936151624633983</c:v>
                </c:pt>
                <c:pt idx="52">
                  <c:v>-0.82104967082216296</c:v>
                </c:pt>
                <c:pt idx="53">
                  <c:v>-1.0646859938704831</c:v>
                </c:pt>
                <c:pt idx="54">
                  <c:v>-1.1764274405561774</c:v>
                </c:pt>
                <c:pt idx="55">
                  <c:v>-1.0034052643451621</c:v>
                </c:pt>
                <c:pt idx="56">
                  <c:v>-0.16165243197708029</c:v>
                </c:pt>
                <c:pt idx="57">
                  <c:v>-0.48172312829244252</c:v>
                </c:pt>
                <c:pt idx="58">
                  <c:v>-3.4795913033687495E-2</c:v>
                </c:pt>
                <c:pt idx="59">
                  <c:v>-0.32967482225288597</c:v>
                </c:pt>
                <c:pt idx="60">
                  <c:v>2.4882506986601303E-2</c:v>
                </c:pt>
                <c:pt idx="61">
                  <c:v>0.96994095219096699</c:v>
                </c:pt>
                <c:pt idx="62">
                  <c:v>0.73388145101350766</c:v>
                </c:pt>
                <c:pt idx="63">
                  <c:v>-0.1775879447293062</c:v>
                </c:pt>
                <c:pt idx="64">
                  <c:v>0.7187278072717862</c:v>
                </c:pt>
                <c:pt idx="65">
                  <c:v>-0.38341730139136904</c:v>
                </c:pt>
                <c:pt idx="66">
                  <c:v>-0.82612659972541869</c:v>
                </c:pt>
                <c:pt idx="67">
                  <c:v>0.30542821295860584</c:v>
                </c:pt>
                <c:pt idx="68">
                  <c:v>-0.91935549772323666</c:v>
                </c:pt>
                <c:pt idx="69">
                  <c:v>-1.2814125058655386</c:v>
                </c:pt>
                <c:pt idx="70">
                  <c:v>-0.93118880800282589</c:v>
                </c:pt>
                <c:pt idx="71">
                  <c:v>-0.74215397607153866</c:v>
                </c:pt>
                <c:pt idx="72">
                  <c:v>-0.82101109933813998</c:v>
                </c:pt>
                <c:pt idx="73">
                  <c:v>3.9338451166406481</c:v>
                </c:pt>
                <c:pt idx="74">
                  <c:v>0.41970812409592806</c:v>
                </c:pt>
                <c:pt idx="75">
                  <c:v>-0.27163728322165132</c:v>
                </c:pt>
                <c:pt idx="76">
                  <c:v>-0.6235790050414648</c:v>
                </c:pt>
                <c:pt idx="77">
                  <c:v>-0.43962110201343396</c:v>
                </c:pt>
                <c:pt idx="78">
                  <c:v>0.46251487641739508</c:v>
                </c:pt>
                <c:pt idx="79">
                  <c:v>-0.17088057416704094</c:v>
                </c:pt>
                <c:pt idx="80">
                  <c:v>-0.25312473453377488</c:v>
                </c:pt>
                <c:pt idx="81">
                  <c:v>-0.17672893275075602</c:v>
                </c:pt>
                <c:pt idx="82">
                  <c:v>8.28043315657669E-2</c:v>
                </c:pt>
                <c:pt idx="83">
                  <c:v>-0.24562505563096002</c:v>
                </c:pt>
                <c:pt idx="84">
                  <c:v>0.16771311016624318</c:v>
                </c:pt>
                <c:pt idx="85">
                  <c:v>-0.59760534893479689</c:v>
                </c:pt>
                <c:pt idx="86">
                  <c:v>0.51879582000750601</c:v>
                </c:pt>
                <c:pt idx="87">
                  <c:v>-0.16169100346110349</c:v>
                </c:pt>
                <c:pt idx="88">
                  <c:v>-0.14825538367648308</c:v>
                </c:pt>
                <c:pt idx="89">
                  <c:v>0.56507719172719728</c:v>
                </c:pt>
                <c:pt idx="90">
                  <c:v>0.19544336171403448</c:v>
                </c:pt>
                <c:pt idx="91">
                  <c:v>0.85737906501074501</c:v>
                </c:pt>
                <c:pt idx="92">
                  <c:v>0.29371061713108548</c:v>
                </c:pt>
                <c:pt idx="93">
                  <c:v>0.48942468747065976</c:v>
                </c:pt>
                <c:pt idx="94">
                  <c:v>-0.55725991809691156</c:v>
                </c:pt>
                <c:pt idx="95">
                  <c:v>-0.29081598646796369</c:v>
                </c:pt>
                <c:pt idx="96">
                  <c:v>9.9632526699159202E-2</c:v>
                </c:pt>
                <c:pt idx="97">
                  <c:v>0.75653477365804322</c:v>
                </c:pt>
                <c:pt idx="98">
                  <c:v>-0.49347929560398573</c:v>
                </c:pt>
                <c:pt idx="99">
                  <c:v>-0.82362670675781391</c:v>
                </c:pt>
                <c:pt idx="100">
                  <c:v>-0.49347929560398573</c:v>
                </c:pt>
                <c:pt idx="101">
                  <c:v>-0.62701505295566606</c:v>
                </c:pt>
                <c:pt idx="102">
                  <c:v>-1.0621861009028781</c:v>
                </c:pt>
                <c:pt idx="103">
                  <c:v>-2.389875770069445E-2</c:v>
                </c:pt>
                <c:pt idx="104">
                  <c:v>-0.14821681219245955</c:v>
                </c:pt>
                <c:pt idx="105">
                  <c:v>-0.43469845904626997</c:v>
                </c:pt>
                <c:pt idx="106">
                  <c:v>9.6902917608573738E-3</c:v>
                </c:pt>
                <c:pt idx="107">
                  <c:v>-0.10876896481714754</c:v>
                </c:pt>
                <c:pt idx="108">
                  <c:v>-0.63877122026720923</c:v>
                </c:pt>
                <c:pt idx="109">
                  <c:v>1.4663541581794766</c:v>
                </c:pt>
                <c:pt idx="110">
                  <c:v>-0.40607062403590477</c:v>
                </c:pt>
                <c:pt idx="111">
                  <c:v>3.1279883692816082</c:v>
                </c:pt>
                <c:pt idx="112">
                  <c:v>0.12397020289817962</c:v>
                </c:pt>
                <c:pt idx="113">
                  <c:v>-0.22043326853479606</c:v>
                </c:pt>
                <c:pt idx="114">
                  <c:v>-4.4911199356176067E-2</c:v>
                </c:pt>
                <c:pt idx="115">
                  <c:v>-0.49008181917380755</c:v>
                </c:pt>
                <c:pt idx="116">
                  <c:v>-0.18598520709469407</c:v>
                </c:pt>
                <c:pt idx="117">
                  <c:v>-0.45899266267986089</c:v>
                </c:pt>
                <c:pt idx="118">
                  <c:v>-0.65478387598748067</c:v>
                </c:pt>
                <c:pt idx="119">
                  <c:v>-1.0326992539139628</c:v>
                </c:pt>
                <c:pt idx="120">
                  <c:v>0.50875767665306348</c:v>
                </c:pt>
                <c:pt idx="121">
                  <c:v>-0.60756634932119336</c:v>
                </c:pt>
                <c:pt idx="122">
                  <c:v>0.70115141353050559</c:v>
                </c:pt>
                <c:pt idx="123">
                  <c:v>3.9420495215859215</c:v>
                </c:pt>
                <c:pt idx="124">
                  <c:v>-0.57327257381718311</c:v>
                </c:pt>
                <c:pt idx="125">
                  <c:v>-0.54890122721554646</c:v>
                </c:pt>
                <c:pt idx="126">
                  <c:v>-0.3035468802101256</c:v>
                </c:pt>
                <c:pt idx="127">
                  <c:v>0.42470791003113806</c:v>
                </c:pt>
                <c:pt idx="128">
                  <c:v>1.048054777931086</c:v>
                </c:pt>
                <c:pt idx="129">
                  <c:v>0.64147299351021647</c:v>
                </c:pt>
                <c:pt idx="130">
                  <c:v>-9.3615321075426458E-2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23-4330-82A0-1F43DC76C39D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2.7000000000000003E-2</c:v>
              </c:pt>
            </c:numLit>
          </c:xVal>
          <c:yVal>
            <c:numLit>
              <c:formatCode>General</c:formatCode>
              <c:ptCount val="1"/>
              <c:pt idx="0">
                <c:v>-0.45985167465841076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523-4330-82A0-1F43DC76C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520320"/>
        <c:axId val="276551552"/>
      </c:scatterChart>
      <c:valAx>
        <c:axId val="276520320"/>
        <c:scaling>
          <c:orientation val="maxMin"/>
          <c:max val="0.1400000000000000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Unemployment Rate (July 1999)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6551552"/>
        <c:crosses val="autoZero"/>
        <c:crossBetween val="midCat"/>
      </c:valAx>
      <c:valAx>
        <c:axId val="276551552"/>
        <c:scaling>
          <c:orientation val="minMax"/>
          <c:max val="5"/>
          <c:min val="-2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65203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Pred(Unemployment Rate (July 1999))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1'!$E$94:$E$224</c:f>
              <c:numCache>
                <c:formatCode>0.000</c:formatCode>
                <c:ptCount val="131"/>
                <c:pt idx="0">
                  <c:v>4.535931002650842E-2</c:v>
                </c:pt>
                <c:pt idx="1">
                  <c:v>3.6278099271572446E-2</c:v>
                </c:pt>
                <c:pt idx="2">
                  <c:v>3.4956579796040721E-2</c:v>
                </c:pt>
                <c:pt idx="3">
                  <c:v>3.3804485894295112E-2</c:v>
                </c:pt>
                <c:pt idx="4">
                  <c:v>3.4007796582838458E-2</c:v>
                </c:pt>
                <c:pt idx="5">
                  <c:v>3.2245770615462827E-2</c:v>
                </c:pt>
                <c:pt idx="6">
                  <c:v>3.6549180189630243E-2</c:v>
                </c:pt>
                <c:pt idx="7">
                  <c:v>3.6481409960115792E-2</c:v>
                </c:pt>
                <c:pt idx="8">
                  <c:v>3.8650057304578107E-2</c:v>
                </c:pt>
                <c:pt idx="9">
                  <c:v>3.8548401960306442E-2</c:v>
                </c:pt>
                <c:pt idx="10">
                  <c:v>4.4037790550976688E-2</c:v>
                </c:pt>
                <c:pt idx="11">
                  <c:v>4.1326981370398787E-2</c:v>
                </c:pt>
                <c:pt idx="12">
                  <c:v>4.4308871469034478E-2</c:v>
                </c:pt>
                <c:pt idx="13">
                  <c:v>5.1729711600866479E-2</c:v>
                </c:pt>
                <c:pt idx="14">
                  <c:v>3.54987416321563E-2</c:v>
                </c:pt>
                <c:pt idx="15">
                  <c:v>3.8378976386520318E-2</c:v>
                </c:pt>
                <c:pt idx="16">
                  <c:v>3.404168169759568E-2</c:v>
                </c:pt>
                <c:pt idx="17">
                  <c:v>4.3970020321462244E-2</c:v>
                </c:pt>
                <c:pt idx="18">
                  <c:v>4.7426302026699063E-2</c:v>
                </c:pt>
                <c:pt idx="19">
                  <c:v>3.9327759599722588E-2</c:v>
                </c:pt>
                <c:pt idx="20">
                  <c:v>3.5634282091185202E-2</c:v>
                </c:pt>
                <c:pt idx="21">
                  <c:v>3.5024350025555172E-2</c:v>
                </c:pt>
                <c:pt idx="22">
                  <c:v>3.8107895468462528E-2</c:v>
                </c:pt>
                <c:pt idx="23">
                  <c:v>3.5566511861670751E-2</c:v>
                </c:pt>
                <c:pt idx="24">
                  <c:v>3.4414417959925142E-2</c:v>
                </c:pt>
                <c:pt idx="25">
                  <c:v>3.6616950419144687E-2</c:v>
                </c:pt>
                <c:pt idx="26">
                  <c:v>3.583759277972854E-2</c:v>
                </c:pt>
                <c:pt idx="27">
                  <c:v>3.8175665697976979E-2</c:v>
                </c:pt>
                <c:pt idx="28">
                  <c:v>3.5702052320699645E-2</c:v>
                </c:pt>
                <c:pt idx="29">
                  <c:v>3.4516073304196815E-2</c:v>
                </c:pt>
                <c:pt idx="30">
                  <c:v>3.4922694681283499E-2</c:v>
                </c:pt>
                <c:pt idx="31">
                  <c:v>3.4787154222254604E-2</c:v>
                </c:pt>
                <c:pt idx="32">
                  <c:v>3.9124448911179242E-2</c:v>
                </c:pt>
                <c:pt idx="33">
                  <c:v>3.7497963402832506E-2</c:v>
                </c:pt>
                <c:pt idx="34">
                  <c:v>3.6515295074873014E-2</c:v>
                </c:pt>
                <c:pt idx="35">
                  <c:v>4.3902250091947793E-2</c:v>
                </c:pt>
                <c:pt idx="36">
                  <c:v>3.7802929435647517E-2</c:v>
                </c:pt>
                <c:pt idx="37">
                  <c:v>3.4922694681283499E-2</c:v>
                </c:pt>
                <c:pt idx="38">
                  <c:v>3.4312762615653469E-2</c:v>
                </c:pt>
                <c:pt idx="39">
                  <c:v>3.4854924451769055E-2</c:v>
                </c:pt>
                <c:pt idx="40">
                  <c:v>3.3499519861480101E-2</c:v>
                </c:pt>
                <c:pt idx="41">
                  <c:v>3.4922694681283499E-2</c:v>
                </c:pt>
                <c:pt idx="42">
                  <c:v>3.4821039337011826E-2</c:v>
                </c:pt>
                <c:pt idx="43">
                  <c:v>3.5193775599341288E-2</c:v>
                </c:pt>
                <c:pt idx="44">
                  <c:v>3.4143337041867353E-2</c:v>
                </c:pt>
                <c:pt idx="45">
                  <c:v>3.6074788583029108E-2</c:v>
                </c:pt>
                <c:pt idx="46">
                  <c:v>3.4719383992740153E-2</c:v>
                </c:pt>
                <c:pt idx="47">
                  <c:v>3.4854924451769055E-2</c:v>
                </c:pt>
                <c:pt idx="48">
                  <c:v>4.9052787535045814E-2</c:v>
                </c:pt>
                <c:pt idx="49">
                  <c:v>3.7362422943803611E-2</c:v>
                </c:pt>
                <c:pt idx="50">
                  <c:v>4.0988130222826553E-2</c:v>
                </c:pt>
                <c:pt idx="51">
                  <c:v>3.729465271428916E-2</c:v>
                </c:pt>
                <c:pt idx="52">
                  <c:v>3.7565733632346957E-2</c:v>
                </c:pt>
                <c:pt idx="53">
                  <c:v>3.6481409960115792E-2</c:v>
                </c:pt>
                <c:pt idx="54">
                  <c:v>3.5735937435456867E-2</c:v>
                </c:pt>
                <c:pt idx="55">
                  <c:v>3.4244992386139018E-2</c:v>
                </c:pt>
                <c:pt idx="56">
                  <c:v>3.5261545828855732E-2</c:v>
                </c:pt>
                <c:pt idx="57">
                  <c:v>3.4719383992740153E-2</c:v>
                </c:pt>
                <c:pt idx="58">
                  <c:v>3.5702052320699645E-2</c:v>
                </c:pt>
                <c:pt idx="59">
                  <c:v>3.465161376322571E-2</c:v>
                </c:pt>
                <c:pt idx="60">
                  <c:v>3.7497963402832506E-2</c:v>
                </c:pt>
                <c:pt idx="61">
                  <c:v>3.7430193173318055E-2</c:v>
                </c:pt>
                <c:pt idx="62">
                  <c:v>3.7192997370017487E-2</c:v>
                </c:pt>
                <c:pt idx="63">
                  <c:v>3.6583065304387465E-2</c:v>
                </c:pt>
                <c:pt idx="64">
                  <c:v>3.54987416321563E-2</c:v>
                </c:pt>
                <c:pt idx="65">
                  <c:v>3.5735937435456867E-2</c:v>
                </c:pt>
                <c:pt idx="66">
                  <c:v>3.5668167205942423E-2</c:v>
                </c:pt>
                <c:pt idx="67">
                  <c:v>3.583759277972854E-2</c:v>
                </c:pt>
                <c:pt idx="68">
                  <c:v>3.6549180189630243E-2</c:v>
                </c:pt>
                <c:pt idx="69">
                  <c:v>3.6854146222445254E-2</c:v>
                </c:pt>
                <c:pt idx="70">
                  <c:v>3.2787932451578405E-2</c:v>
                </c:pt>
                <c:pt idx="71">
                  <c:v>3.3973911468081229E-2</c:v>
                </c:pt>
                <c:pt idx="72">
                  <c:v>3.9564955403023155E-2</c:v>
                </c:pt>
                <c:pt idx="73">
                  <c:v>4.7629612715242409E-2</c:v>
                </c:pt>
                <c:pt idx="74">
                  <c:v>3.7531848517589728E-2</c:v>
                </c:pt>
                <c:pt idx="75">
                  <c:v>3.8480631730791991E-2</c:v>
                </c:pt>
                <c:pt idx="76">
                  <c:v>4.0581508845739862E-2</c:v>
                </c:pt>
                <c:pt idx="77">
                  <c:v>3.9869921435838167E-2</c:v>
                </c:pt>
                <c:pt idx="78">
                  <c:v>3.5668167205942423E-2</c:v>
                </c:pt>
                <c:pt idx="79">
                  <c:v>7.9447735472275516E-2</c:v>
                </c:pt>
                <c:pt idx="80">
                  <c:v>4.0107117239138734E-2</c:v>
                </c:pt>
                <c:pt idx="81">
                  <c:v>3.7565733632346957E-2</c:v>
                </c:pt>
                <c:pt idx="82">
                  <c:v>3.5329316058370183E-2</c:v>
                </c:pt>
                <c:pt idx="83">
                  <c:v>3.695580156671692E-2</c:v>
                </c:pt>
                <c:pt idx="84">
                  <c:v>3.8616172189820885E-2</c:v>
                </c:pt>
                <c:pt idx="85">
                  <c:v>3.70574569109886E-2</c:v>
                </c:pt>
                <c:pt idx="86">
                  <c:v>3.5532626746913529E-2</c:v>
                </c:pt>
                <c:pt idx="87">
                  <c:v>3.3262324058179533E-2</c:v>
                </c:pt>
                <c:pt idx="88">
                  <c:v>3.2991243140121751E-2</c:v>
                </c:pt>
                <c:pt idx="89">
                  <c:v>3.9598840517780377E-2</c:v>
                </c:pt>
                <c:pt idx="90">
                  <c:v>3.9056678681664798E-2</c:v>
                </c:pt>
                <c:pt idx="91">
                  <c:v>3.7701274091375844E-2</c:v>
                </c:pt>
                <c:pt idx="92">
                  <c:v>3.8074010353705313E-2</c:v>
                </c:pt>
                <c:pt idx="93">
                  <c:v>3.7125227140503043E-2</c:v>
                </c:pt>
                <c:pt idx="94">
                  <c:v>3.824343592749143E-2</c:v>
                </c:pt>
                <c:pt idx="95">
                  <c:v>4.5867586747866777E-2</c:v>
                </c:pt>
                <c:pt idx="96">
                  <c:v>4.1089785567098219E-2</c:v>
                </c:pt>
                <c:pt idx="97">
                  <c:v>3.5735937435456867E-2</c:v>
                </c:pt>
                <c:pt idx="98">
                  <c:v>3.4956579796040721E-2</c:v>
                </c:pt>
                <c:pt idx="99">
                  <c:v>3.4617728648468488E-2</c:v>
                </c:pt>
                <c:pt idx="100">
                  <c:v>3.4956579796040721E-2</c:v>
                </c:pt>
                <c:pt idx="101">
                  <c:v>3.6650835533901908E-2</c:v>
                </c:pt>
                <c:pt idx="102">
                  <c:v>3.5430971402641856E-2</c:v>
                </c:pt>
                <c:pt idx="103">
                  <c:v>3.4482188189439586E-2</c:v>
                </c:pt>
                <c:pt idx="104">
                  <c:v>3.4990464910797943E-2</c:v>
                </c:pt>
                <c:pt idx="105">
                  <c:v>3.377060077953789E-2</c:v>
                </c:pt>
                <c:pt idx="106">
                  <c:v>3.3804485894295112E-2</c:v>
                </c:pt>
                <c:pt idx="107">
                  <c:v>3.3194553828665083E-2</c:v>
                </c:pt>
                <c:pt idx="108">
                  <c:v>3.6888031337202476E-2</c:v>
                </c:pt>
                <c:pt idx="109">
                  <c:v>3.4414417959925142E-2</c:v>
                </c:pt>
                <c:pt idx="110">
                  <c:v>3.7192997370017487E-2</c:v>
                </c:pt>
                <c:pt idx="111">
                  <c:v>3.4888809566526277E-2</c:v>
                </c:pt>
                <c:pt idx="112">
                  <c:v>3.54987416321563E-2</c:v>
                </c:pt>
                <c:pt idx="113">
                  <c:v>3.6447524845358563E-2</c:v>
                </c:pt>
                <c:pt idx="114">
                  <c:v>3.3906141238566785E-2</c:v>
                </c:pt>
                <c:pt idx="115">
                  <c:v>3.6888031337202476E-2</c:v>
                </c:pt>
                <c:pt idx="116">
                  <c:v>3.6752490878173581E-2</c:v>
                </c:pt>
                <c:pt idx="117">
                  <c:v>3.7260767599531938E-2</c:v>
                </c:pt>
                <c:pt idx="118">
                  <c:v>3.4211107271381797E-2</c:v>
                </c:pt>
                <c:pt idx="119">
                  <c:v>3.9836036321080945E-2</c:v>
                </c:pt>
                <c:pt idx="120">
                  <c:v>3.7735159206133073E-2</c:v>
                </c:pt>
                <c:pt idx="121">
                  <c:v>4.3258432911560542E-2</c:v>
                </c:pt>
                <c:pt idx="122">
                  <c:v>3.8853367993121453E-2</c:v>
                </c:pt>
                <c:pt idx="123">
                  <c:v>3.7464078288075277E-2</c:v>
                </c:pt>
                <c:pt idx="124">
                  <c:v>3.5566511861670751E-2</c:v>
                </c:pt>
                <c:pt idx="125">
                  <c:v>3.6074788583029108E-2</c:v>
                </c:pt>
                <c:pt idx="126">
                  <c:v>3.9124448911179242E-2</c:v>
                </c:pt>
                <c:pt idx="127">
                  <c:v>3.5430971402641856E-2</c:v>
                </c:pt>
                <c:pt idx="128">
                  <c:v>3.6854146222445254E-2</c:v>
                </c:pt>
                <c:pt idx="129">
                  <c:v>3.70574569109886E-2</c:v>
                </c:pt>
                <c:pt idx="130">
                  <c:v>3.4888809566526277E-2</c:v>
                </c:pt>
              </c:numCache>
            </c:numRef>
          </c:xVal>
          <c:yVal>
            <c:numRef>
              <c:f>'Linear Regression Output 1'!$G$94:$G$224</c:f>
              <c:numCache>
                <c:formatCode>0.000</c:formatCode>
                <c:ptCount val="131"/>
                <c:pt idx="0">
                  <c:v>-0.46387673416300168</c:v>
                </c:pt>
                <c:pt idx="1">
                  <c:v>-0.45985167465841076</c:v>
                </c:pt>
                <c:pt idx="2">
                  <c:v>-0.39435302820838458</c:v>
                </c:pt>
                <c:pt idx="3">
                  <c:v>0.10881655915645853</c:v>
                </c:pt>
                <c:pt idx="4">
                  <c:v>-0.24820209156661124</c:v>
                </c:pt>
                <c:pt idx="5">
                  <c:v>-1.2181161873174761E-2</c:v>
                </c:pt>
                <c:pt idx="6">
                  <c:v>-0.52285042814083238</c:v>
                </c:pt>
                <c:pt idx="7">
                  <c:v>-0.66818092428807874</c:v>
                </c:pt>
                <c:pt idx="8">
                  <c:v>4.27977375461061</c:v>
                </c:pt>
                <c:pt idx="9">
                  <c:v>4.9291328501012499</c:v>
                </c:pt>
                <c:pt idx="10">
                  <c:v>0.93982652212763895</c:v>
                </c:pt>
                <c:pt idx="11">
                  <c:v>-1.6206221377765364E-2</c:v>
                </c:pt>
                <c:pt idx="12">
                  <c:v>-0.61006624228879824</c:v>
                </c:pt>
                <c:pt idx="13">
                  <c:v>-1.3248082697773951</c:v>
                </c:pt>
                <c:pt idx="14">
                  <c:v>7.4407069200379372E-2</c:v>
                </c:pt>
                <c:pt idx="15">
                  <c:v>-0.61354086168702227</c:v>
                </c:pt>
                <c:pt idx="16">
                  <c:v>1.1874493331965266</c:v>
                </c:pt>
                <c:pt idx="17">
                  <c:v>-0.49414545016242134</c:v>
                </c:pt>
                <c:pt idx="18">
                  <c:v>-0.91326527090533871</c:v>
                </c:pt>
                <c:pt idx="19">
                  <c:v>-0.36318672874639191</c:v>
                </c:pt>
                <c:pt idx="20">
                  <c:v>0.41463119519267239</c:v>
                </c:pt>
                <c:pt idx="21">
                  <c:v>-0.29858566575893913</c:v>
                </c:pt>
                <c:pt idx="22">
                  <c:v>1.4319832397074206</c:v>
                </c:pt>
                <c:pt idx="23">
                  <c:v>-0.32545690532818061</c:v>
                </c:pt>
                <c:pt idx="24">
                  <c:v>0.1281495483388623</c:v>
                </c:pt>
                <c:pt idx="25">
                  <c:v>-0.27839366459798487</c:v>
                </c:pt>
                <c:pt idx="26">
                  <c:v>-0.33889252511280116</c:v>
                </c:pt>
                <c:pt idx="27">
                  <c:v>0.8834298640854592</c:v>
                </c:pt>
                <c:pt idx="28">
                  <c:v>-0.28261158152269039</c:v>
                </c:pt>
                <c:pt idx="29">
                  <c:v>0.47005312680423311</c:v>
                </c:pt>
                <c:pt idx="30">
                  <c:v>0.59858909822070339</c:v>
                </c:pt>
                <c:pt idx="31">
                  <c:v>-0.83202396912320153</c:v>
                </c:pt>
                <c:pt idx="32">
                  <c:v>-0.65048881609472953</c:v>
                </c:pt>
                <c:pt idx="33">
                  <c:v>-0.22293316150240125</c:v>
                </c:pt>
                <c:pt idx="34">
                  <c:v>0.4205285645904554</c:v>
                </c:pt>
                <c:pt idx="35">
                  <c:v>-0.19340774302946287</c:v>
                </c:pt>
                <c:pt idx="36">
                  <c:v>0.15845683582230446</c:v>
                </c:pt>
                <c:pt idx="37">
                  <c:v>5.3394627544897759E-2</c:v>
                </c:pt>
                <c:pt idx="38">
                  <c:v>-0.51113283231331197</c:v>
                </c:pt>
                <c:pt idx="39">
                  <c:v>-0.58756720558035436</c:v>
                </c:pt>
                <c:pt idx="40">
                  <c:v>-0.47082597295944983</c:v>
                </c:pt>
                <c:pt idx="41">
                  <c:v>0.40033656342950114</c:v>
                </c:pt>
                <c:pt idx="42">
                  <c:v>-9.0256416129271114E-2</c:v>
                </c:pt>
                <c:pt idx="43">
                  <c:v>-0.80261426510233225</c:v>
                </c:pt>
                <c:pt idx="44">
                  <c:v>-0.35404616885452239</c:v>
                </c:pt>
                <c:pt idx="45">
                  <c:v>4.5856377158060069E-2</c:v>
                </c:pt>
                <c:pt idx="46">
                  <c:v>0.26172387717456547</c:v>
                </c:pt>
                <c:pt idx="47">
                  <c:v>0.651511136864659</c:v>
                </c:pt>
                <c:pt idx="48">
                  <c:v>-1.3408209254976675</c:v>
                </c:pt>
                <c:pt idx="49">
                  <c:v>0.47766852015911654</c:v>
                </c:pt>
                <c:pt idx="50">
                  <c:v>-0.64373243471839647</c:v>
                </c:pt>
                <c:pt idx="51">
                  <c:v>-0.60936151624633983</c:v>
                </c:pt>
                <c:pt idx="52">
                  <c:v>-0.82104967082216296</c:v>
                </c:pt>
                <c:pt idx="53">
                  <c:v>-1.0646859938704831</c:v>
                </c:pt>
                <c:pt idx="54">
                  <c:v>-1.1764274405561774</c:v>
                </c:pt>
                <c:pt idx="55">
                  <c:v>-1.0034052643451621</c:v>
                </c:pt>
                <c:pt idx="56">
                  <c:v>-0.16165243197708029</c:v>
                </c:pt>
                <c:pt idx="57">
                  <c:v>-0.48172312829244252</c:v>
                </c:pt>
                <c:pt idx="58">
                  <c:v>-3.4795913033687495E-2</c:v>
                </c:pt>
                <c:pt idx="59">
                  <c:v>-0.32967482225288597</c:v>
                </c:pt>
                <c:pt idx="60">
                  <c:v>2.4882506986601303E-2</c:v>
                </c:pt>
                <c:pt idx="61">
                  <c:v>0.96994095219096699</c:v>
                </c:pt>
                <c:pt idx="62">
                  <c:v>0.73388145101350766</c:v>
                </c:pt>
                <c:pt idx="63">
                  <c:v>-0.1775879447293062</c:v>
                </c:pt>
                <c:pt idx="64">
                  <c:v>0.7187278072717862</c:v>
                </c:pt>
                <c:pt idx="65">
                  <c:v>-0.38341730139136904</c:v>
                </c:pt>
                <c:pt idx="66">
                  <c:v>-0.82612659972541869</c:v>
                </c:pt>
                <c:pt idx="67">
                  <c:v>0.30542821295860584</c:v>
                </c:pt>
                <c:pt idx="68">
                  <c:v>-0.91935549772323666</c:v>
                </c:pt>
                <c:pt idx="69">
                  <c:v>-1.2814125058655386</c:v>
                </c:pt>
                <c:pt idx="70">
                  <c:v>-0.93118880800282589</c:v>
                </c:pt>
                <c:pt idx="71">
                  <c:v>-0.74215397607153866</c:v>
                </c:pt>
                <c:pt idx="72">
                  <c:v>-0.82101109933813998</c:v>
                </c:pt>
                <c:pt idx="73">
                  <c:v>3.9338451166406481</c:v>
                </c:pt>
                <c:pt idx="74">
                  <c:v>0.41970812409592806</c:v>
                </c:pt>
                <c:pt idx="75">
                  <c:v>-0.27163728322165132</c:v>
                </c:pt>
                <c:pt idx="76">
                  <c:v>-0.6235790050414648</c:v>
                </c:pt>
                <c:pt idx="77">
                  <c:v>-0.43962110201343396</c:v>
                </c:pt>
                <c:pt idx="78">
                  <c:v>0.46251487641739508</c:v>
                </c:pt>
                <c:pt idx="79">
                  <c:v>-0.17088057416704094</c:v>
                </c:pt>
                <c:pt idx="80">
                  <c:v>-0.25312473453377488</c:v>
                </c:pt>
                <c:pt idx="81">
                  <c:v>-0.17672893275075602</c:v>
                </c:pt>
                <c:pt idx="82">
                  <c:v>8.28043315657669E-2</c:v>
                </c:pt>
                <c:pt idx="83">
                  <c:v>-0.24562505563096002</c:v>
                </c:pt>
                <c:pt idx="84">
                  <c:v>0.16771311016624318</c:v>
                </c:pt>
                <c:pt idx="85">
                  <c:v>-0.59760534893479689</c:v>
                </c:pt>
                <c:pt idx="86">
                  <c:v>0.51879582000750601</c:v>
                </c:pt>
                <c:pt idx="87">
                  <c:v>-0.16169100346110349</c:v>
                </c:pt>
                <c:pt idx="88">
                  <c:v>-0.14825538367648308</c:v>
                </c:pt>
                <c:pt idx="89">
                  <c:v>0.56507719172719728</c:v>
                </c:pt>
                <c:pt idx="90">
                  <c:v>0.19544336171403448</c:v>
                </c:pt>
                <c:pt idx="91">
                  <c:v>0.85737906501074501</c:v>
                </c:pt>
                <c:pt idx="92">
                  <c:v>0.29371061713108548</c:v>
                </c:pt>
                <c:pt idx="93">
                  <c:v>0.48942468747065976</c:v>
                </c:pt>
                <c:pt idx="94">
                  <c:v>-0.55725991809691156</c:v>
                </c:pt>
                <c:pt idx="95">
                  <c:v>-0.29081598646796369</c:v>
                </c:pt>
                <c:pt idx="96">
                  <c:v>9.9632526699159202E-2</c:v>
                </c:pt>
                <c:pt idx="97">
                  <c:v>0.75653477365804322</c:v>
                </c:pt>
                <c:pt idx="98">
                  <c:v>-0.49347929560398573</c:v>
                </c:pt>
                <c:pt idx="99">
                  <c:v>-0.82362670675781391</c:v>
                </c:pt>
                <c:pt idx="100">
                  <c:v>-0.49347929560398573</c:v>
                </c:pt>
                <c:pt idx="101">
                  <c:v>-0.62701505295566606</c:v>
                </c:pt>
                <c:pt idx="102">
                  <c:v>-1.0621861009028781</c:v>
                </c:pt>
                <c:pt idx="103">
                  <c:v>-2.389875770069445E-2</c:v>
                </c:pt>
                <c:pt idx="104">
                  <c:v>-0.14821681219245955</c:v>
                </c:pt>
                <c:pt idx="105">
                  <c:v>-0.43469845904626997</c:v>
                </c:pt>
                <c:pt idx="106">
                  <c:v>9.6902917608573738E-3</c:v>
                </c:pt>
                <c:pt idx="107">
                  <c:v>-0.10876896481714754</c:v>
                </c:pt>
                <c:pt idx="108">
                  <c:v>-0.63877122026720923</c:v>
                </c:pt>
                <c:pt idx="109">
                  <c:v>1.4663541581794766</c:v>
                </c:pt>
                <c:pt idx="110">
                  <c:v>-0.40607062403590477</c:v>
                </c:pt>
                <c:pt idx="111">
                  <c:v>3.1279883692816082</c:v>
                </c:pt>
                <c:pt idx="112">
                  <c:v>0.12397020289817962</c:v>
                </c:pt>
                <c:pt idx="113">
                  <c:v>-0.22043326853479606</c:v>
                </c:pt>
                <c:pt idx="114">
                  <c:v>-4.4911199356176067E-2</c:v>
                </c:pt>
                <c:pt idx="115">
                  <c:v>-0.49008181917380755</c:v>
                </c:pt>
                <c:pt idx="116">
                  <c:v>-0.18598520709469407</c:v>
                </c:pt>
                <c:pt idx="117">
                  <c:v>-0.45899266267986089</c:v>
                </c:pt>
                <c:pt idx="118">
                  <c:v>-0.65478387598748067</c:v>
                </c:pt>
                <c:pt idx="119">
                  <c:v>-1.0326992539139628</c:v>
                </c:pt>
                <c:pt idx="120">
                  <c:v>0.50875767665306348</c:v>
                </c:pt>
                <c:pt idx="121">
                  <c:v>-0.60756634932119336</c:v>
                </c:pt>
                <c:pt idx="122">
                  <c:v>0.70115141353050559</c:v>
                </c:pt>
                <c:pt idx="123">
                  <c:v>3.9420495215859215</c:v>
                </c:pt>
                <c:pt idx="124">
                  <c:v>-0.57327257381718311</c:v>
                </c:pt>
                <c:pt idx="125">
                  <c:v>-0.54890122721554646</c:v>
                </c:pt>
                <c:pt idx="126">
                  <c:v>-0.3035468802101256</c:v>
                </c:pt>
                <c:pt idx="127">
                  <c:v>0.42470791003113806</c:v>
                </c:pt>
                <c:pt idx="128">
                  <c:v>1.048054777931086</c:v>
                </c:pt>
                <c:pt idx="129">
                  <c:v>0.64147299351021647</c:v>
                </c:pt>
                <c:pt idx="130">
                  <c:v>-9.3615321075426458E-2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A-4706-93FA-6A6D7FFAD1FC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3.6278099271572446E-2</c:v>
              </c:pt>
            </c:numLit>
          </c:xVal>
          <c:yVal>
            <c:numLit>
              <c:formatCode>General</c:formatCode>
              <c:ptCount val="1"/>
              <c:pt idx="0">
                <c:v>-0.45985167465841076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0FA-4706-93FA-6A6D7FFA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650240"/>
        <c:axId val="276660992"/>
      </c:scatterChart>
      <c:valAx>
        <c:axId val="276650240"/>
        <c:scaling>
          <c:orientation val="maxMin"/>
          <c:max val="0.08"/>
          <c:min val="0.0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Pred(Unemployment Rate (July 1999))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6660992"/>
        <c:crosses val="autoZero"/>
        <c:crossBetween val="midCat"/>
      </c:valAx>
      <c:valAx>
        <c:axId val="276660992"/>
        <c:scaling>
          <c:orientation val="minMax"/>
          <c:max val="5"/>
          <c:min val="-2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66502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Pred(Unemployment Rate (July 1999)) - Unemployment Rate (July 1999)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1'!$E$94:$E$224</c:f>
              <c:numCache>
                <c:formatCode>0.000</c:formatCode>
                <c:ptCount val="131"/>
                <c:pt idx="0">
                  <c:v>4.535931002650842E-2</c:v>
                </c:pt>
                <c:pt idx="1">
                  <c:v>3.6278099271572446E-2</c:v>
                </c:pt>
                <c:pt idx="2">
                  <c:v>3.4956579796040721E-2</c:v>
                </c:pt>
                <c:pt idx="3">
                  <c:v>3.3804485894295112E-2</c:v>
                </c:pt>
                <c:pt idx="4">
                  <c:v>3.4007796582838458E-2</c:v>
                </c:pt>
                <c:pt idx="5">
                  <c:v>3.2245770615462827E-2</c:v>
                </c:pt>
                <c:pt idx="6">
                  <c:v>3.6549180189630243E-2</c:v>
                </c:pt>
                <c:pt idx="7">
                  <c:v>3.6481409960115792E-2</c:v>
                </c:pt>
                <c:pt idx="8">
                  <c:v>3.8650057304578107E-2</c:v>
                </c:pt>
                <c:pt idx="9">
                  <c:v>3.8548401960306442E-2</c:v>
                </c:pt>
                <c:pt idx="10">
                  <c:v>4.4037790550976688E-2</c:v>
                </c:pt>
                <c:pt idx="11">
                  <c:v>4.1326981370398787E-2</c:v>
                </c:pt>
                <c:pt idx="12">
                  <c:v>4.4308871469034478E-2</c:v>
                </c:pt>
                <c:pt idx="13">
                  <c:v>5.1729711600866479E-2</c:v>
                </c:pt>
                <c:pt idx="14">
                  <c:v>3.54987416321563E-2</c:v>
                </c:pt>
                <c:pt idx="15">
                  <c:v>3.8378976386520318E-2</c:v>
                </c:pt>
                <c:pt idx="16">
                  <c:v>3.404168169759568E-2</c:v>
                </c:pt>
                <c:pt idx="17">
                  <c:v>4.3970020321462244E-2</c:v>
                </c:pt>
                <c:pt idx="18">
                  <c:v>4.7426302026699063E-2</c:v>
                </c:pt>
                <c:pt idx="19">
                  <c:v>3.9327759599722588E-2</c:v>
                </c:pt>
                <c:pt idx="20">
                  <c:v>3.5634282091185202E-2</c:v>
                </c:pt>
                <c:pt idx="21">
                  <c:v>3.5024350025555172E-2</c:v>
                </c:pt>
                <c:pt idx="22">
                  <c:v>3.8107895468462528E-2</c:v>
                </c:pt>
                <c:pt idx="23">
                  <c:v>3.5566511861670751E-2</c:v>
                </c:pt>
                <c:pt idx="24">
                  <c:v>3.4414417959925142E-2</c:v>
                </c:pt>
                <c:pt idx="25">
                  <c:v>3.6616950419144687E-2</c:v>
                </c:pt>
                <c:pt idx="26">
                  <c:v>3.583759277972854E-2</c:v>
                </c:pt>
                <c:pt idx="27">
                  <c:v>3.8175665697976979E-2</c:v>
                </c:pt>
                <c:pt idx="28">
                  <c:v>3.5702052320699645E-2</c:v>
                </c:pt>
                <c:pt idx="29">
                  <c:v>3.4516073304196815E-2</c:v>
                </c:pt>
                <c:pt idx="30">
                  <c:v>3.4922694681283499E-2</c:v>
                </c:pt>
                <c:pt idx="31">
                  <c:v>3.4787154222254604E-2</c:v>
                </c:pt>
                <c:pt idx="32">
                  <c:v>3.9124448911179242E-2</c:v>
                </c:pt>
                <c:pt idx="33">
                  <c:v>3.7497963402832506E-2</c:v>
                </c:pt>
                <c:pt idx="34">
                  <c:v>3.6515295074873014E-2</c:v>
                </c:pt>
                <c:pt idx="35">
                  <c:v>4.3902250091947793E-2</c:v>
                </c:pt>
                <c:pt idx="36">
                  <c:v>3.7802929435647517E-2</c:v>
                </c:pt>
                <c:pt idx="37">
                  <c:v>3.4922694681283499E-2</c:v>
                </c:pt>
                <c:pt idx="38">
                  <c:v>3.4312762615653469E-2</c:v>
                </c:pt>
                <c:pt idx="39">
                  <c:v>3.4854924451769055E-2</c:v>
                </c:pt>
                <c:pt idx="40">
                  <c:v>3.3499519861480101E-2</c:v>
                </c:pt>
                <c:pt idx="41">
                  <c:v>3.4922694681283499E-2</c:v>
                </c:pt>
                <c:pt idx="42">
                  <c:v>3.4821039337011826E-2</c:v>
                </c:pt>
                <c:pt idx="43">
                  <c:v>3.5193775599341288E-2</c:v>
                </c:pt>
                <c:pt idx="44">
                  <c:v>3.4143337041867353E-2</c:v>
                </c:pt>
                <c:pt idx="45">
                  <c:v>3.6074788583029108E-2</c:v>
                </c:pt>
                <c:pt idx="46">
                  <c:v>3.4719383992740153E-2</c:v>
                </c:pt>
                <c:pt idx="47">
                  <c:v>3.4854924451769055E-2</c:v>
                </c:pt>
                <c:pt idx="48">
                  <c:v>4.9052787535045814E-2</c:v>
                </c:pt>
                <c:pt idx="49">
                  <c:v>3.7362422943803611E-2</c:v>
                </c:pt>
                <c:pt idx="50">
                  <c:v>4.0988130222826553E-2</c:v>
                </c:pt>
                <c:pt idx="51">
                  <c:v>3.729465271428916E-2</c:v>
                </c:pt>
                <c:pt idx="52">
                  <c:v>3.7565733632346957E-2</c:v>
                </c:pt>
                <c:pt idx="53">
                  <c:v>3.6481409960115792E-2</c:v>
                </c:pt>
                <c:pt idx="54">
                  <c:v>3.5735937435456867E-2</c:v>
                </c:pt>
                <c:pt idx="55">
                  <c:v>3.4244992386139018E-2</c:v>
                </c:pt>
                <c:pt idx="56">
                  <c:v>3.5261545828855732E-2</c:v>
                </c:pt>
                <c:pt idx="57">
                  <c:v>3.4719383992740153E-2</c:v>
                </c:pt>
                <c:pt idx="58">
                  <c:v>3.5702052320699645E-2</c:v>
                </c:pt>
                <c:pt idx="59">
                  <c:v>3.465161376322571E-2</c:v>
                </c:pt>
                <c:pt idx="60">
                  <c:v>3.7497963402832506E-2</c:v>
                </c:pt>
                <c:pt idx="61">
                  <c:v>3.7430193173318055E-2</c:v>
                </c:pt>
                <c:pt idx="62">
                  <c:v>3.7192997370017487E-2</c:v>
                </c:pt>
                <c:pt idx="63">
                  <c:v>3.6583065304387465E-2</c:v>
                </c:pt>
                <c:pt idx="64">
                  <c:v>3.54987416321563E-2</c:v>
                </c:pt>
                <c:pt idx="65">
                  <c:v>3.5735937435456867E-2</c:v>
                </c:pt>
                <c:pt idx="66">
                  <c:v>3.5668167205942423E-2</c:v>
                </c:pt>
                <c:pt idx="67">
                  <c:v>3.583759277972854E-2</c:v>
                </c:pt>
                <c:pt idx="68">
                  <c:v>3.6549180189630243E-2</c:v>
                </c:pt>
                <c:pt idx="69">
                  <c:v>3.6854146222445254E-2</c:v>
                </c:pt>
                <c:pt idx="70">
                  <c:v>3.2787932451578405E-2</c:v>
                </c:pt>
                <c:pt idx="71">
                  <c:v>3.3973911468081229E-2</c:v>
                </c:pt>
                <c:pt idx="72">
                  <c:v>3.9564955403023155E-2</c:v>
                </c:pt>
                <c:pt idx="73">
                  <c:v>4.7629612715242409E-2</c:v>
                </c:pt>
                <c:pt idx="74">
                  <c:v>3.7531848517589728E-2</c:v>
                </c:pt>
                <c:pt idx="75">
                  <c:v>3.8480631730791991E-2</c:v>
                </c:pt>
                <c:pt idx="76">
                  <c:v>4.0581508845739862E-2</c:v>
                </c:pt>
                <c:pt idx="77">
                  <c:v>3.9869921435838167E-2</c:v>
                </c:pt>
                <c:pt idx="78">
                  <c:v>3.5668167205942423E-2</c:v>
                </c:pt>
                <c:pt idx="79">
                  <c:v>7.9447735472275516E-2</c:v>
                </c:pt>
                <c:pt idx="80">
                  <c:v>4.0107117239138734E-2</c:v>
                </c:pt>
                <c:pt idx="81">
                  <c:v>3.7565733632346957E-2</c:v>
                </c:pt>
                <c:pt idx="82">
                  <c:v>3.5329316058370183E-2</c:v>
                </c:pt>
                <c:pt idx="83">
                  <c:v>3.695580156671692E-2</c:v>
                </c:pt>
                <c:pt idx="84">
                  <c:v>3.8616172189820885E-2</c:v>
                </c:pt>
                <c:pt idx="85">
                  <c:v>3.70574569109886E-2</c:v>
                </c:pt>
                <c:pt idx="86">
                  <c:v>3.5532626746913529E-2</c:v>
                </c:pt>
                <c:pt idx="87">
                  <c:v>3.3262324058179533E-2</c:v>
                </c:pt>
                <c:pt idx="88">
                  <c:v>3.2991243140121751E-2</c:v>
                </c:pt>
                <c:pt idx="89">
                  <c:v>3.9598840517780377E-2</c:v>
                </c:pt>
                <c:pt idx="90">
                  <c:v>3.9056678681664798E-2</c:v>
                </c:pt>
                <c:pt idx="91">
                  <c:v>3.7701274091375844E-2</c:v>
                </c:pt>
                <c:pt idx="92">
                  <c:v>3.8074010353705313E-2</c:v>
                </c:pt>
                <c:pt idx="93">
                  <c:v>3.7125227140503043E-2</c:v>
                </c:pt>
                <c:pt idx="94">
                  <c:v>3.824343592749143E-2</c:v>
                </c:pt>
                <c:pt idx="95">
                  <c:v>4.5867586747866777E-2</c:v>
                </c:pt>
                <c:pt idx="96">
                  <c:v>4.1089785567098219E-2</c:v>
                </c:pt>
                <c:pt idx="97">
                  <c:v>3.5735937435456867E-2</c:v>
                </c:pt>
                <c:pt idx="98">
                  <c:v>3.4956579796040721E-2</c:v>
                </c:pt>
                <c:pt idx="99">
                  <c:v>3.4617728648468488E-2</c:v>
                </c:pt>
                <c:pt idx="100">
                  <c:v>3.4956579796040721E-2</c:v>
                </c:pt>
                <c:pt idx="101">
                  <c:v>3.6650835533901908E-2</c:v>
                </c:pt>
                <c:pt idx="102">
                  <c:v>3.5430971402641856E-2</c:v>
                </c:pt>
                <c:pt idx="103">
                  <c:v>3.4482188189439586E-2</c:v>
                </c:pt>
                <c:pt idx="104">
                  <c:v>3.4990464910797943E-2</c:v>
                </c:pt>
                <c:pt idx="105">
                  <c:v>3.377060077953789E-2</c:v>
                </c:pt>
                <c:pt idx="106">
                  <c:v>3.3804485894295112E-2</c:v>
                </c:pt>
                <c:pt idx="107">
                  <c:v>3.3194553828665083E-2</c:v>
                </c:pt>
                <c:pt idx="108">
                  <c:v>3.6888031337202476E-2</c:v>
                </c:pt>
                <c:pt idx="109">
                  <c:v>3.4414417959925142E-2</c:v>
                </c:pt>
                <c:pt idx="110">
                  <c:v>3.7192997370017487E-2</c:v>
                </c:pt>
                <c:pt idx="111">
                  <c:v>3.4888809566526277E-2</c:v>
                </c:pt>
                <c:pt idx="112">
                  <c:v>3.54987416321563E-2</c:v>
                </c:pt>
                <c:pt idx="113">
                  <c:v>3.6447524845358563E-2</c:v>
                </c:pt>
                <c:pt idx="114">
                  <c:v>3.3906141238566785E-2</c:v>
                </c:pt>
                <c:pt idx="115">
                  <c:v>3.6888031337202476E-2</c:v>
                </c:pt>
                <c:pt idx="116">
                  <c:v>3.6752490878173581E-2</c:v>
                </c:pt>
                <c:pt idx="117">
                  <c:v>3.7260767599531938E-2</c:v>
                </c:pt>
                <c:pt idx="118">
                  <c:v>3.4211107271381797E-2</c:v>
                </c:pt>
                <c:pt idx="119">
                  <c:v>3.9836036321080945E-2</c:v>
                </c:pt>
                <c:pt idx="120">
                  <c:v>3.7735159206133073E-2</c:v>
                </c:pt>
                <c:pt idx="121">
                  <c:v>4.3258432911560542E-2</c:v>
                </c:pt>
                <c:pt idx="122">
                  <c:v>3.8853367993121453E-2</c:v>
                </c:pt>
                <c:pt idx="123">
                  <c:v>3.7464078288075277E-2</c:v>
                </c:pt>
                <c:pt idx="124">
                  <c:v>3.5566511861670751E-2</c:v>
                </c:pt>
                <c:pt idx="125">
                  <c:v>3.6074788583029108E-2</c:v>
                </c:pt>
                <c:pt idx="126">
                  <c:v>3.9124448911179242E-2</c:v>
                </c:pt>
                <c:pt idx="127">
                  <c:v>3.5430971402641856E-2</c:v>
                </c:pt>
                <c:pt idx="128">
                  <c:v>3.6854146222445254E-2</c:v>
                </c:pt>
                <c:pt idx="129">
                  <c:v>3.70574569109886E-2</c:v>
                </c:pt>
                <c:pt idx="130">
                  <c:v>3.4888809566526277E-2</c:v>
                </c:pt>
              </c:numCache>
            </c:numRef>
          </c:xVal>
          <c:yVal>
            <c:numRef>
              <c:f>'Linear Regression Output 1'!$D$94:$D$224</c:f>
              <c:numCache>
                <c:formatCode>0.000</c:formatCode>
                <c:ptCount val="131"/>
                <c:pt idx="0">
                  <c:v>3.6000000000000004E-2</c:v>
                </c:pt>
                <c:pt idx="1">
                  <c:v>2.7000000000000003E-2</c:v>
                </c:pt>
                <c:pt idx="2">
                  <c:v>2.7000000000000003E-2</c:v>
                </c:pt>
                <c:pt idx="3">
                  <c:v>3.6000000000000004E-2</c:v>
                </c:pt>
                <c:pt idx="4">
                  <c:v>2.8999999999999998E-2</c:v>
                </c:pt>
                <c:pt idx="5">
                  <c:v>3.2000000000000001E-2</c:v>
                </c:pt>
                <c:pt idx="6">
                  <c:v>2.6000000000000002E-2</c:v>
                </c:pt>
                <c:pt idx="7">
                  <c:v>2.3E-2</c:v>
                </c:pt>
                <c:pt idx="8">
                  <c:v>0.125</c:v>
                </c:pt>
                <c:pt idx="9">
                  <c:v>0.13800000000000001</c:v>
                </c:pt>
                <c:pt idx="10">
                  <c:v>6.3E-2</c:v>
                </c:pt>
                <c:pt idx="11">
                  <c:v>4.0999999999999995E-2</c:v>
                </c:pt>
                <c:pt idx="12">
                  <c:v>3.2000000000000001E-2</c:v>
                </c:pt>
                <c:pt idx="13">
                  <c:v>2.5000000000000001E-2</c:v>
                </c:pt>
                <c:pt idx="14">
                  <c:v>3.7000000000000005E-2</c:v>
                </c:pt>
                <c:pt idx="15">
                  <c:v>2.5999999999999999E-2</c:v>
                </c:pt>
                <c:pt idx="16">
                  <c:v>5.7999999999999996E-2</c:v>
                </c:pt>
                <c:pt idx="17">
                  <c:v>3.4000000000000002E-2</c:v>
                </c:pt>
                <c:pt idx="18">
                  <c:v>2.8999999999999998E-2</c:v>
                </c:pt>
                <c:pt idx="19">
                  <c:v>3.2000000000000001E-2</c:v>
                </c:pt>
                <c:pt idx="20">
                  <c:v>4.4000000000000004E-2</c:v>
                </c:pt>
                <c:pt idx="21">
                  <c:v>2.8999999999999998E-2</c:v>
                </c:pt>
                <c:pt idx="22">
                  <c:v>6.7000000000000004E-2</c:v>
                </c:pt>
                <c:pt idx="23">
                  <c:v>2.8999999999999998E-2</c:v>
                </c:pt>
                <c:pt idx="24">
                  <c:v>3.7000000000000005E-2</c:v>
                </c:pt>
                <c:pt idx="25">
                  <c:v>3.1E-2</c:v>
                </c:pt>
                <c:pt idx="26">
                  <c:v>2.9000000000000001E-2</c:v>
                </c:pt>
                <c:pt idx="27">
                  <c:v>5.6000000000000001E-2</c:v>
                </c:pt>
                <c:pt idx="28">
                  <c:v>0.03</c:v>
                </c:pt>
                <c:pt idx="29">
                  <c:v>4.4000000000000004E-2</c:v>
                </c:pt>
                <c:pt idx="30">
                  <c:v>4.7E-2</c:v>
                </c:pt>
                <c:pt idx="31">
                  <c:v>1.8000000000000002E-2</c:v>
                </c:pt>
                <c:pt idx="32">
                  <c:v>2.5999999999999999E-2</c:v>
                </c:pt>
                <c:pt idx="33">
                  <c:v>3.3000000000000002E-2</c:v>
                </c:pt>
                <c:pt idx="34">
                  <c:v>4.4999999999999998E-2</c:v>
                </c:pt>
                <c:pt idx="35">
                  <c:v>0.04</c:v>
                </c:pt>
                <c:pt idx="36">
                  <c:v>4.0999999999999995E-2</c:v>
                </c:pt>
                <c:pt idx="37">
                  <c:v>3.6000000000000004E-2</c:v>
                </c:pt>
                <c:pt idx="38">
                  <c:v>2.4E-2</c:v>
                </c:pt>
                <c:pt idx="39">
                  <c:v>2.3E-2</c:v>
                </c:pt>
                <c:pt idx="40">
                  <c:v>2.4E-2</c:v>
                </c:pt>
                <c:pt idx="41">
                  <c:v>4.2999999999999997E-2</c:v>
                </c:pt>
                <c:pt idx="42">
                  <c:v>3.3000000000000002E-2</c:v>
                </c:pt>
                <c:pt idx="43">
                  <c:v>1.9E-2</c:v>
                </c:pt>
                <c:pt idx="44">
                  <c:v>2.7000000000000003E-2</c:v>
                </c:pt>
                <c:pt idx="45">
                  <c:v>3.7000000000000005E-2</c:v>
                </c:pt>
                <c:pt idx="46">
                  <c:v>0.04</c:v>
                </c:pt>
                <c:pt idx="47">
                  <c:v>4.8000000000000001E-2</c:v>
                </c:pt>
                <c:pt idx="48">
                  <c:v>2.1999999999999999E-2</c:v>
                </c:pt>
                <c:pt idx="49">
                  <c:v>4.7E-2</c:v>
                </c:pt>
                <c:pt idx="50">
                  <c:v>2.7999999999999997E-2</c:v>
                </c:pt>
                <c:pt idx="51">
                  <c:v>2.5000000000000001E-2</c:v>
                </c:pt>
                <c:pt idx="52">
                  <c:v>2.1000000000000001E-2</c:v>
                </c:pt>
                <c:pt idx="53">
                  <c:v>1.4999999999999999E-2</c:v>
                </c:pt>
                <c:pt idx="54">
                  <c:v>1.2E-2</c:v>
                </c:pt>
                <c:pt idx="55">
                  <c:v>1.3999999999999999E-2</c:v>
                </c:pt>
                <c:pt idx="56">
                  <c:v>3.2000000000000001E-2</c:v>
                </c:pt>
                <c:pt idx="57">
                  <c:v>2.5000000000000001E-2</c:v>
                </c:pt>
                <c:pt idx="58">
                  <c:v>3.5000000000000003E-2</c:v>
                </c:pt>
                <c:pt idx="59">
                  <c:v>2.8000000000000001E-2</c:v>
                </c:pt>
                <c:pt idx="60">
                  <c:v>3.7999999999999999E-2</c:v>
                </c:pt>
                <c:pt idx="61">
                  <c:v>5.7000000000000002E-2</c:v>
                </c:pt>
                <c:pt idx="62">
                  <c:v>5.2000000000000005E-2</c:v>
                </c:pt>
                <c:pt idx="63">
                  <c:v>3.3000000000000002E-2</c:v>
                </c:pt>
                <c:pt idx="64">
                  <c:v>0.05</c:v>
                </c:pt>
                <c:pt idx="65">
                  <c:v>2.7999999999999997E-2</c:v>
                </c:pt>
                <c:pt idx="66">
                  <c:v>1.9E-2</c:v>
                </c:pt>
                <c:pt idx="67">
                  <c:v>4.2000000000000003E-2</c:v>
                </c:pt>
                <c:pt idx="68">
                  <c:v>1.8000000000000002E-2</c:v>
                </c:pt>
                <c:pt idx="69">
                  <c:v>1.1000000000000001E-2</c:v>
                </c:pt>
                <c:pt idx="70">
                  <c:v>1.3999999999999999E-2</c:v>
                </c:pt>
                <c:pt idx="71">
                  <c:v>1.9E-2</c:v>
                </c:pt>
                <c:pt idx="72">
                  <c:v>2.3E-2</c:v>
                </c:pt>
                <c:pt idx="73">
                  <c:v>0.127</c:v>
                </c:pt>
                <c:pt idx="74">
                  <c:v>4.5999999999999999E-2</c:v>
                </c:pt>
                <c:pt idx="75">
                  <c:v>3.3000000000000002E-2</c:v>
                </c:pt>
                <c:pt idx="76">
                  <c:v>2.8000000000000001E-2</c:v>
                </c:pt>
                <c:pt idx="77">
                  <c:v>3.1E-2</c:v>
                </c:pt>
                <c:pt idx="78">
                  <c:v>4.4999999999999998E-2</c:v>
                </c:pt>
                <c:pt idx="79">
                  <c:v>7.5999999999999998E-2</c:v>
                </c:pt>
                <c:pt idx="80">
                  <c:v>3.5000000000000003E-2</c:v>
                </c:pt>
                <c:pt idx="81">
                  <c:v>3.4000000000000002E-2</c:v>
                </c:pt>
                <c:pt idx="82">
                  <c:v>3.6999999999999998E-2</c:v>
                </c:pt>
                <c:pt idx="83">
                  <c:v>3.2000000000000001E-2</c:v>
                </c:pt>
                <c:pt idx="84">
                  <c:v>4.2000000000000003E-2</c:v>
                </c:pt>
                <c:pt idx="85">
                  <c:v>2.5000000000000001E-2</c:v>
                </c:pt>
                <c:pt idx="86">
                  <c:v>4.5999999999999999E-2</c:v>
                </c:pt>
                <c:pt idx="87">
                  <c:v>0.03</c:v>
                </c:pt>
                <c:pt idx="88">
                  <c:v>0.03</c:v>
                </c:pt>
                <c:pt idx="89">
                  <c:v>5.0999999999999997E-2</c:v>
                </c:pt>
                <c:pt idx="90">
                  <c:v>4.2999999999999997E-2</c:v>
                </c:pt>
                <c:pt idx="91">
                  <c:v>5.5E-2</c:v>
                </c:pt>
                <c:pt idx="92">
                  <c:v>4.4000000000000004E-2</c:v>
                </c:pt>
                <c:pt idx="93">
                  <c:v>4.7E-2</c:v>
                </c:pt>
                <c:pt idx="94">
                  <c:v>2.7000000000000003E-2</c:v>
                </c:pt>
                <c:pt idx="95">
                  <c:v>0.04</c:v>
                </c:pt>
                <c:pt idx="96">
                  <c:v>4.3099999999999999E-2</c:v>
                </c:pt>
                <c:pt idx="97">
                  <c:v>5.0999999999999997E-2</c:v>
                </c:pt>
                <c:pt idx="98">
                  <c:v>2.5000000000000001E-2</c:v>
                </c:pt>
                <c:pt idx="99">
                  <c:v>1.7999999999999999E-2</c:v>
                </c:pt>
                <c:pt idx="100">
                  <c:v>2.5000000000000001E-2</c:v>
                </c:pt>
                <c:pt idx="101">
                  <c:v>2.4E-2</c:v>
                </c:pt>
                <c:pt idx="102">
                  <c:v>1.3999999999999999E-2</c:v>
                </c:pt>
                <c:pt idx="103">
                  <c:v>3.4000000000000002E-2</c:v>
                </c:pt>
                <c:pt idx="104">
                  <c:v>3.2000000000000001E-2</c:v>
                </c:pt>
                <c:pt idx="105">
                  <c:v>2.5000000000000001E-2</c:v>
                </c:pt>
                <c:pt idx="106">
                  <c:v>3.4000000000000002E-2</c:v>
                </c:pt>
                <c:pt idx="107">
                  <c:v>3.1E-2</c:v>
                </c:pt>
                <c:pt idx="108">
                  <c:v>2.4E-2</c:v>
                </c:pt>
                <c:pt idx="109">
                  <c:v>6.4000000000000001E-2</c:v>
                </c:pt>
                <c:pt idx="110">
                  <c:v>2.9000000000000001E-2</c:v>
                </c:pt>
                <c:pt idx="111">
                  <c:v>9.8000000000000004E-2</c:v>
                </c:pt>
                <c:pt idx="112">
                  <c:v>3.7999999999999999E-2</c:v>
                </c:pt>
                <c:pt idx="113">
                  <c:v>3.2000000000000001E-2</c:v>
                </c:pt>
                <c:pt idx="114">
                  <c:v>3.3000000000000002E-2</c:v>
                </c:pt>
                <c:pt idx="115">
                  <c:v>2.7000000000000003E-2</c:v>
                </c:pt>
                <c:pt idx="116">
                  <c:v>3.3000000000000002E-2</c:v>
                </c:pt>
                <c:pt idx="117">
                  <c:v>2.7999999999999997E-2</c:v>
                </c:pt>
                <c:pt idx="118">
                  <c:v>2.1000000000000001E-2</c:v>
                </c:pt>
                <c:pt idx="119">
                  <c:v>1.9E-2</c:v>
                </c:pt>
                <c:pt idx="120">
                  <c:v>4.8000000000000001E-2</c:v>
                </c:pt>
                <c:pt idx="121">
                  <c:v>3.1E-2</c:v>
                </c:pt>
                <c:pt idx="122">
                  <c:v>5.2999999999999999E-2</c:v>
                </c:pt>
                <c:pt idx="123">
                  <c:v>0.11700000000000001</c:v>
                </c:pt>
                <c:pt idx="124">
                  <c:v>2.4E-2</c:v>
                </c:pt>
                <c:pt idx="125">
                  <c:v>2.5000000000000001E-2</c:v>
                </c:pt>
                <c:pt idx="126">
                  <c:v>3.3000000000000002E-2</c:v>
                </c:pt>
                <c:pt idx="127">
                  <c:v>4.4000000000000004E-2</c:v>
                </c:pt>
                <c:pt idx="128">
                  <c:v>5.7999999999999996E-2</c:v>
                </c:pt>
                <c:pt idx="129">
                  <c:v>0.05</c:v>
                </c:pt>
                <c:pt idx="130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7-467C-B4A4-2DA79537D343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3.6278099271572446E-2</c:v>
              </c:pt>
            </c:numLit>
          </c:xVal>
          <c:yVal>
            <c:numLit>
              <c:formatCode>General</c:formatCode>
              <c:ptCount val="1"/>
              <c:pt idx="0">
                <c:v>2.7000000000000003E-2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9C7-467C-B4A4-2DA79537D343}"/>
            </c:ext>
          </c:extLst>
        </c:ser>
        <c:ser>
          <c:idx val="2"/>
          <c:order val="2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Sheet3_HID!xdata5</c:f>
              <c:numCache>
                <c:formatCode>General</c:formatCode>
                <c:ptCount val="70"/>
                <c:pt idx="0">
                  <c:v>3.0357692021190302E-2</c:v>
                </c:pt>
                <c:pt idx="1">
                  <c:v>3.1299425217502501E-2</c:v>
                </c:pt>
                <c:pt idx="2">
                  <c:v>3.2241158413814704E-2</c:v>
                </c:pt>
                <c:pt idx="3">
                  <c:v>3.3182891610126899E-2</c:v>
                </c:pt>
                <c:pt idx="4">
                  <c:v>3.4124624806439102E-2</c:v>
                </c:pt>
                <c:pt idx="5">
                  <c:v>3.5066358002751305E-2</c:v>
                </c:pt>
                <c:pt idx="6">
                  <c:v>3.6008091199063501E-2</c:v>
                </c:pt>
                <c:pt idx="7">
                  <c:v>3.6949824395375704E-2</c:v>
                </c:pt>
                <c:pt idx="8">
                  <c:v>3.7891557591687899E-2</c:v>
                </c:pt>
                <c:pt idx="9">
                  <c:v>3.8833290788000102E-2</c:v>
                </c:pt>
                <c:pt idx="10">
                  <c:v>3.9775023984312305E-2</c:v>
                </c:pt>
                <c:pt idx="11">
                  <c:v>4.0716757180624501E-2</c:v>
                </c:pt>
                <c:pt idx="12">
                  <c:v>4.1658490376936703E-2</c:v>
                </c:pt>
                <c:pt idx="13">
                  <c:v>4.2600223573248899E-2</c:v>
                </c:pt>
                <c:pt idx="14">
                  <c:v>4.3541956769561102E-2</c:v>
                </c:pt>
                <c:pt idx="15">
                  <c:v>4.4483689965873305E-2</c:v>
                </c:pt>
                <c:pt idx="16">
                  <c:v>4.5425423162185501E-2</c:v>
                </c:pt>
                <c:pt idx="17">
                  <c:v>4.6367156358497703E-2</c:v>
                </c:pt>
                <c:pt idx="18">
                  <c:v>4.7308889554809899E-2</c:v>
                </c:pt>
                <c:pt idx="19">
                  <c:v>4.8250622751122102E-2</c:v>
                </c:pt>
                <c:pt idx="20">
                  <c:v>4.9192355947434305E-2</c:v>
                </c:pt>
                <c:pt idx="21">
                  <c:v>5.0134089143746507E-2</c:v>
                </c:pt>
                <c:pt idx="22">
                  <c:v>5.1075822340058703E-2</c:v>
                </c:pt>
                <c:pt idx="23">
                  <c:v>5.2017555536370899E-2</c:v>
                </c:pt>
                <c:pt idx="24">
                  <c:v>5.2959288732683102E-2</c:v>
                </c:pt>
                <c:pt idx="25">
                  <c:v>5.3901021928995305E-2</c:v>
                </c:pt>
                <c:pt idx="26">
                  <c:v>5.4842755125307507E-2</c:v>
                </c:pt>
                <c:pt idx="27">
                  <c:v>5.5784488321619703E-2</c:v>
                </c:pt>
                <c:pt idx="28">
                  <c:v>5.6726221517931899E-2</c:v>
                </c:pt>
                <c:pt idx="29">
                  <c:v>5.7667954714244102E-2</c:v>
                </c:pt>
                <c:pt idx="30">
                  <c:v>5.8609687910556305E-2</c:v>
                </c:pt>
                <c:pt idx="31">
                  <c:v>5.9551421106868507E-2</c:v>
                </c:pt>
                <c:pt idx="32">
                  <c:v>6.0493154303180703E-2</c:v>
                </c:pt>
                <c:pt idx="33">
                  <c:v>6.1434887499492899E-2</c:v>
                </c:pt>
                <c:pt idx="34">
                  <c:v>6.2376620695805102E-2</c:v>
                </c:pt>
                <c:pt idx="35">
                  <c:v>6.3318353892117304E-2</c:v>
                </c:pt>
                <c:pt idx="36">
                  <c:v>6.4260087088429507E-2</c:v>
                </c:pt>
                <c:pt idx="37">
                  <c:v>6.520182028474171E-2</c:v>
                </c:pt>
                <c:pt idx="38">
                  <c:v>6.6143553481053899E-2</c:v>
                </c:pt>
                <c:pt idx="39">
                  <c:v>6.7085286677366102E-2</c:v>
                </c:pt>
                <c:pt idx="40">
                  <c:v>6.8027019873678304E-2</c:v>
                </c:pt>
                <c:pt idx="41">
                  <c:v>6.8968753069990507E-2</c:v>
                </c:pt>
                <c:pt idx="42">
                  <c:v>6.991048626630271E-2</c:v>
                </c:pt>
                <c:pt idx="43">
                  <c:v>7.0852219462614899E-2</c:v>
                </c:pt>
                <c:pt idx="44">
                  <c:v>7.1793952658927102E-2</c:v>
                </c:pt>
                <c:pt idx="45">
                  <c:v>7.2735685855239304E-2</c:v>
                </c:pt>
                <c:pt idx="46">
                  <c:v>7.3677419051551507E-2</c:v>
                </c:pt>
                <c:pt idx="47">
                  <c:v>7.461915224786371E-2</c:v>
                </c:pt>
                <c:pt idx="48">
                  <c:v>7.5560885444175899E-2</c:v>
                </c:pt>
                <c:pt idx="49">
                  <c:v>7.6502618640488101E-2</c:v>
                </c:pt>
                <c:pt idx="50">
                  <c:v>7.7444351836800304E-2</c:v>
                </c:pt>
                <c:pt idx="51">
                  <c:v>7.8386085033112507E-2</c:v>
                </c:pt>
                <c:pt idx="52">
                  <c:v>7.932781822942471E-2</c:v>
                </c:pt>
                <c:pt idx="53">
                  <c:v>8.0269551425736899E-2</c:v>
                </c:pt>
                <c:pt idx="54">
                  <c:v>8.1211284622049101E-2</c:v>
                </c:pt>
                <c:pt idx="55">
                  <c:v>8.2153017818361304E-2</c:v>
                </c:pt>
                <c:pt idx="56">
                  <c:v>8.3094751014673507E-2</c:v>
                </c:pt>
                <c:pt idx="57">
                  <c:v>8.403648421098571E-2</c:v>
                </c:pt>
                <c:pt idx="58">
                  <c:v>8.4978217407297899E-2</c:v>
                </c:pt>
                <c:pt idx="59">
                  <c:v>8.5919950603610101E-2</c:v>
                </c:pt>
                <c:pt idx="60">
                  <c:v>8.6861683799922304E-2</c:v>
                </c:pt>
                <c:pt idx="61">
                  <c:v>8.7803416996234507E-2</c:v>
                </c:pt>
                <c:pt idx="62">
                  <c:v>8.874515019254671E-2</c:v>
                </c:pt>
                <c:pt idx="63">
                  <c:v>8.9686883388858898E-2</c:v>
                </c:pt>
                <c:pt idx="64">
                  <c:v>9.0628616585171101E-2</c:v>
                </c:pt>
                <c:pt idx="65">
                  <c:v>9.1570349781483304E-2</c:v>
                </c:pt>
                <c:pt idx="66">
                  <c:v>9.2512082977795507E-2</c:v>
                </c:pt>
                <c:pt idx="67">
                  <c:v>9.3453816174107709E-2</c:v>
                </c:pt>
                <c:pt idx="68">
                  <c:v>9.4395549370419912E-2</c:v>
                </c:pt>
                <c:pt idx="69">
                  <c:v>9.5337282566732115E-2</c:v>
                </c:pt>
              </c:numCache>
            </c:numRef>
          </c:xVal>
          <c:yVal>
            <c:numRef>
              <c:f>Sheet3_HID!ydata5</c:f>
              <c:numCache>
                <c:formatCode>General</c:formatCode>
                <c:ptCount val="70"/>
                <c:pt idx="0">
                  <c:v>-1.002090657576923E-2</c:v>
                </c:pt>
                <c:pt idx="1">
                  <c:v>-9.0032263176115651E-3</c:v>
                </c:pt>
                <c:pt idx="2">
                  <c:v>-7.9962315266781589E-3</c:v>
                </c:pt>
                <c:pt idx="3">
                  <c:v>-6.9999742662850903E-3</c:v>
                </c:pt>
                <c:pt idx="4">
                  <c:v>-6.0144982933017233E-3</c:v>
                </c:pt>
                <c:pt idx="5">
                  <c:v>-5.0398388843455183E-3</c:v>
                </c:pt>
                <c:pt idx="6">
                  <c:v>-4.076022694510309E-3</c:v>
                </c:pt>
                <c:pt idx="7">
                  <c:v>-3.1230676499385962E-3</c:v>
                </c:pt>
                <c:pt idx="8">
                  <c:v>-2.180982875243126E-3</c:v>
                </c:pt>
                <c:pt idx="9">
                  <c:v>-1.2497686564613419E-3</c:v>
                </c:pt>
                <c:pt idx="10">
                  <c:v>-3.2941643989296138E-4</c:v>
                </c:pt>
                <c:pt idx="11">
                  <c:v>5.8009113316830063E-4</c:v>
                </c:pt>
                <c:pt idx="12">
                  <c:v>1.4787801561372965E-3</c:v>
                </c:pt>
                <c:pt idx="13">
                  <c:v>2.3666853519366329E-3</c:v>
                </c:pt>
                <c:pt idx="14">
                  <c:v>3.2438499338774546E-3</c:v>
                </c:pt>
                <c:pt idx="15">
                  <c:v>4.1103254339130701E-3</c:v>
                </c:pt>
                <c:pt idx="16">
                  <c:v>4.9661714998411877E-3</c:v>
                </c:pt>
                <c:pt idx="17">
                  <c:v>5.8114556632899855E-3</c:v>
                </c:pt>
                <c:pt idx="18">
                  <c:v>6.646253080552264E-3</c:v>
                </c:pt>
                <c:pt idx="19">
                  <c:v>7.47064624852984E-3</c:v>
                </c:pt>
                <c:pt idx="20">
                  <c:v>8.2847246982123424E-3</c:v>
                </c:pt>
                <c:pt idx="21">
                  <c:v>9.0885846682420071E-3</c:v>
                </c:pt>
                <c:pt idx="22">
                  <c:v>9.8823287612058303E-3</c:v>
                </c:pt>
                <c:pt idx="23">
                  <c:v>1.0666065585350749E-2</c:v>
                </c:pt>
                <c:pt idx="24">
                  <c:v>1.1439909384436064E-2</c:v>
                </c:pt>
                <c:pt idx="25">
                  <c:v>1.2203979658422216E-2</c:v>
                </c:pt>
                <c:pt idx="26">
                  <c:v>1.2958400777648399E-2</c:v>
                </c:pt>
                <c:pt idx="27">
                  <c:v>1.3703301593075853E-2</c:v>
                </c:pt>
                <c:pt idx="28">
                  <c:v>1.4438815045071982E-2</c:v>
                </c:pt>
                <c:pt idx="29">
                  <c:v>1.5165077773086712E-2</c:v>
                </c:pt>
                <c:pt idx="30">
                  <c:v>1.5882229728428766E-2</c:v>
                </c:pt>
                <c:pt idx="31">
                  <c:v>1.6590413792191394E-2</c:v>
                </c:pt>
                <c:pt idx="32">
                  <c:v>1.7289775400205779E-2</c:v>
                </c:pt>
                <c:pt idx="33">
                  <c:v>1.79804621767218E-2</c:v>
                </c:pt>
                <c:pt idx="34">
                  <c:v>1.8662623578330741E-2</c:v>
                </c:pt>
                <c:pt idx="35">
                  <c:v>1.9336410549458859E-2</c:v>
                </c:pt>
                <c:pt idx="36">
                  <c:v>2.0001975190574298E-2</c:v>
                </c:pt>
                <c:pt idx="37">
                  <c:v>2.0659470440067794E-2</c:v>
                </c:pt>
                <c:pt idx="38">
                  <c:v>2.130904977059038E-2</c:v>
                </c:pt>
                <c:pt idx="39">
                  <c:v>2.195086690046185E-2</c:v>
                </c:pt>
                <c:pt idx="40">
                  <c:v>2.2585075520602495E-2</c:v>
                </c:pt>
                <c:pt idx="41">
                  <c:v>2.3211829037290646E-2</c:v>
                </c:pt>
                <c:pt idx="42">
                  <c:v>2.383128033090829E-2</c:v>
                </c:pt>
                <c:pt idx="43">
                  <c:v>2.4443581530709337E-2</c:v>
                </c:pt>
                <c:pt idx="44">
                  <c:v>2.5048883805529144E-2</c:v>
                </c:pt>
                <c:pt idx="45">
                  <c:v>2.5647337170250133E-2</c:v>
                </c:pt>
                <c:pt idx="46">
                  <c:v>2.6239090307746453E-2</c:v>
                </c:pt>
                <c:pt idx="47">
                  <c:v>2.6824290405951093E-2</c:v>
                </c:pt>
                <c:pt idx="48">
                  <c:v>2.7403083009620154E-2</c:v>
                </c:pt>
                <c:pt idx="49">
                  <c:v>2.7975611886311653E-2</c:v>
                </c:pt>
                <c:pt idx="50">
                  <c:v>2.854201890604878E-2</c:v>
                </c:pt>
                <c:pt idx="51">
                  <c:v>2.9102443934100393E-2</c:v>
                </c:pt>
                <c:pt idx="52">
                  <c:v>2.9657024736282248E-2</c:v>
                </c:pt>
                <c:pt idx="53">
                  <c:v>3.0205896896162612E-2</c:v>
                </c:pt>
                <c:pt idx="54">
                  <c:v>3.074919374354191E-2</c:v>
                </c:pt>
                <c:pt idx="55">
                  <c:v>3.1287046293570112E-2</c:v>
                </c:pt>
                <c:pt idx="56">
                  <c:v>3.1819583195864629E-2</c:v>
                </c:pt>
                <c:pt idx="57">
                  <c:v>3.2346930692995712E-2</c:v>
                </c:pt>
                <c:pt idx="58">
                  <c:v>3.2869212587715281E-2</c:v>
                </c:pt>
                <c:pt idx="59">
                  <c:v>3.3386550218317962E-2</c:v>
                </c:pt>
                <c:pt idx="60">
                  <c:v>3.389906244153848E-2</c:v>
                </c:pt>
                <c:pt idx="61">
                  <c:v>3.440686562240839E-2</c:v>
                </c:pt>
                <c:pt idx="62">
                  <c:v>3.4910073630515501E-2</c:v>
                </c:pt>
                <c:pt idx="63">
                  <c:v>3.5408797842131419E-2</c:v>
                </c:pt>
                <c:pt idx="64">
                  <c:v>3.590314714769649E-2</c:v>
                </c:pt>
                <c:pt idx="65">
                  <c:v>3.639322796417517E-2</c:v>
                </c:pt>
                <c:pt idx="66">
                  <c:v>3.6879144251819956E-2</c:v>
                </c:pt>
                <c:pt idx="67">
                  <c:v>3.7360997534907257E-2</c:v>
                </c:pt>
                <c:pt idx="68">
                  <c:v>3.783888692603312E-2</c:v>
                </c:pt>
                <c:pt idx="69">
                  <c:v>3.8312909153581987E-2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C7-467C-B4A4-2DA79537D343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Sheet3_HID!xdata6</c:f>
              <c:numCache>
                <c:formatCode>General</c:formatCode>
                <c:ptCount val="70"/>
                <c:pt idx="0">
                  <c:v>2.5796616492370299E-2</c:v>
                </c:pt>
                <c:pt idx="1">
                  <c:v>2.68044522325784E-2</c:v>
                </c:pt>
                <c:pt idx="2">
                  <c:v>2.7812287972786499E-2</c:v>
                </c:pt>
                <c:pt idx="3">
                  <c:v>2.8820123712994597E-2</c:v>
                </c:pt>
                <c:pt idx="4">
                  <c:v>2.9827959453202699E-2</c:v>
                </c:pt>
                <c:pt idx="5">
                  <c:v>3.08357951934108E-2</c:v>
                </c:pt>
                <c:pt idx="6">
                  <c:v>3.1843630933618902E-2</c:v>
                </c:pt>
                <c:pt idx="7">
                  <c:v>3.2851466673826997E-2</c:v>
                </c:pt>
                <c:pt idx="8">
                  <c:v>3.3859302414035099E-2</c:v>
                </c:pt>
                <c:pt idx="9">
                  <c:v>3.48671381542432E-2</c:v>
                </c:pt>
                <c:pt idx="10">
                  <c:v>3.5874973894451295E-2</c:v>
                </c:pt>
                <c:pt idx="11">
                  <c:v>3.6882809634659397E-2</c:v>
                </c:pt>
                <c:pt idx="12">
                  <c:v>3.7890645374867499E-2</c:v>
                </c:pt>
                <c:pt idx="13">
                  <c:v>3.88984811150756E-2</c:v>
                </c:pt>
                <c:pt idx="14">
                  <c:v>3.9906316855283702E-2</c:v>
                </c:pt>
                <c:pt idx="15">
                  <c:v>4.0914152595491797E-2</c:v>
                </c:pt>
                <c:pt idx="16">
                  <c:v>4.1921988335699899E-2</c:v>
                </c:pt>
                <c:pt idx="17">
                  <c:v>4.2929824075908E-2</c:v>
                </c:pt>
                <c:pt idx="18">
                  <c:v>4.3937659816116095E-2</c:v>
                </c:pt>
                <c:pt idx="19">
                  <c:v>4.4945495556324197E-2</c:v>
                </c:pt>
                <c:pt idx="20">
                  <c:v>4.5953331296532299E-2</c:v>
                </c:pt>
                <c:pt idx="21">
                  <c:v>4.69611670367404E-2</c:v>
                </c:pt>
                <c:pt idx="22">
                  <c:v>4.7969002776948502E-2</c:v>
                </c:pt>
                <c:pt idx="23">
                  <c:v>4.8976838517156597E-2</c:v>
                </c:pt>
                <c:pt idx="24">
                  <c:v>4.9984674257364699E-2</c:v>
                </c:pt>
                <c:pt idx="25">
                  <c:v>5.0992509997572801E-2</c:v>
                </c:pt>
                <c:pt idx="26">
                  <c:v>5.2000345737780895E-2</c:v>
                </c:pt>
                <c:pt idx="27">
                  <c:v>5.3008181477988997E-2</c:v>
                </c:pt>
                <c:pt idx="28">
                  <c:v>5.4016017218197099E-2</c:v>
                </c:pt>
                <c:pt idx="29">
                  <c:v>5.5023852958405201E-2</c:v>
                </c:pt>
                <c:pt idx="30">
                  <c:v>5.6031688698613302E-2</c:v>
                </c:pt>
                <c:pt idx="31">
                  <c:v>5.7039524438821397E-2</c:v>
                </c:pt>
                <c:pt idx="32">
                  <c:v>5.8047360179029499E-2</c:v>
                </c:pt>
                <c:pt idx="33">
                  <c:v>5.9055195919237601E-2</c:v>
                </c:pt>
                <c:pt idx="34">
                  <c:v>6.0063031659445702E-2</c:v>
                </c:pt>
                <c:pt idx="35">
                  <c:v>6.1070867399653797E-2</c:v>
                </c:pt>
                <c:pt idx="36">
                  <c:v>6.2078703139861899E-2</c:v>
                </c:pt>
                <c:pt idx="37">
                  <c:v>6.3086538880070001E-2</c:v>
                </c:pt>
                <c:pt idx="38">
                  <c:v>6.4094374620278088E-2</c:v>
                </c:pt>
                <c:pt idx="39">
                  <c:v>6.510221036048619E-2</c:v>
                </c:pt>
                <c:pt idx="40">
                  <c:v>6.6110046100694292E-2</c:v>
                </c:pt>
                <c:pt idx="41">
                  <c:v>6.7117881840902394E-2</c:v>
                </c:pt>
                <c:pt idx="42">
                  <c:v>6.8125717581110495E-2</c:v>
                </c:pt>
                <c:pt idx="43">
                  <c:v>6.9133553321318597E-2</c:v>
                </c:pt>
                <c:pt idx="44">
                  <c:v>7.0141389061526699E-2</c:v>
                </c:pt>
                <c:pt idx="45">
                  <c:v>7.1149224801734801E-2</c:v>
                </c:pt>
                <c:pt idx="46">
                  <c:v>7.2157060541942902E-2</c:v>
                </c:pt>
                <c:pt idx="47">
                  <c:v>7.3164896282151004E-2</c:v>
                </c:pt>
                <c:pt idx="48">
                  <c:v>7.4172732022359106E-2</c:v>
                </c:pt>
                <c:pt idx="49">
                  <c:v>7.5180567762567208E-2</c:v>
                </c:pt>
                <c:pt idx="50">
                  <c:v>7.6188403502775309E-2</c:v>
                </c:pt>
                <c:pt idx="51">
                  <c:v>7.7196239242983397E-2</c:v>
                </c:pt>
                <c:pt idx="52">
                  <c:v>7.8204074983191499E-2</c:v>
                </c:pt>
                <c:pt idx="53">
                  <c:v>7.9211910723399601E-2</c:v>
                </c:pt>
                <c:pt idx="54">
                  <c:v>8.0219746463607688E-2</c:v>
                </c:pt>
                <c:pt idx="55">
                  <c:v>8.122758220381579E-2</c:v>
                </c:pt>
                <c:pt idx="56">
                  <c:v>8.2235417944023892E-2</c:v>
                </c:pt>
                <c:pt idx="57">
                  <c:v>8.3243253684231994E-2</c:v>
                </c:pt>
                <c:pt idx="58">
                  <c:v>8.4251089424440095E-2</c:v>
                </c:pt>
                <c:pt idx="59">
                  <c:v>8.5258925164648197E-2</c:v>
                </c:pt>
                <c:pt idx="60">
                  <c:v>8.6266760904856299E-2</c:v>
                </c:pt>
                <c:pt idx="61">
                  <c:v>8.7274596645064401E-2</c:v>
                </c:pt>
                <c:pt idx="62">
                  <c:v>8.8282432385272502E-2</c:v>
                </c:pt>
                <c:pt idx="63">
                  <c:v>8.9290268125480604E-2</c:v>
                </c:pt>
                <c:pt idx="64">
                  <c:v>9.0298103865688706E-2</c:v>
                </c:pt>
                <c:pt idx="65">
                  <c:v>9.1305939605896808E-2</c:v>
                </c:pt>
                <c:pt idx="66">
                  <c:v>9.2313775346104909E-2</c:v>
                </c:pt>
                <c:pt idx="67">
                  <c:v>9.3321611086313011E-2</c:v>
                </c:pt>
                <c:pt idx="68">
                  <c:v>9.4329446826521113E-2</c:v>
                </c:pt>
                <c:pt idx="69">
                  <c:v>9.5337282566729187E-2</c:v>
                </c:pt>
              </c:numCache>
            </c:numRef>
          </c:xVal>
          <c:yVal>
            <c:numRef>
              <c:f>Sheet3_HID!ydata6</c:f>
              <c:numCache>
                <c:formatCode>General</c:formatCode>
                <c:ptCount val="70"/>
                <c:pt idx="0">
                  <c:v>6.6692069181871122E-2</c:v>
                </c:pt>
                <c:pt idx="1">
                  <c:v>6.7564688312059862E-2</c:v>
                </c:pt>
                <c:pt idx="2">
                  <c:v>6.8449138085673308E-2</c:v>
                </c:pt>
                <c:pt idx="3">
                  <c:v>6.9345526563622722E-2</c:v>
                </c:pt>
                <c:pt idx="4">
                  <c:v>7.0253952484672838E-2</c:v>
                </c:pt>
                <c:pt idx="5">
                  <c:v>7.11745048433432E-2</c:v>
                </c:pt>
                <c:pt idx="6">
                  <c:v>7.210726250267796E-2</c:v>
                </c:pt>
                <c:pt idx="7">
                  <c:v>7.3052293845697669E-2</c:v>
                </c:pt>
                <c:pt idx="8">
                  <c:v>7.4009656469044421E-2</c:v>
                </c:pt>
                <c:pt idx="9">
                  <c:v>7.4979396921967756E-2</c:v>
                </c:pt>
                <c:pt idx="10">
                  <c:v>7.5961550493376412E-2</c:v>
                </c:pt>
                <c:pt idx="11">
                  <c:v>7.6956141049209781E-2</c:v>
                </c:pt>
                <c:pt idx="12">
                  <c:v>7.7963180921867686E-2</c:v>
                </c:pt>
                <c:pt idx="13">
                  <c:v>7.8982670852889944E-2</c:v>
                </c:pt>
                <c:pt idx="14">
                  <c:v>8.0014599989505636E-2</c:v>
                </c:pt>
                <c:pt idx="15">
                  <c:v>8.1058945935089721E-2</c:v>
                </c:pt>
                <c:pt idx="16">
                  <c:v>8.2115674852980741E-2</c:v>
                </c:pt>
                <c:pt idx="17">
                  <c:v>8.3184741622540304E-2</c:v>
                </c:pt>
                <c:pt idx="18">
                  <c:v>8.4266090045784003E-2</c:v>
                </c:pt>
                <c:pt idx="19">
                  <c:v>8.5359653102393629E-2</c:v>
                </c:pt>
                <c:pt idx="20">
                  <c:v>8.6465353250443133E-2</c:v>
                </c:pt>
                <c:pt idx="21">
                  <c:v>8.7583102769741739E-2</c:v>
                </c:pt>
                <c:pt idx="22">
                  <c:v>8.8712804144326224E-2</c:v>
                </c:pt>
                <c:pt idx="23">
                  <c:v>8.9854350480323766E-2</c:v>
                </c:pt>
                <c:pt idx="24">
                  <c:v>9.1007625955160931E-2</c:v>
                </c:pt>
                <c:pt idx="25">
                  <c:v>9.217250629391642E-2</c:v>
                </c:pt>
                <c:pt idx="26">
                  <c:v>9.3348859268503254E-2</c:v>
                </c:pt>
                <c:pt idx="27">
                  <c:v>9.4536545215320247E-2</c:v>
                </c:pt>
                <c:pt idx="28">
                  <c:v>9.5735417567029427E-2</c:v>
                </c:pt>
                <c:pt idx="29">
                  <c:v>9.6945323394191651E-2</c:v>
                </c:pt>
                <c:pt idx="30">
                  <c:v>9.8166103952621375E-2</c:v>
                </c:pt>
                <c:pt idx="31">
                  <c:v>9.9397595232498498E-2</c:v>
                </c:pt>
                <c:pt idx="32">
                  <c:v>0.10063962850549268</c:v>
                </c:pt>
                <c:pt idx="33">
                  <c:v>0.10189203086640686</c:v>
                </c:pt>
                <c:pt idx="34">
                  <c:v>0.10315462576612625</c:v>
                </c:pt>
                <c:pt idx="35">
                  <c:v>0.1044272335329576</c:v>
                </c:pt>
                <c:pt idx="36">
                  <c:v>0.10570967187975566</c:v>
                </c:pt>
                <c:pt idx="37">
                  <c:v>0.10700175639455332</c:v>
                </c:pt>
                <c:pt idx="38">
                  <c:v>0.10830330101273283</c:v>
                </c:pt>
                <c:pt idx="39">
                  <c:v>0.10961411846909108</c:v>
                </c:pt>
                <c:pt idx="40">
                  <c:v>0.11093402072846009</c:v>
                </c:pt>
                <c:pt idx="41">
                  <c:v>0.11226281939383964</c:v>
                </c:pt>
                <c:pt idx="42">
                  <c:v>0.11360032609127713</c:v>
                </c:pt>
                <c:pt idx="43">
                  <c:v>0.11494635283099205</c:v>
                </c:pt>
                <c:pt idx="44">
                  <c:v>0.11630071234448286</c:v>
                </c:pt>
                <c:pt idx="45">
                  <c:v>0.11766321839757307</c:v>
                </c:pt>
                <c:pt idx="46">
                  <c:v>0.11903368607955188</c:v>
                </c:pt>
                <c:pt idx="47">
                  <c:v>0.12041193206873815</c:v>
                </c:pt>
                <c:pt idx="48">
                  <c:v>0.12179777487495069</c:v>
                </c:pt>
                <c:pt idx="49">
                  <c:v>0.12319103505949763</c:v>
                </c:pt>
                <c:pt idx="50">
                  <c:v>0.12459153543340941</c:v>
                </c:pt>
                <c:pt idx="51">
                  <c:v>0.12599910123472952</c:v>
                </c:pt>
                <c:pt idx="52">
                  <c:v>0.12741356028575049</c:v>
                </c:pt>
                <c:pt idx="53">
                  <c:v>0.12883474313113732</c:v>
                </c:pt>
                <c:pt idx="54">
                  <c:v>0.13026248315792111</c:v>
                </c:pt>
                <c:pt idx="55">
                  <c:v>0.13169661669837143</c:v>
                </c:pt>
                <c:pt idx="56">
                  <c:v>0.13313698311676897</c:v>
                </c:pt>
                <c:pt idx="57">
                  <c:v>0.13458342488110359</c:v>
                </c:pt>
                <c:pt idx="58">
                  <c:v>0.1360357876207148</c:v>
                </c:pt>
                <c:pt idx="59">
                  <c:v>0.13749392017087689</c:v>
                </c:pt>
                <c:pt idx="60">
                  <c:v>0.13895767460530867</c:v>
                </c:pt>
                <c:pt idx="61">
                  <c:v>0.1404269062575601</c:v>
                </c:pt>
                <c:pt idx="62">
                  <c:v>0.14190147373219505</c:v>
                </c:pt>
                <c:pt idx="63">
                  <c:v>0.14338123890665336</c:v>
                </c:pt>
                <c:pt idx="64">
                  <c:v>0.14486606692463638</c:v>
                </c:pt>
                <c:pt idx="65">
                  <c:v>0.14635582618181975</c:v>
                </c:pt>
                <c:pt idx="66">
                  <c:v>0.14785038830465311</c:v>
                </c:pt>
                <c:pt idx="67">
                  <c:v>0.14934962812296612</c:v>
                </c:pt>
                <c:pt idx="68">
                  <c:v>0.1508534236370544</c:v>
                </c:pt>
                <c:pt idx="69">
                  <c:v>0.15236165597987786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C7-467C-B4A4-2DA79537D343}"/>
            </c:ext>
          </c:extLst>
        </c:ser>
        <c:ser>
          <c:idx val="4"/>
          <c:order val="4"/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-0.02</c:v>
              </c:pt>
              <c:pt idx="1">
                <c:v>0.16</c:v>
              </c:pt>
            </c:numLit>
          </c:xVal>
          <c:yVal>
            <c:numLit>
              <c:formatCode>General</c:formatCode>
              <c:ptCount val="2"/>
              <c:pt idx="0">
                <c:v>-0.02</c:v>
              </c:pt>
              <c:pt idx="1">
                <c:v>0.16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9C7-467C-B4A4-2DA79537D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713472"/>
        <c:axId val="276715392"/>
      </c:scatterChart>
      <c:valAx>
        <c:axId val="276713472"/>
        <c:scaling>
          <c:orientation val="maxMin"/>
          <c:max val="0.16"/>
          <c:min val="-0.02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Pred(Unemployment Rate (July 1999))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6715392"/>
        <c:crosses val="autoZero"/>
        <c:crossBetween val="midCat"/>
      </c:valAx>
      <c:valAx>
        <c:axId val="276715392"/>
        <c:scaling>
          <c:orientation val="minMax"/>
          <c:max val="0.16"/>
          <c:min val="-0.02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Unemployment Rate (July 1999)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671347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Unemployment Rate (July 1999)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1'!$A$94:$A$224</c:f>
              <c:strCache>
                <c:ptCount val="131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</c:strCache>
            </c:strRef>
          </c:cat>
          <c:val>
            <c:numRef>
              <c:f>'Linear Regression Output 1'!$G$94:$G$224</c:f>
              <c:numCache>
                <c:formatCode>0.000</c:formatCode>
                <c:ptCount val="131"/>
                <c:pt idx="0">
                  <c:v>-0.46387673416300168</c:v>
                </c:pt>
                <c:pt idx="1">
                  <c:v>-0.45985167465841076</c:v>
                </c:pt>
                <c:pt idx="2">
                  <c:v>-0.39435302820838458</c:v>
                </c:pt>
                <c:pt idx="3">
                  <c:v>0.10881655915645853</c:v>
                </c:pt>
                <c:pt idx="4">
                  <c:v>-0.24820209156661124</c:v>
                </c:pt>
                <c:pt idx="5">
                  <c:v>-1.2181161873174761E-2</c:v>
                </c:pt>
                <c:pt idx="6">
                  <c:v>-0.52285042814083238</c:v>
                </c:pt>
                <c:pt idx="7">
                  <c:v>-0.66818092428807874</c:v>
                </c:pt>
                <c:pt idx="8">
                  <c:v>4.27977375461061</c:v>
                </c:pt>
                <c:pt idx="9">
                  <c:v>4.9291328501012499</c:v>
                </c:pt>
                <c:pt idx="10">
                  <c:v>0.93982652212763895</c:v>
                </c:pt>
                <c:pt idx="11">
                  <c:v>-1.6206221377765364E-2</c:v>
                </c:pt>
                <c:pt idx="12">
                  <c:v>-0.61006624228879824</c:v>
                </c:pt>
                <c:pt idx="13">
                  <c:v>-1.3248082697773951</c:v>
                </c:pt>
                <c:pt idx="14">
                  <c:v>7.4407069200379372E-2</c:v>
                </c:pt>
                <c:pt idx="15">
                  <c:v>-0.61354086168702227</c:v>
                </c:pt>
                <c:pt idx="16">
                  <c:v>1.1874493331965266</c:v>
                </c:pt>
                <c:pt idx="17">
                  <c:v>-0.49414545016242134</c:v>
                </c:pt>
                <c:pt idx="18">
                  <c:v>-0.91326527090533871</c:v>
                </c:pt>
                <c:pt idx="19">
                  <c:v>-0.36318672874639191</c:v>
                </c:pt>
                <c:pt idx="20">
                  <c:v>0.41463119519267239</c:v>
                </c:pt>
                <c:pt idx="21">
                  <c:v>-0.29858566575893913</c:v>
                </c:pt>
                <c:pt idx="22">
                  <c:v>1.4319832397074206</c:v>
                </c:pt>
                <c:pt idx="23">
                  <c:v>-0.32545690532818061</c:v>
                </c:pt>
                <c:pt idx="24">
                  <c:v>0.1281495483388623</c:v>
                </c:pt>
                <c:pt idx="25">
                  <c:v>-0.27839366459798487</c:v>
                </c:pt>
                <c:pt idx="26">
                  <c:v>-0.33889252511280116</c:v>
                </c:pt>
                <c:pt idx="27">
                  <c:v>0.8834298640854592</c:v>
                </c:pt>
                <c:pt idx="28">
                  <c:v>-0.28261158152269039</c:v>
                </c:pt>
                <c:pt idx="29">
                  <c:v>0.47005312680423311</c:v>
                </c:pt>
                <c:pt idx="30">
                  <c:v>0.59858909822070339</c:v>
                </c:pt>
                <c:pt idx="31">
                  <c:v>-0.83202396912320153</c:v>
                </c:pt>
                <c:pt idx="32">
                  <c:v>-0.65048881609472953</c:v>
                </c:pt>
                <c:pt idx="33">
                  <c:v>-0.22293316150240125</c:v>
                </c:pt>
                <c:pt idx="34">
                  <c:v>0.4205285645904554</c:v>
                </c:pt>
                <c:pt idx="35">
                  <c:v>-0.19340774302946287</c:v>
                </c:pt>
                <c:pt idx="36">
                  <c:v>0.15845683582230446</c:v>
                </c:pt>
                <c:pt idx="37">
                  <c:v>5.3394627544897759E-2</c:v>
                </c:pt>
                <c:pt idx="38">
                  <c:v>-0.51113283231331197</c:v>
                </c:pt>
                <c:pt idx="39">
                  <c:v>-0.58756720558035436</c:v>
                </c:pt>
                <c:pt idx="40">
                  <c:v>-0.47082597295944983</c:v>
                </c:pt>
                <c:pt idx="41">
                  <c:v>0.40033656342950114</c:v>
                </c:pt>
                <c:pt idx="42">
                  <c:v>-9.0256416129271114E-2</c:v>
                </c:pt>
                <c:pt idx="43">
                  <c:v>-0.80261426510233225</c:v>
                </c:pt>
                <c:pt idx="44">
                  <c:v>-0.35404616885452239</c:v>
                </c:pt>
                <c:pt idx="45">
                  <c:v>4.5856377158060069E-2</c:v>
                </c:pt>
                <c:pt idx="46">
                  <c:v>0.26172387717456547</c:v>
                </c:pt>
                <c:pt idx="47">
                  <c:v>0.651511136864659</c:v>
                </c:pt>
                <c:pt idx="48">
                  <c:v>-1.3408209254976675</c:v>
                </c:pt>
                <c:pt idx="49">
                  <c:v>0.47766852015911654</c:v>
                </c:pt>
                <c:pt idx="50">
                  <c:v>-0.64373243471839647</c:v>
                </c:pt>
                <c:pt idx="51">
                  <c:v>-0.60936151624633983</c:v>
                </c:pt>
                <c:pt idx="52">
                  <c:v>-0.82104967082216296</c:v>
                </c:pt>
                <c:pt idx="53">
                  <c:v>-1.0646859938704831</c:v>
                </c:pt>
                <c:pt idx="54">
                  <c:v>-1.1764274405561774</c:v>
                </c:pt>
                <c:pt idx="55">
                  <c:v>-1.0034052643451621</c:v>
                </c:pt>
                <c:pt idx="56">
                  <c:v>-0.16165243197708029</c:v>
                </c:pt>
                <c:pt idx="57">
                  <c:v>-0.48172312829244252</c:v>
                </c:pt>
                <c:pt idx="58">
                  <c:v>-3.4795913033687495E-2</c:v>
                </c:pt>
                <c:pt idx="59">
                  <c:v>-0.32967482225288597</c:v>
                </c:pt>
                <c:pt idx="60">
                  <c:v>2.4882506986601303E-2</c:v>
                </c:pt>
                <c:pt idx="61">
                  <c:v>0.96994095219096699</c:v>
                </c:pt>
                <c:pt idx="62">
                  <c:v>0.73388145101350766</c:v>
                </c:pt>
                <c:pt idx="63">
                  <c:v>-0.1775879447293062</c:v>
                </c:pt>
                <c:pt idx="64">
                  <c:v>0.7187278072717862</c:v>
                </c:pt>
                <c:pt idx="65">
                  <c:v>-0.38341730139136904</c:v>
                </c:pt>
                <c:pt idx="66">
                  <c:v>-0.82612659972541869</c:v>
                </c:pt>
                <c:pt idx="67">
                  <c:v>0.30542821295860584</c:v>
                </c:pt>
                <c:pt idx="68">
                  <c:v>-0.91935549772323666</c:v>
                </c:pt>
                <c:pt idx="69">
                  <c:v>-1.2814125058655386</c:v>
                </c:pt>
                <c:pt idx="70">
                  <c:v>-0.93118880800282589</c:v>
                </c:pt>
                <c:pt idx="71">
                  <c:v>-0.74215397607153866</c:v>
                </c:pt>
                <c:pt idx="72">
                  <c:v>-0.82101109933813998</c:v>
                </c:pt>
                <c:pt idx="73">
                  <c:v>3.9338451166406481</c:v>
                </c:pt>
                <c:pt idx="74">
                  <c:v>0.41970812409592806</c:v>
                </c:pt>
                <c:pt idx="75">
                  <c:v>-0.27163728322165132</c:v>
                </c:pt>
                <c:pt idx="76">
                  <c:v>-0.6235790050414648</c:v>
                </c:pt>
                <c:pt idx="77">
                  <c:v>-0.43962110201343396</c:v>
                </c:pt>
                <c:pt idx="78">
                  <c:v>0.46251487641739508</c:v>
                </c:pt>
                <c:pt idx="79">
                  <c:v>-0.17088057416704094</c:v>
                </c:pt>
                <c:pt idx="80">
                  <c:v>-0.25312473453377488</c:v>
                </c:pt>
                <c:pt idx="81">
                  <c:v>-0.17672893275075602</c:v>
                </c:pt>
                <c:pt idx="82">
                  <c:v>8.28043315657669E-2</c:v>
                </c:pt>
                <c:pt idx="83">
                  <c:v>-0.24562505563096002</c:v>
                </c:pt>
                <c:pt idx="84">
                  <c:v>0.16771311016624318</c:v>
                </c:pt>
                <c:pt idx="85">
                  <c:v>-0.59760534893479689</c:v>
                </c:pt>
                <c:pt idx="86">
                  <c:v>0.51879582000750601</c:v>
                </c:pt>
                <c:pt idx="87">
                  <c:v>-0.16169100346110349</c:v>
                </c:pt>
                <c:pt idx="88">
                  <c:v>-0.14825538367648308</c:v>
                </c:pt>
                <c:pt idx="89">
                  <c:v>0.56507719172719728</c:v>
                </c:pt>
                <c:pt idx="90">
                  <c:v>0.19544336171403448</c:v>
                </c:pt>
                <c:pt idx="91">
                  <c:v>0.85737906501074501</c:v>
                </c:pt>
                <c:pt idx="92">
                  <c:v>0.29371061713108548</c:v>
                </c:pt>
                <c:pt idx="93">
                  <c:v>0.48942468747065976</c:v>
                </c:pt>
                <c:pt idx="94">
                  <c:v>-0.55725991809691156</c:v>
                </c:pt>
                <c:pt idx="95">
                  <c:v>-0.29081598646796369</c:v>
                </c:pt>
                <c:pt idx="96">
                  <c:v>9.9632526699159202E-2</c:v>
                </c:pt>
                <c:pt idx="97">
                  <c:v>0.75653477365804322</c:v>
                </c:pt>
                <c:pt idx="98">
                  <c:v>-0.49347929560398573</c:v>
                </c:pt>
                <c:pt idx="99">
                  <c:v>-0.82362670675781391</c:v>
                </c:pt>
                <c:pt idx="100">
                  <c:v>-0.49347929560398573</c:v>
                </c:pt>
                <c:pt idx="101">
                  <c:v>-0.62701505295566606</c:v>
                </c:pt>
                <c:pt idx="102">
                  <c:v>-1.0621861009028781</c:v>
                </c:pt>
                <c:pt idx="103">
                  <c:v>-2.389875770069445E-2</c:v>
                </c:pt>
                <c:pt idx="104">
                  <c:v>-0.14821681219245955</c:v>
                </c:pt>
                <c:pt idx="105">
                  <c:v>-0.43469845904626997</c:v>
                </c:pt>
                <c:pt idx="106">
                  <c:v>9.6902917608573738E-3</c:v>
                </c:pt>
                <c:pt idx="107">
                  <c:v>-0.10876896481714754</c:v>
                </c:pt>
                <c:pt idx="108">
                  <c:v>-0.63877122026720923</c:v>
                </c:pt>
                <c:pt idx="109">
                  <c:v>1.4663541581794766</c:v>
                </c:pt>
                <c:pt idx="110">
                  <c:v>-0.40607062403590477</c:v>
                </c:pt>
                <c:pt idx="111">
                  <c:v>3.1279883692816082</c:v>
                </c:pt>
                <c:pt idx="112">
                  <c:v>0.12397020289817962</c:v>
                </c:pt>
                <c:pt idx="113">
                  <c:v>-0.22043326853479606</c:v>
                </c:pt>
                <c:pt idx="114">
                  <c:v>-4.4911199356176067E-2</c:v>
                </c:pt>
                <c:pt idx="115">
                  <c:v>-0.49008181917380755</c:v>
                </c:pt>
                <c:pt idx="116">
                  <c:v>-0.18598520709469407</c:v>
                </c:pt>
                <c:pt idx="117">
                  <c:v>-0.45899266267986089</c:v>
                </c:pt>
                <c:pt idx="118">
                  <c:v>-0.65478387598748067</c:v>
                </c:pt>
                <c:pt idx="119">
                  <c:v>-1.0326992539139628</c:v>
                </c:pt>
                <c:pt idx="120">
                  <c:v>0.50875767665306348</c:v>
                </c:pt>
                <c:pt idx="121">
                  <c:v>-0.60756634932119336</c:v>
                </c:pt>
                <c:pt idx="122">
                  <c:v>0.70115141353050559</c:v>
                </c:pt>
                <c:pt idx="123">
                  <c:v>3.9420495215859215</c:v>
                </c:pt>
                <c:pt idx="124">
                  <c:v>-0.57327257381718311</c:v>
                </c:pt>
                <c:pt idx="125">
                  <c:v>-0.54890122721554646</c:v>
                </c:pt>
                <c:pt idx="126">
                  <c:v>-0.3035468802101256</c:v>
                </c:pt>
                <c:pt idx="127">
                  <c:v>0.42470791003113806</c:v>
                </c:pt>
                <c:pt idx="128">
                  <c:v>1.048054777931086</c:v>
                </c:pt>
                <c:pt idx="129">
                  <c:v>0.64147299351021647</c:v>
                </c:pt>
                <c:pt idx="130">
                  <c:v>-9.3615321075426458E-2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3-4D3B-9CA6-B3B3A8EFB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76744064"/>
        <c:axId val="276746240"/>
      </c:barChart>
      <c:catAx>
        <c:axId val="27674406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6746240"/>
        <c:crosses val="autoZero"/>
        <c:auto val="1"/>
        <c:lblAlgn val="ctr"/>
        <c:lblOffset val="100"/>
        <c:noMultiLvlLbl val="0"/>
      </c:catAx>
      <c:valAx>
        <c:axId val="276746240"/>
        <c:scaling>
          <c:orientation val="maxMin"/>
          <c:max val="5"/>
          <c:min val="-5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674406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2A7498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Sheet7_HID!$G$1:$G$32</c:f>
              <c:numCache>
                <c:formatCode>General</c:formatCode>
                <c:ptCount val="32"/>
                <c:pt idx="0">
                  <c:v>344.1</c:v>
                </c:pt>
                <c:pt idx="1">
                  <c:v>301</c:v>
                </c:pt>
                <c:pt idx="2">
                  <c:v>302</c:v>
                </c:pt>
                <c:pt idx="3">
                  <c:v>277.10000000000002</c:v>
                </c:pt>
                <c:pt idx="4">
                  <c:v>284.89999999999998</c:v>
                </c:pt>
                <c:pt idx="5">
                  <c:v>293.2</c:v>
                </c:pt>
                <c:pt idx="6">
                  <c:v>348</c:v>
                </c:pt>
                <c:pt idx="7">
                  <c:v>351.3</c:v>
                </c:pt>
                <c:pt idx="8">
                  <c:v>365.7</c:v>
                </c:pt>
                <c:pt idx="9">
                  <c:v>346.3</c:v>
                </c:pt>
                <c:pt idx="10">
                  <c:v>322.89999999999998</c:v>
                </c:pt>
                <c:pt idx="11">
                  <c:v>370.7</c:v>
                </c:pt>
                <c:pt idx="12">
                  <c:v>333.6</c:v>
                </c:pt>
                <c:pt idx="13">
                  <c:v>358.7</c:v>
                </c:pt>
                <c:pt idx="14">
                  <c:v>357.4</c:v>
                </c:pt>
                <c:pt idx="15">
                  <c:v>276.8</c:v>
                </c:pt>
                <c:pt idx="16">
                  <c:v>287.5</c:v>
                </c:pt>
                <c:pt idx="17">
                  <c:v>336.2</c:v>
                </c:pt>
                <c:pt idx="18">
                  <c:v>411.2</c:v>
                </c:pt>
                <c:pt idx="19">
                  <c:v>361.2</c:v>
                </c:pt>
                <c:pt idx="20">
                  <c:v>331.4</c:v>
                </c:pt>
                <c:pt idx="21">
                  <c:v>294.7</c:v>
                </c:pt>
                <c:pt idx="22">
                  <c:v>294.8</c:v>
                </c:pt>
                <c:pt idx="23">
                  <c:v>358.1</c:v>
                </c:pt>
                <c:pt idx="24">
                  <c:v>327.39999999999998</c:v>
                </c:pt>
                <c:pt idx="25">
                  <c:v>315.2</c:v>
                </c:pt>
                <c:pt idx="26">
                  <c:v>237.3</c:v>
                </c:pt>
                <c:pt idx="27">
                  <c:v>348.9</c:v>
                </c:pt>
                <c:pt idx="28">
                  <c:v>297.5</c:v>
                </c:pt>
                <c:pt idx="29">
                  <c:v>326.8</c:v>
                </c:pt>
                <c:pt idx="30">
                  <c:v>311.7</c:v>
                </c:pt>
                <c:pt idx="31">
                  <c:v>333.4</c:v>
                </c:pt>
              </c:numCache>
            </c:numRef>
          </c:xVal>
          <c:yVal>
            <c:numRef>
              <c:f>Sheet7_HID!$H$1:$H$32</c:f>
              <c:numCache>
                <c:formatCode>General</c:formatCode>
                <c:ptCount val="32"/>
                <c:pt idx="0">
                  <c:v>25.2</c:v>
                </c:pt>
                <c:pt idx="1">
                  <c:v>16.2</c:v>
                </c:pt>
                <c:pt idx="2">
                  <c:v>17.2</c:v>
                </c:pt>
                <c:pt idx="3">
                  <c:v>15.8</c:v>
                </c:pt>
                <c:pt idx="4">
                  <c:v>16.7</c:v>
                </c:pt>
                <c:pt idx="5">
                  <c:v>20.9</c:v>
                </c:pt>
                <c:pt idx="6">
                  <c:v>23.8</c:v>
                </c:pt>
                <c:pt idx="7">
                  <c:v>25.1</c:v>
                </c:pt>
                <c:pt idx="8">
                  <c:v>28.4</c:v>
                </c:pt>
                <c:pt idx="9">
                  <c:v>20</c:v>
                </c:pt>
                <c:pt idx="10">
                  <c:v>21.6</c:v>
                </c:pt>
                <c:pt idx="11">
                  <c:v>27.2</c:v>
                </c:pt>
                <c:pt idx="12">
                  <c:v>23.7</c:v>
                </c:pt>
                <c:pt idx="13">
                  <c:v>28.1</c:v>
                </c:pt>
                <c:pt idx="14">
                  <c:v>25.7</c:v>
                </c:pt>
                <c:pt idx="15">
                  <c:v>14.1</c:v>
                </c:pt>
                <c:pt idx="16">
                  <c:v>16.7</c:v>
                </c:pt>
                <c:pt idx="17">
                  <c:v>22.8</c:v>
                </c:pt>
                <c:pt idx="18">
                  <c:v>36.799999999999997</c:v>
                </c:pt>
                <c:pt idx="19">
                  <c:v>23.7</c:v>
                </c:pt>
                <c:pt idx="20">
                  <c:v>23.3</c:v>
                </c:pt>
                <c:pt idx="21">
                  <c:v>16.8</c:v>
                </c:pt>
                <c:pt idx="22">
                  <c:v>17.7</c:v>
                </c:pt>
                <c:pt idx="23">
                  <c:v>21</c:v>
                </c:pt>
                <c:pt idx="24">
                  <c:v>24.6</c:v>
                </c:pt>
                <c:pt idx="25">
                  <c:v>25.8</c:v>
                </c:pt>
                <c:pt idx="26">
                  <c:v>13.7</c:v>
                </c:pt>
                <c:pt idx="27">
                  <c:v>24.6</c:v>
                </c:pt>
                <c:pt idx="28">
                  <c:v>16.399999999999999</c:v>
                </c:pt>
                <c:pt idx="29">
                  <c:v>20.9</c:v>
                </c:pt>
                <c:pt idx="30">
                  <c:v>18.8</c:v>
                </c:pt>
                <c:pt idx="31">
                  <c:v>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72-4705-AF00-7E3130A1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19104"/>
        <c:axId val="148721024"/>
      </c:scatterChart>
      <c:valAx>
        <c:axId val="148719104"/>
        <c:scaling>
          <c:orientation val="maxMin"/>
          <c:max val="5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Yards/Game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48721024"/>
        <c:crosses val="autoZero"/>
        <c:crossBetween val="midCat"/>
      </c:valAx>
      <c:valAx>
        <c:axId val="148721024"/>
        <c:scaling>
          <c:orientation val="minMax"/>
          <c:max val="40"/>
          <c:min val="1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Points/Game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871910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ln w="635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Points/Game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B2-4FAB-8EA4-D6BD41DC90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0.16677138011748482</c:v>
                </c:pt>
              </c:numLit>
            </c:plus>
            <c:minus>
              <c:numLit>
                <c:formatCode>General</c:formatCode>
                <c:ptCount val="1"/>
                <c:pt idx="0">
                  <c:v>0.16677138011748482</c:v>
                </c:pt>
              </c:numLit>
            </c:minus>
          </c:errBars>
          <c:cat>
            <c:strRef>
              <c:f>'Linear Regression Output 2'!$A$68</c:f>
              <c:strCache>
                <c:ptCount val="1"/>
                <c:pt idx="0">
                  <c:v>Yards/Game</c:v>
                </c:pt>
              </c:strCache>
            </c:strRef>
          </c:cat>
          <c:val>
            <c:numRef>
              <c:f>'Linear Regression Output 2'!$B$68</c:f>
              <c:numCache>
                <c:formatCode>0.000</c:formatCode>
                <c:ptCount val="1"/>
                <c:pt idx="0">
                  <c:v>0.89439965577532754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B2-4FAB-8EA4-D6BD41DC9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77485440"/>
        <c:axId val="277491712"/>
      </c:barChart>
      <c:catAx>
        <c:axId val="27748544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491712"/>
        <c:crosses val="autoZero"/>
        <c:auto val="1"/>
        <c:lblAlgn val="ctr"/>
        <c:lblOffset val="100"/>
        <c:noMultiLvlLbl val="0"/>
      </c:catAx>
      <c:valAx>
        <c:axId val="27749171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485440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Regression of Points/Game by Yards/Game (R²=0.800)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2'!$C$94:$C$125</c:f>
              <c:numCache>
                <c:formatCode>0.000</c:formatCode>
                <c:ptCount val="32"/>
                <c:pt idx="0">
                  <c:v>344.1</c:v>
                </c:pt>
                <c:pt idx="1">
                  <c:v>301</c:v>
                </c:pt>
                <c:pt idx="2">
                  <c:v>302</c:v>
                </c:pt>
                <c:pt idx="3">
                  <c:v>277.10000000000002</c:v>
                </c:pt>
                <c:pt idx="4">
                  <c:v>284.89999999999998</c:v>
                </c:pt>
                <c:pt idx="5">
                  <c:v>293.2</c:v>
                </c:pt>
                <c:pt idx="6">
                  <c:v>348</c:v>
                </c:pt>
                <c:pt idx="7">
                  <c:v>351.3</c:v>
                </c:pt>
                <c:pt idx="8">
                  <c:v>365.7</c:v>
                </c:pt>
                <c:pt idx="9">
                  <c:v>346.3</c:v>
                </c:pt>
                <c:pt idx="10">
                  <c:v>322.89999999999998</c:v>
                </c:pt>
                <c:pt idx="11">
                  <c:v>370.7</c:v>
                </c:pt>
                <c:pt idx="12">
                  <c:v>333.6</c:v>
                </c:pt>
                <c:pt idx="13">
                  <c:v>358.7</c:v>
                </c:pt>
                <c:pt idx="14">
                  <c:v>357.4</c:v>
                </c:pt>
                <c:pt idx="15">
                  <c:v>276.8</c:v>
                </c:pt>
                <c:pt idx="16">
                  <c:v>287.5</c:v>
                </c:pt>
                <c:pt idx="17">
                  <c:v>336.2</c:v>
                </c:pt>
                <c:pt idx="18">
                  <c:v>411.2</c:v>
                </c:pt>
                <c:pt idx="19">
                  <c:v>361.2</c:v>
                </c:pt>
                <c:pt idx="20">
                  <c:v>331.4</c:v>
                </c:pt>
                <c:pt idx="21">
                  <c:v>294.7</c:v>
                </c:pt>
                <c:pt idx="22">
                  <c:v>294.8</c:v>
                </c:pt>
                <c:pt idx="23">
                  <c:v>358.1</c:v>
                </c:pt>
                <c:pt idx="24">
                  <c:v>327.39999999999998</c:v>
                </c:pt>
                <c:pt idx="25">
                  <c:v>315.2</c:v>
                </c:pt>
                <c:pt idx="26">
                  <c:v>237.3</c:v>
                </c:pt>
                <c:pt idx="27">
                  <c:v>348.9</c:v>
                </c:pt>
                <c:pt idx="28">
                  <c:v>297.5</c:v>
                </c:pt>
                <c:pt idx="29">
                  <c:v>326.8</c:v>
                </c:pt>
                <c:pt idx="30">
                  <c:v>311.7</c:v>
                </c:pt>
                <c:pt idx="31">
                  <c:v>333.4</c:v>
                </c:pt>
              </c:numCache>
            </c:numRef>
          </c:xVal>
          <c:yVal>
            <c:numRef>
              <c:f>'Linear Regression Output 2'!$D$94:$D$125</c:f>
              <c:numCache>
                <c:formatCode>0.000</c:formatCode>
                <c:ptCount val="32"/>
                <c:pt idx="0">
                  <c:v>25.2</c:v>
                </c:pt>
                <c:pt idx="1">
                  <c:v>16.2</c:v>
                </c:pt>
                <c:pt idx="2">
                  <c:v>17.2</c:v>
                </c:pt>
                <c:pt idx="3">
                  <c:v>15.8</c:v>
                </c:pt>
                <c:pt idx="4">
                  <c:v>16.7</c:v>
                </c:pt>
                <c:pt idx="5">
                  <c:v>20.9</c:v>
                </c:pt>
                <c:pt idx="6">
                  <c:v>23.8</c:v>
                </c:pt>
                <c:pt idx="7">
                  <c:v>25.1</c:v>
                </c:pt>
                <c:pt idx="8">
                  <c:v>28.4</c:v>
                </c:pt>
                <c:pt idx="9">
                  <c:v>20</c:v>
                </c:pt>
                <c:pt idx="10">
                  <c:v>21.6</c:v>
                </c:pt>
                <c:pt idx="11">
                  <c:v>27.2</c:v>
                </c:pt>
                <c:pt idx="12">
                  <c:v>23.7</c:v>
                </c:pt>
                <c:pt idx="13">
                  <c:v>28.1</c:v>
                </c:pt>
                <c:pt idx="14">
                  <c:v>25.7</c:v>
                </c:pt>
                <c:pt idx="15">
                  <c:v>14.1</c:v>
                </c:pt>
                <c:pt idx="16">
                  <c:v>16.7</c:v>
                </c:pt>
                <c:pt idx="17">
                  <c:v>22.8</c:v>
                </c:pt>
                <c:pt idx="18">
                  <c:v>36.799999999999997</c:v>
                </c:pt>
                <c:pt idx="19">
                  <c:v>23.7</c:v>
                </c:pt>
                <c:pt idx="20">
                  <c:v>23.3</c:v>
                </c:pt>
                <c:pt idx="21">
                  <c:v>16.8</c:v>
                </c:pt>
                <c:pt idx="22">
                  <c:v>17.7</c:v>
                </c:pt>
                <c:pt idx="23">
                  <c:v>21</c:v>
                </c:pt>
                <c:pt idx="24">
                  <c:v>24.6</c:v>
                </c:pt>
                <c:pt idx="25">
                  <c:v>25.8</c:v>
                </c:pt>
                <c:pt idx="26">
                  <c:v>13.7</c:v>
                </c:pt>
                <c:pt idx="27">
                  <c:v>24.6</c:v>
                </c:pt>
                <c:pt idx="28">
                  <c:v>16.399999999999999</c:v>
                </c:pt>
                <c:pt idx="29">
                  <c:v>20.9</c:v>
                </c:pt>
                <c:pt idx="30">
                  <c:v>18.8</c:v>
                </c:pt>
                <c:pt idx="31">
                  <c:v>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F-4CD4-B21A-F1A404A64928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301</c:v>
              </c:pt>
            </c:numLit>
          </c:xVal>
          <c:yVal>
            <c:numLit>
              <c:formatCode>General</c:formatCode>
              <c:ptCount val="1"/>
              <c:pt idx="0">
                <c:v>16.2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6DF-4CD4-B21A-F1A404A64928}"/>
            </c:ext>
          </c:extLst>
        </c:ser>
        <c:ser>
          <c:idx val="2"/>
          <c:order val="2"/>
          <c:tx>
            <c:v>Model</c:v>
          </c:tx>
          <c:spPr>
            <a:ln w="127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219.91000000000003</c:v>
              </c:pt>
              <c:pt idx="1">
                <c:v>428.59</c:v>
              </c:pt>
            </c:numLit>
          </c:xVal>
          <c:yVal>
            <c:numLit>
              <c:formatCode>General</c:formatCode>
              <c:ptCount val="2"/>
              <c:pt idx="0">
                <c:v>8.4365228324731731</c:v>
              </c:pt>
              <c:pt idx="1">
                <c:v>34.707066973577255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6DF-4CD4-B21A-F1A404A64928}"/>
            </c:ext>
          </c:extLst>
        </c:ser>
        <c:ser>
          <c:idx val="3"/>
          <c:order val="3"/>
          <c:tx>
            <c:v>Conf. interval (Mean 95%)</c:v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Sheet9_HID!xdata1</c:f>
              <c:numCache>
                <c:formatCode>General</c:formatCode>
                <c:ptCount val="70"/>
                <c:pt idx="0">
                  <c:v>219.91</c:v>
                </c:pt>
                <c:pt idx="1">
                  <c:v>222.93434782608696</c:v>
                </c:pt>
                <c:pt idx="2">
                  <c:v>225.95869565217393</c:v>
                </c:pt>
                <c:pt idx="3">
                  <c:v>228.98304347826087</c:v>
                </c:pt>
                <c:pt idx="4">
                  <c:v>232.00739130434783</c:v>
                </c:pt>
                <c:pt idx="5">
                  <c:v>235.0317391304348</c:v>
                </c:pt>
                <c:pt idx="6">
                  <c:v>238.05608695652177</c:v>
                </c:pt>
                <c:pt idx="7">
                  <c:v>241.08043478260871</c:v>
                </c:pt>
                <c:pt idx="8">
                  <c:v>244.10478260869567</c:v>
                </c:pt>
                <c:pt idx="9">
                  <c:v>247.12913043478264</c:v>
                </c:pt>
                <c:pt idx="10">
                  <c:v>250.1534782608696</c:v>
                </c:pt>
                <c:pt idx="11">
                  <c:v>253.17782608695654</c:v>
                </c:pt>
                <c:pt idx="12">
                  <c:v>256.20217391304351</c:v>
                </c:pt>
                <c:pt idx="13">
                  <c:v>259.22652173913048</c:v>
                </c:pt>
                <c:pt idx="14">
                  <c:v>262.25086956521744</c:v>
                </c:pt>
                <c:pt idx="15">
                  <c:v>265.27521739130441</c:v>
                </c:pt>
                <c:pt idx="16">
                  <c:v>268.29956521739138</c:v>
                </c:pt>
                <c:pt idx="17">
                  <c:v>271.32391304347834</c:v>
                </c:pt>
                <c:pt idx="18">
                  <c:v>274.34826086956525</c:v>
                </c:pt>
                <c:pt idx="19">
                  <c:v>277.37260869565222</c:v>
                </c:pt>
                <c:pt idx="20">
                  <c:v>280.39695652173918</c:v>
                </c:pt>
                <c:pt idx="21">
                  <c:v>283.42130434782615</c:v>
                </c:pt>
                <c:pt idx="22">
                  <c:v>286.44565217391312</c:v>
                </c:pt>
                <c:pt idx="23">
                  <c:v>289.47000000000008</c:v>
                </c:pt>
                <c:pt idx="24">
                  <c:v>292.49434782608705</c:v>
                </c:pt>
                <c:pt idx="25">
                  <c:v>295.51869565217396</c:v>
                </c:pt>
                <c:pt idx="26">
                  <c:v>298.54304347826098</c:v>
                </c:pt>
                <c:pt idx="27">
                  <c:v>301.56739130434789</c:v>
                </c:pt>
                <c:pt idx="28">
                  <c:v>304.59173913043486</c:v>
                </c:pt>
                <c:pt idx="29">
                  <c:v>307.61608695652183</c:v>
                </c:pt>
                <c:pt idx="30">
                  <c:v>310.64043478260879</c:v>
                </c:pt>
                <c:pt idx="31">
                  <c:v>313.66478260869576</c:v>
                </c:pt>
                <c:pt idx="32">
                  <c:v>316.68913043478273</c:v>
                </c:pt>
                <c:pt idx="33">
                  <c:v>319.71347826086969</c:v>
                </c:pt>
                <c:pt idx="34">
                  <c:v>322.7378260869566</c:v>
                </c:pt>
                <c:pt idx="35">
                  <c:v>325.76217391304363</c:v>
                </c:pt>
                <c:pt idx="36">
                  <c:v>328.78652173913054</c:v>
                </c:pt>
                <c:pt idx="37">
                  <c:v>331.8108695652175</c:v>
                </c:pt>
                <c:pt idx="38">
                  <c:v>334.83521739130447</c:v>
                </c:pt>
                <c:pt idx="39">
                  <c:v>337.85956521739143</c:v>
                </c:pt>
                <c:pt idx="40">
                  <c:v>340.8839130434784</c:v>
                </c:pt>
                <c:pt idx="41">
                  <c:v>343.90826086956537</c:v>
                </c:pt>
                <c:pt idx="42">
                  <c:v>346.93260869565233</c:v>
                </c:pt>
                <c:pt idx="43">
                  <c:v>349.95695652173924</c:v>
                </c:pt>
                <c:pt idx="44">
                  <c:v>352.98130434782627</c:v>
                </c:pt>
                <c:pt idx="45">
                  <c:v>356.00565217391318</c:v>
                </c:pt>
                <c:pt idx="46">
                  <c:v>359.03000000000014</c:v>
                </c:pt>
                <c:pt idx="47">
                  <c:v>362.05434782608711</c:v>
                </c:pt>
                <c:pt idx="48">
                  <c:v>365.07869565217408</c:v>
                </c:pt>
                <c:pt idx="49">
                  <c:v>368.10304347826104</c:v>
                </c:pt>
                <c:pt idx="50">
                  <c:v>371.12739130434795</c:v>
                </c:pt>
                <c:pt idx="51">
                  <c:v>374.15173913043498</c:v>
                </c:pt>
                <c:pt idx="52">
                  <c:v>377.17608695652189</c:v>
                </c:pt>
                <c:pt idx="53">
                  <c:v>380.20043478260891</c:v>
                </c:pt>
                <c:pt idx="54">
                  <c:v>383.22478260869582</c:v>
                </c:pt>
                <c:pt idx="55">
                  <c:v>386.24913043478278</c:v>
                </c:pt>
                <c:pt idx="56">
                  <c:v>389.27347826086975</c:v>
                </c:pt>
                <c:pt idx="57">
                  <c:v>392.29782608695672</c:v>
                </c:pt>
                <c:pt idx="58">
                  <c:v>395.32217391304368</c:v>
                </c:pt>
                <c:pt idx="59">
                  <c:v>398.34652173913059</c:v>
                </c:pt>
                <c:pt idx="60">
                  <c:v>401.37086956521762</c:v>
                </c:pt>
                <c:pt idx="61">
                  <c:v>404.39521739130453</c:v>
                </c:pt>
                <c:pt idx="62">
                  <c:v>407.41956521739149</c:v>
                </c:pt>
                <c:pt idx="63">
                  <c:v>410.44391304347846</c:v>
                </c:pt>
                <c:pt idx="64">
                  <c:v>413.46826086956543</c:v>
                </c:pt>
                <c:pt idx="65">
                  <c:v>416.49260869565239</c:v>
                </c:pt>
                <c:pt idx="66">
                  <c:v>419.51695652173936</c:v>
                </c:pt>
                <c:pt idx="67">
                  <c:v>422.54130434782633</c:v>
                </c:pt>
                <c:pt idx="68">
                  <c:v>425.56565217391324</c:v>
                </c:pt>
                <c:pt idx="69">
                  <c:v>428.59000000000026</c:v>
                </c:pt>
              </c:numCache>
            </c:numRef>
          </c:xVal>
          <c:yVal>
            <c:numRef>
              <c:f>Sheet9_HID!ydata1</c:f>
              <c:numCache>
                <c:formatCode>General</c:formatCode>
                <c:ptCount val="70"/>
                <c:pt idx="0">
                  <c:v>5.8322690327859625</c:v>
                </c:pt>
                <c:pt idx="1">
                  <c:v>6.2802891273237069</c:v>
                </c:pt>
                <c:pt idx="2">
                  <c:v>6.7281018118070444</c:v>
                </c:pt>
                <c:pt idx="3">
                  <c:v>7.1756897167323679</c:v>
                </c:pt>
                <c:pt idx="4">
                  <c:v>7.6230335461823531</c:v>
                </c:pt>
                <c:pt idx="5">
                  <c:v>8.0701118141627504</c:v>
                </c:pt>
                <c:pt idx="6">
                  <c:v>8.5169005386003356</c:v>
                </c:pt>
                <c:pt idx="7">
                  <c:v>8.9633728853746142</c:v>
                </c:pt>
                <c:pt idx="8">
                  <c:v>9.4094987532933967</c:v>
                </c:pt>
                <c:pt idx="9">
                  <c:v>9.8552442891871266</c:v>
                </c:pt>
                <c:pt idx="10">
                  <c:v>10.300571320252971</c:v>
                </c:pt>
                <c:pt idx="11">
                  <c:v>10.745436688396156</c:v>
                </c:pt>
                <c:pt idx="12">
                  <c:v>11.189791468578559</c:v>
                </c:pt>
                <c:pt idx="13">
                  <c:v>11.633580050110176</c:v>
                </c:pt>
                <c:pt idx="14">
                  <c:v>12.076739056485584</c:v>
                </c:pt>
                <c:pt idx="15">
                  <c:v>12.519196075955636</c:v>
                </c:pt>
                <c:pt idx="16">
                  <c:v>12.960868171891272</c:v>
                </c:pt>
                <c:pt idx="17">
                  <c:v>13.40166013978104</c:v>
                </c:pt>
                <c:pt idx="18">
                  <c:v>13.841462477494323</c:v>
                </c:pt>
                <c:pt idx="19">
                  <c:v>14.280149039013125</c:v>
                </c:pt>
                <c:pt idx="20">
                  <c:v>14.717574351976914</c:v>
                </c:pt>
                <c:pt idx="21">
                  <c:v>15.153570600330015</c:v>
                </c:pt>
                <c:pt idx="22">
                  <c:v>15.587944311248693</c:v>
                </c:pt>
                <c:pt idx="23">
                  <c:v>16.02047284876717</c:v>
                </c:pt>
                <c:pt idx="24">
                  <c:v>16.450900915668932</c:v>
                </c:pt>
                <c:pt idx="25">
                  <c:v>16.878937411585763</c:v>
                </c:pt>
                <c:pt idx="26">
                  <c:v>17.304253197016632</c:v>
                </c:pt>
                <c:pt idx="27">
                  <c:v>17.726480566827284</c:v>
                </c:pt>
                <c:pt idx="28">
                  <c:v>18.145215513519453</c:v>
                </c:pt>
                <c:pt idx="29">
                  <c:v>18.560024085279412</c:v>
                </c:pt>
                <c:pt idx="30">
                  <c:v>18.970454178321347</c:v>
                </c:pt>
                <c:pt idx="31">
                  <c:v>19.376053750304418</c:v>
                </c:pt>
                <c:pt idx="32">
                  <c:v>19.7763955047295</c:v>
                </c:pt>
                <c:pt idx="33">
                  <c:v>20.171106516468615</c:v>
                </c:pt>
                <c:pt idx="34">
                  <c:v>20.559899310542381</c:v>
                </c:pt>
                <c:pt idx="35">
                  <c:v>20.94259925395669</c:v>
                </c:pt>
                <c:pt idx="36">
                  <c:v>21.31916268860591</c:v>
                </c:pt>
                <c:pt idx="37">
                  <c:v>21.68968164305436</c:v>
                </c:pt>
                <c:pt idx="38">
                  <c:v>22.054373984057221</c:v>
                </c:pt>
                <c:pt idx="39">
                  <c:v>22.413561362202881</c:v>
                </c:pt>
                <c:pt idx="40">
                  <c:v>22.767639840290236</c:v>
                </c:pt>
                <c:pt idx="41">
                  <c:v>23.117048814489156</c:v>
                </c:pt>
                <c:pt idx="42">
                  <c:v>23.462242867279077</c:v>
                </c:pt>
                <c:pt idx="43">
                  <c:v>23.803669327408063</c:v>
                </c:pt>
                <c:pt idx="44">
                  <c:v>24.141752432802061</c:v>
                </c:pt>
                <c:pt idx="45">
                  <c:v>24.476883633858403</c:v>
                </c:pt>
                <c:pt idx="46">
                  <c:v>24.809416865414637</c:v>
                </c:pt>
                <c:pt idx="47">
                  <c:v>25.139667426894867</c:v>
                </c:pt>
                <c:pt idx="48">
                  <c:v>25.467913233162722</c:v>
                </c:pt>
                <c:pt idx="49">
                  <c:v>25.794397454376046</c:v>
                </c:pt>
                <c:pt idx="50">
                  <c:v>26.119331837425101</c:v>
                </c:pt>
                <c:pt idx="51">
                  <c:v>26.442900238298062</c:v>
                </c:pt>
                <c:pt idx="52">
                  <c:v>26.765262076121772</c:v>
                </c:pt>
                <c:pt idx="53">
                  <c:v>27.086555547800263</c:v>
                </c:pt>
                <c:pt idx="54">
                  <c:v>27.406900527103076</c:v>
                </c:pt>
                <c:pt idx="55">
                  <c:v>27.726401125071337</c:v>
                </c:pt>
                <c:pt idx="56">
                  <c:v>28.045147919562819</c:v>
                </c:pt>
                <c:pt idx="57">
                  <c:v>28.363219878222971</c:v>
                </c:pt>
                <c:pt idx="58">
                  <c:v>28.680686006546807</c:v>
                </c:pt>
                <c:pt idx="59">
                  <c:v>28.997606754649045</c:v>
                </c:pt>
                <c:pt idx="60">
                  <c:v>29.31403521526703</c:v>
                </c:pt>
                <c:pt idx="61">
                  <c:v>29.630018142878178</c:v>
                </c:pt>
                <c:pt idx="62">
                  <c:v>29.945596820524401</c:v>
                </c:pt>
                <c:pt idx="63">
                  <c:v>30.260807797521874</c:v>
                </c:pt>
                <c:pt idx="64">
                  <c:v>30.575683517980423</c:v>
                </c:pt>
                <c:pt idx="65">
                  <c:v>30.890252857097888</c:v>
                </c:pt>
                <c:pt idx="66">
                  <c:v>31.204541579585118</c:v>
                </c:pt>
                <c:pt idx="67">
                  <c:v>31.518572732318273</c:v>
                </c:pt>
                <c:pt idx="68">
                  <c:v>31.832366981386357</c:v>
                </c:pt>
                <c:pt idx="69">
                  <c:v>32.145942902068811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DF-4CD4-B21A-F1A404A64928}"/>
            </c:ext>
          </c:extLst>
        </c:ser>
        <c:ser>
          <c:idx val="4"/>
          <c:order val="4"/>
          <c:tx>
            <c:v/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Sheet9_HID!xdata2</c:f>
              <c:numCache>
                <c:formatCode>General</c:formatCode>
                <c:ptCount val="70"/>
                <c:pt idx="0">
                  <c:v>219.91</c:v>
                </c:pt>
                <c:pt idx="1">
                  <c:v>222.93434782608696</c:v>
                </c:pt>
                <c:pt idx="2">
                  <c:v>225.95869565217393</c:v>
                </c:pt>
                <c:pt idx="3">
                  <c:v>228.98304347826087</c:v>
                </c:pt>
                <c:pt idx="4">
                  <c:v>232.00739130434783</c:v>
                </c:pt>
                <c:pt idx="5">
                  <c:v>235.0317391304348</c:v>
                </c:pt>
                <c:pt idx="6">
                  <c:v>238.05608695652177</c:v>
                </c:pt>
                <c:pt idx="7">
                  <c:v>241.08043478260871</c:v>
                </c:pt>
                <c:pt idx="8">
                  <c:v>244.10478260869567</c:v>
                </c:pt>
                <c:pt idx="9">
                  <c:v>247.12913043478264</c:v>
                </c:pt>
                <c:pt idx="10">
                  <c:v>250.1534782608696</c:v>
                </c:pt>
                <c:pt idx="11">
                  <c:v>253.17782608695654</c:v>
                </c:pt>
                <c:pt idx="12">
                  <c:v>256.20217391304351</c:v>
                </c:pt>
                <c:pt idx="13">
                  <c:v>259.22652173913048</c:v>
                </c:pt>
                <c:pt idx="14">
                  <c:v>262.25086956521744</c:v>
                </c:pt>
                <c:pt idx="15">
                  <c:v>265.27521739130441</c:v>
                </c:pt>
                <c:pt idx="16">
                  <c:v>268.29956521739138</c:v>
                </c:pt>
                <c:pt idx="17">
                  <c:v>271.32391304347834</c:v>
                </c:pt>
                <c:pt idx="18">
                  <c:v>274.34826086956525</c:v>
                </c:pt>
                <c:pt idx="19">
                  <c:v>277.37260869565222</c:v>
                </c:pt>
                <c:pt idx="20">
                  <c:v>280.39695652173918</c:v>
                </c:pt>
                <c:pt idx="21">
                  <c:v>283.42130434782615</c:v>
                </c:pt>
                <c:pt idx="22">
                  <c:v>286.44565217391312</c:v>
                </c:pt>
                <c:pt idx="23">
                  <c:v>289.47000000000008</c:v>
                </c:pt>
                <c:pt idx="24">
                  <c:v>292.49434782608705</c:v>
                </c:pt>
                <c:pt idx="25">
                  <c:v>295.51869565217396</c:v>
                </c:pt>
                <c:pt idx="26">
                  <c:v>298.54304347826098</c:v>
                </c:pt>
                <c:pt idx="27">
                  <c:v>301.56739130434789</c:v>
                </c:pt>
                <c:pt idx="28">
                  <c:v>304.59173913043486</c:v>
                </c:pt>
                <c:pt idx="29">
                  <c:v>307.61608695652183</c:v>
                </c:pt>
                <c:pt idx="30">
                  <c:v>310.64043478260879</c:v>
                </c:pt>
                <c:pt idx="31">
                  <c:v>313.66478260869576</c:v>
                </c:pt>
                <c:pt idx="32">
                  <c:v>316.68913043478273</c:v>
                </c:pt>
                <c:pt idx="33">
                  <c:v>319.71347826086969</c:v>
                </c:pt>
                <c:pt idx="34">
                  <c:v>322.7378260869566</c:v>
                </c:pt>
                <c:pt idx="35">
                  <c:v>325.76217391304363</c:v>
                </c:pt>
                <c:pt idx="36">
                  <c:v>328.78652173913054</c:v>
                </c:pt>
                <c:pt idx="37">
                  <c:v>331.8108695652175</c:v>
                </c:pt>
                <c:pt idx="38">
                  <c:v>334.83521739130447</c:v>
                </c:pt>
                <c:pt idx="39">
                  <c:v>337.85956521739143</c:v>
                </c:pt>
                <c:pt idx="40">
                  <c:v>340.8839130434784</c:v>
                </c:pt>
                <c:pt idx="41">
                  <c:v>343.90826086956537</c:v>
                </c:pt>
                <c:pt idx="42">
                  <c:v>346.93260869565233</c:v>
                </c:pt>
                <c:pt idx="43">
                  <c:v>349.95695652173924</c:v>
                </c:pt>
                <c:pt idx="44">
                  <c:v>352.98130434782627</c:v>
                </c:pt>
                <c:pt idx="45">
                  <c:v>356.00565217391318</c:v>
                </c:pt>
                <c:pt idx="46">
                  <c:v>359.03000000000014</c:v>
                </c:pt>
                <c:pt idx="47">
                  <c:v>362.05434782608711</c:v>
                </c:pt>
                <c:pt idx="48">
                  <c:v>365.07869565217408</c:v>
                </c:pt>
                <c:pt idx="49">
                  <c:v>368.10304347826104</c:v>
                </c:pt>
                <c:pt idx="50">
                  <c:v>371.12739130434795</c:v>
                </c:pt>
                <c:pt idx="51">
                  <c:v>374.15173913043498</c:v>
                </c:pt>
                <c:pt idx="52">
                  <c:v>377.17608695652189</c:v>
                </c:pt>
                <c:pt idx="53">
                  <c:v>380.20043478260891</c:v>
                </c:pt>
                <c:pt idx="54">
                  <c:v>383.22478260869582</c:v>
                </c:pt>
                <c:pt idx="55">
                  <c:v>386.24913043478278</c:v>
                </c:pt>
                <c:pt idx="56">
                  <c:v>389.27347826086975</c:v>
                </c:pt>
                <c:pt idx="57">
                  <c:v>392.29782608695672</c:v>
                </c:pt>
                <c:pt idx="58">
                  <c:v>395.32217391304368</c:v>
                </c:pt>
                <c:pt idx="59">
                  <c:v>398.34652173913059</c:v>
                </c:pt>
                <c:pt idx="60">
                  <c:v>401.37086956521762</c:v>
                </c:pt>
                <c:pt idx="61">
                  <c:v>404.39521739130453</c:v>
                </c:pt>
                <c:pt idx="62">
                  <c:v>407.41956521739149</c:v>
                </c:pt>
                <c:pt idx="63">
                  <c:v>410.44391304347846</c:v>
                </c:pt>
                <c:pt idx="64">
                  <c:v>413.46826086956543</c:v>
                </c:pt>
                <c:pt idx="65">
                  <c:v>416.49260869565239</c:v>
                </c:pt>
                <c:pt idx="66">
                  <c:v>419.51695652173936</c:v>
                </c:pt>
                <c:pt idx="67">
                  <c:v>422.54130434782633</c:v>
                </c:pt>
                <c:pt idx="68">
                  <c:v>425.56565217391324</c:v>
                </c:pt>
                <c:pt idx="69">
                  <c:v>428.59000000000026</c:v>
                </c:pt>
              </c:numCache>
            </c:numRef>
          </c:xVal>
          <c:yVal>
            <c:numRef>
              <c:f>Sheet9_HID!ydata2</c:f>
              <c:numCache>
                <c:formatCode>General</c:formatCode>
                <c:ptCount val="70"/>
                <c:pt idx="0">
                  <c:v>11.04077663216049</c:v>
                </c:pt>
                <c:pt idx="1">
                  <c:v>11.35422158519099</c:v>
                </c:pt>
                <c:pt idx="2">
                  <c:v>11.66787394827589</c:v>
                </c:pt>
                <c:pt idx="3">
                  <c:v>11.981751090918795</c:v>
                </c:pt>
                <c:pt idx="4">
                  <c:v>12.295872309037048</c:v>
                </c:pt>
                <c:pt idx="5">
                  <c:v>12.610259088624886</c:v>
                </c:pt>
                <c:pt idx="6">
                  <c:v>12.924935411755538</c:v>
                </c:pt>
                <c:pt idx="7">
                  <c:v>13.239928112549496</c:v>
                </c:pt>
                <c:pt idx="8">
                  <c:v>13.55526729219895</c:v>
                </c:pt>
                <c:pt idx="9">
                  <c:v>13.870986803873457</c:v>
                </c:pt>
                <c:pt idx="10">
                  <c:v>14.18712482037585</c:v>
                </c:pt>
                <c:pt idx="11">
                  <c:v>14.503724499800894</c:v>
                </c:pt>
                <c:pt idx="12">
                  <c:v>14.820834767186735</c:v>
                </c:pt>
                <c:pt idx="13">
                  <c:v>15.138511233223355</c:v>
                </c:pt>
                <c:pt idx="14">
                  <c:v>15.456817274416183</c:v>
                </c:pt>
                <c:pt idx="15">
                  <c:v>15.775825302514368</c:v>
                </c:pt>
                <c:pt idx="16">
                  <c:v>16.095618254146967</c:v>
                </c:pt>
                <c:pt idx="17">
                  <c:v>16.416291333825438</c:v>
                </c:pt>
                <c:pt idx="18">
                  <c:v>16.737954043680375</c:v>
                </c:pt>
                <c:pt idx="19">
                  <c:v>17.060732529729812</c:v>
                </c:pt>
                <c:pt idx="20">
                  <c:v>17.384772264334259</c:v>
                </c:pt>
                <c:pt idx="21">
                  <c:v>17.710241063549411</c:v>
                </c:pt>
                <c:pt idx="22">
                  <c:v>18.037332400198967</c:v>
                </c:pt>
                <c:pt idx="23">
                  <c:v>18.366268910248728</c:v>
                </c:pt>
                <c:pt idx="24">
                  <c:v>18.697305890915203</c:v>
                </c:pt>
                <c:pt idx="25">
                  <c:v>19.030734442566594</c:v>
                </c:pt>
                <c:pt idx="26">
                  <c:v>19.366883704703977</c:v>
                </c:pt>
                <c:pt idx="27">
                  <c:v>19.706121382461546</c:v>
                </c:pt>
                <c:pt idx="28">
                  <c:v>20.048851483337614</c:v>
                </c:pt>
                <c:pt idx="29">
                  <c:v>20.395507959145892</c:v>
                </c:pt>
                <c:pt idx="30">
                  <c:v>20.746542913672194</c:v>
                </c:pt>
                <c:pt idx="31">
                  <c:v>21.102408389257359</c:v>
                </c:pt>
                <c:pt idx="32">
                  <c:v>21.463531682400529</c:v>
                </c:pt>
                <c:pt idx="33">
                  <c:v>21.83028571822965</c:v>
                </c:pt>
                <c:pt idx="34">
                  <c:v>22.202957971724107</c:v>
                </c:pt>
                <c:pt idx="35">
                  <c:v>22.581723075878049</c:v>
                </c:pt>
                <c:pt idx="36">
                  <c:v>22.966624688797051</c:v>
                </c:pt>
                <c:pt idx="37">
                  <c:v>23.357570781916838</c:v>
                </c:pt>
                <c:pt idx="38">
                  <c:v>23.754343488482213</c:v>
                </c:pt>
                <c:pt idx="39">
                  <c:v>24.156621157904791</c:v>
                </c:pt>
                <c:pt idx="40">
                  <c:v>24.564007727385672</c:v>
                </c:pt>
                <c:pt idx="41">
                  <c:v>24.976063800754989</c:v>
                </c:pt>
                <c:pt idx="42">
                  <c:v>25.392334795533305</c:v>
                </c:pt>
                <c:pt idx="43">
                  <c:v>25.812373382972542</c:v>
                </c:pt>
                <c:pt idx="44">
                  <c:v>26.235755325146808</c:v>
                </c:pt>
                <c:pt idx="45">
                  <c:v>26.662089171658689</c:v>
                </c:pt>
                <c:pt idx="46">
                  <c:v>27.091020987670692</c:v>
                </c:pt>
                <c:pt idx="47">
                  <c:v>27.522235473758698</c:v>
                </c:pt>
                <c:pt idx="48">
                  <c:v>27.95545471505908</c:v>
                </c:pt>
                <c:pt idx="49">
                  <c:v>28.390435541413993</c:v>
                </c:pt>
                <c:pt idx="50">
                  <c:v>28.826966205933161</c:v>
                </c:pt>
                <c:pt idx="51">
                  <c:v>29.26486285262845</c:v>
                </c:pt>
                <c:pt idx="52">
                  <c:v>29.703966062372963</c:v>
                </c:pt>
                <c:pt idx="53">
                  <c:v>30.144137638262723</c:v>
                </c:pt>
                <c:pt idx="54">
                  <c:v>30.585257706528132</c:v>
                </c:pt>
                <c:pt idx="55">
                  <c:v>31.027222156128122</c:v>
                </c:pt>
                <c:pt idx="56">
                  <c:v>31.469940409204877</c:v>
                </c:pt>
                <c:pt idx="57">
                  <c:v>31.913333498112962</c:v>
                </c:pt>
                <c:pt idx="58">
                  <c:v>32.357332417357362</c:v>
                </c:pt>
                <c:pt idx="59">
                  <c:v>32.801876716823351</c:v>
                </c:pt>
                <c:pt idx="60">
                  <c:v>33.246913303773617</c:v>
                </c:pt>
                <c:pt idx="61">
                  <c:v>33.692395423730687</c:v>
                </c:pt>
                <c:pt idx="62">
                  <c:v>34.138281793652709</c:v>
                </c:pt>
                <c:pt idx="63">
                  <c:v>34.584535864223469</c:v>
                </c:pt>
                <c:pt idx="64">
                  <c:v>35.03112519133316</c:v>
                </c:pt>
                <c:pt idx="65">
                  <c:v>35.478020899783928</c:v>
                </c:pt>
                <c:pt idx="66">
                  <c:v>35.925197224864938</c:v>
                </c:pt>
                <c:pt idx="67">
                  <c:v>36.372631119700024</c:v>
                </c:pt>
                <c:pt idx="68">
                  <c:v>36.820301918200173</c:v>
                </c:pt>
                <c:pt idx="69">
                  <c:v>37.268191045085956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DF-4CD4-B21A-F1A404A64928}"/>
            </c:ext>
          </c:extLst>
        </c:ser>
        <c:ser>
          <c:idx val="5"/>
          <c:order val="5"/>
          <c:tx>
            <c:v>Conf. interval (Obs 95%)</c:v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Sheet9_HID!xdata3</c:f>
              <c:numCache>
                <c:formatCode>General</c:formatCode>
                <c:ptCount val="100"/>
                <c:pt idx="0">
                  <c:v>219.91</c:v>
                </c:pt>
                <c:pt idx="1">
                  <c:v>222.0178787878788</c:v>
                </c:pt>
                <c:pt idx="2">
                  <c:v>224.12575757575758</c:v>
                </c:pt>
                <c:pt idx="3">
                  <c:v>226.23363636363638</c:v>
                </c:pt>
                <c:pt idx="4">
                  <c:v>228.34151515151515</c:v>
                </c:pt>
                <c:pt idx="5">
                  <c:v>230.44939393939396</c:v>
                </c:pt>
                <c:pt idx="6">
                  <c:v>232.55727272727273</c:v>
                </c:pt>
                <c:pt idx="7">
                  <c:v>234.66515151515154</c:v>
                </c:pt>
                <c:pt idx="8">
                  <c:v>236.77303030303031</c:v>
                </c:pt>
                <c:pt idx="9">
                  <c:v>238.88090909090911</c:v>
                </c:pt>
                <c:pt idx="10">
                  <c:v>240.98878787878789</c:v>
                </c:pt>
                <c:pt idx="11">
                  <c:v>243.09666666666669</c:v>
                </c:pt>
                <c:pt idx="12">
                  <c:v>245.20454545454547</c:v>
                </c:pt>
                <c:pt idx="13">
                  <c:v>247.31242424242427</c:v>
                </c:pt>
                <c:pt idx="14">
                  <c:v>249.42030303030305</c:v>
                </c:pt>
                <c:pt idx="15">
                  <c:v>251.52818181818185</c:v>
                </c:pt>
                <c:pt idx="16">
                  <c:v>253.63606060606065</c:v>
                </c:pt>
                <c:pt idx="17">
                  <c:v>255.74393939393943</c:v>
                </c:pt>
                <c:pt idx="18">
                  <c:v>257.8518181818182</c:v>
                </c:pt>
                <c:pt idx="19">
                  <c:v>259.95969696969701</c:v>
                </c:pt>
                <c:pt idx="20">
                  <c:v>262.06757575757581</c:v>
                </c:pt>
                <c:pt idx="21">
                  <c:v>264.17545454545461</c:v>
                </c:pt>
                <c:pt idx="22">
                  <c:v>266.28333333333336</c:v>
                </c:pt>
                <c:pt idx="23">
                  <c:v>268.39121212121216</c:v>
                </c:pt>
                <c:pt idx="24">
                  <c:v>270.49909090909097</c:v>
                </c:pt>
                <c:pt idx="25">
                  <c:v>272.60696969696977</c:v>
                </c:pt>
                <c:pt idx="26">
                  <c:v>274.71484848484852</c:v>
                </c:pt>
                <c:pt idx="27">
                  <c:v>276.82272727272732</c:v>
                </c:pt>
                <c:pt idx="28">
                  <c:v>278.93060606060612</c:v>
                </c:pt>
                <c:pt idx="29">
                  <c:v>281.03848484848493</c:v>
                </c:pt>
                <c:pt idx="30">
                  <c:v>283.14636363636373</c:v>
                </c:pt>
                <c:pt idx="31">
                  <c:v>285.25424242424248</c:v>
                </c:pt>
                <c:pt idx="32">
                  <c:v>287.36212121212128</c:v>
                </c:pt>
                <c:pt idx="33">
                  <c:v>289.47000000000008</c:v>
                </c:pt>
                <c:pt idx="34">
                  <c:v>291.57787878787883</c:v>
                </c:pt>
                <c:pt idx="35">
                  <c:v>293.68575757575763</c:v>
                </c:pt>
                <c:pt idx="36">
                  <c:v>295.79363636363644</c:v>
                </c:pt>
                <c:pt idx="37">
                  <c:v>297.90151515151524</c:v>
                </c:pt>
                <c:pt idx="38">
                  <c:v>300.00939393939404</c:v>
                </c:pt>
                <c:pt idx="39">
                  <c:v>302.11727272727279</c:v>
                </c:pt>
                <c:pt idx="40">
                  <c:v>304.22515151515159</c:v>
                </c:pt>
                <c:pt idx="41">
                  <c:v>306.3330303030304</c:v>
                </c:pt>
                <c:pt idx="42">
                  <c:v>308.4409090909092</c:v>
                </c:pt>
                <c:pt idx="43">
                  <c:v>310.54878787878795</c:v>
                </c:pt>
                <c:pt idx="44">
                  <c:v>312.65666666666675</c:v>
                </c:pt>
                <c:pt idx="45">
                  <c:v>314.76454545454556</c:v>
                </c:pt>
                <c:pt idx="46">
                  <c:v>316.87242424242436</c:v>
                </c:pt>
                <c:pt idx="47">
                  <c:v>318.98030303030316</c:v>
                </c:pt>
                <c:pt idx="48">
                  <c:v>321.08818181818191</c:v>
                </c:pt>
                <c:pt idx="49">
                  <c:v>323.19606060606071</c:v>
                </c:pt>
                <c:pt idx="50">
                  <c:v>325.30393939393952</c:v>
                </c:pt>
                <c:pt idx="51">
                  <c:v>327.41181818181826</c:v>
                </c:pt>
                <c:pt idx="52">
                  <c:v>329.51969696969707</c:v>
                </c:pt>
                <c:pt idx="53">
                  <c:v>331.62757575757587</c:v>
                </c:pt>
                <c:pt idx="54">
                  <c:v>333.73545454545467</c:v>
                </c:pt>
                <c:pt idx="55">
                  <c:v>335.84333333333348</c:v>
                </c:pt>
                <c:pt idx="56">
                  <c:v>337.95121212121228</c:v>
                </c:pt>
                <c:pt idx="57">
                  <c:v>340.05909090909103</c:v>
                </c:pt>
                <c:pt idx="58">
                  <c:v>342.16696969696983</c:v>
                </c:pt>
                <c:pt idx="59">
                  <c:v>344.27484848484863</c:v>
                </c:pt>
                <c:pt idx="60">
                  <c:v>346.38272727272738</c:v>
                </c:pt>
                <c:pt idx="61">
                  <c:v>348.49060606060618</c:v>
                </c:pt>
                <c:pt idx="62">
                  <c:v>350.59848484848499</c:v>
                </c:pt>
                <c:pt idx="63">
                  <c:v>352.70636363636379</c:v>
                </c:pt>
                <c:pt idx="64">
                  <c:v>354.81424242424259</c:v>
                </c:pt>
                <c:pt idx="65">
                  <c:v>356.9221212121214</c:v>
                </c:pt>
                <c:pt idx="66">
                  <c:v>359.03000000000014</c:v>
                </c:pt>
                <c:pt idx="67">
                  <c:v>361.13787878787895</c:v>
                </c:pt>
                <c:pt idx="68">
                  <c:v>363.24575757575769</c:v>
                </c:pt>
                <c:pt idx="69">
                  <c:v>365.3536363636365</c:v>
                </c:pt>
                <c:pt idx="70">
                  <c:v>367.4615151515153</c:v>
                </c:pt>
                <c:pt idx="71">
                  <c:v>369.5693939393941</c:v>
                </c:pt>
                <c:pt idx="72">
                  <c:v>371.67727272727291</c:v>
                </c:pt>
                <c:pt idx="73">
                  <c:v>373.78515151515171</c:v>
                </c:pt>
                <c:pt idx="74">
                  <c:v>375.89303030303046</c:v>
                </c:pt>
                <c:pt idx="75">
                  <c:v>378.00090909090926</c:v>
                </c:pt>
                <c:pt idx="76">
                  <c:v>380.10878787878801</c:v>
                </c:pt>
                <c:pt idx="77">
                  <c:v>382.21666666666681</c:v>
                </c:pt>
                <c:pt idx="78">
                  <c:v>384.32454545454561</c:v>
                </c:pt>
                <c:pt idx="79">
                  <c:v>386.43242424242442</c:v>
                </c:pt>
                <c:pt idx="80">
                  <c:v>388.54030303030322</c:v>
                </c:pt>
                <c:pt idx="81">
                  <c:v>390.64818181818202</c:v>
                </c:pt>
                <c:pt idx="82">
                  <c:v>392.75606060606083</c:v>
                </c:pt>
                <c:pt idx="83">
                  <c:v>394.86393939393957</c:v>
                </c:pt>
                <c:pt idx="84">
                  <c:v>396.97181818181838</c:v>
                </c:pt>
                <c:pt idx="85">
                  <c:v>399.07969696969712</c:v>
                </c:pt>
                <c:pt idx="86">
                  <c:v>401.18757575757593</c:v>
                </c:pt>
                <c:pt idx="87">
                  <c:v>403.29545454545473</c:v>
                </c:pt>
                <c:pt idx="88">
                  <c:v>405.40333333333353</c:v>
                </c:pt>
                <c:pt idx="89">
                  <c:v>407.51121212121234</c:v>
                </c:pt>
                <c:pt idx="90">
                  <c:v>409.61909090909114</c:v>
                </c:pt>
                <c:pt idx="91">
                  <c:v>411.72696969696989</c:v>
                </c:pt>
                <c:pt idx="92">
                  <c:v>413.83484848484869</c:v>
                </c:pt>
                <c:pt idx="93">
                  <c:v>415.94272727272744</c:v>
                </c:pt>
                <c:pt idx="94">
                  <c:v>418.05060606060624</c:v>
                </c:pt>
                <c:pt idx="95">
                  <c:v>420.15848484848505</c:v>
                </c:pt>
                <c:pt idx="96">
                  <c:v>422.26636363636385</c:v>
                </c:pt>
                <c:pt idx="97">
                  <c:v>424.37424242424265</c:v>
                </c:pt>
                <c:pt idx="98">
                  <c:v>426.48212121212146</c:v>
                </c:pt>
                <c:pt idx="99">
                  <c:v>428.59000000000026</c:v>
                </c:pt>
              </c:numCache>
            </c:numRef>
          </c:xVal>
          <c:yVal>
            <c:numRef>
              <c:f>Sheet9_HID!ydata3</c:f>
              <c:numCache>
                <c:formatCode>General</c:formatCode>
                <c:ptCount val="100"/>
                <c:pt idx="0">
                  <c:v>3.1194986527449027</c:v>
                </c:pt>
                <c:pt idx="1">
                  <c:v>3.4076801443401052</c:v>
                </c:pt>
                <c:pt idx="2">
                  <c:v>3.6954960253284925</c:v>
                </c:pt>
                <c:pt idx="3">
                  <c:v>3.982941603709885</c:v>
                </c:pt>
                <c:pt idx="4">
                  <c:v>4.2700121862214102</c:v>
                </c:pt>
                <c:pt idx="5">
                  <c:v>4.5567030816698466</c:v>
                </c:pt>
                <c:pt idx="6">
                  <c:v>4.8430096043885058</c:v>
                </c:pt>
                <c:pt idx="7">
                  <c:v>5.1289270778170515</c:v>
                </c:pt>
                <c:pt idx="8">
                  <c:v>5.414450838201863</c:v>
                </c:pt>
                <c:pt idx="9">
                  <c:v>5.6995762384143118</c:v>
                </c:pt>
                <c:pt idx="10">
                  <c:v>5.9842986518835319</c:v>
                </c:pt>
                <c:pt idx="11">
                  <c:v>6.2686134766399455</c:v>
                </c:pt>
                <c:pt idx="12">
                  <c:v>6.5525161394650437</c:v>
                </c:pt>
                <c:pt idx="13">
                  <c:v>6.836002100142494</c:v>
                </c:pt>
                <c:pt idx="14">
                  <c:v>7.119066855804931</c:v>
                </c:pt>
                <c:pt idx="15">
                  <c:v>7.4017059453703427</c:v>
                </c:pt>
                <c:pt idx="16">
                  <c:v>7.68391495406114</c:v>
                </c:pt>
                <c:pt idx="17">
                  <c:v>7.9656895179986407</c:v>
                </c:pt>
                <c:pt idx="18">
                  <c:v>8.2470253288649271</c:v>
                </c:pt>
                <c:pt idx="19">
                  <c:v>8.5279181386234608</c:v>
                </c:pt>
                <c:pt idx="20">
                  <c:v>8.8083637642893677</c:v>
                </c:pt>
                <c:pt idx="21">
                  <c:v>9.0883580927395418</c:v>
                </c:pt>
                <c:pt idx="22">
                  <c:v>9.3678970855524213</c:v>
                </c:pt>
                <c:pt idx="23">
                  <c:v>9.6469767838664708</c:v>
                </c:pt>
                <c:pt idx="24">
                  <c:v>9.9255933132461482</c:v>
                </c:pt>
                <c:pt idx="25">
                  <c:v>10.203742888543525</c:v>
                </c:pt>
                <c:pt idx="26">
                  <c:v>10.481421818743421</c:v>
                </c:pt>
                <c:pt idx="27">
                  <c:v>10.75862651177934</c:v>
                </c:pt>
                <c:pt idx="28">
                  <c:v>11.035353479307403</c:v>
                </c:pt>
                <c:pt idx="29">
                  <c:v>11.311599341424969</c:v>
                </c:pt>
                <c:pt idx="30">
                  <c:v>11.58736083132051</c:v>
                </c:pt>
                <c:pt idx="31">
                  <c:v>11.862634799841207</c:v>
                </c:pt>
                <c:pt idx="32">
                  <c:v>12.137418219964411</c:v>
                </c:pt>
                <c:pt idx="33">
                  <c:v>12.411708191159292</c:v>
                </c:pt>
                <c:pt idx="34">
                  <c:v>12.685501943624875</c:v>
                </c:pt>
                <c:pt idx="35">
                  <c:v>12.958796842390989</c:v>
                </c:pt>
                <c:pt idx="36">
                  <c:v>13.23159039126835</c:v>
                </c:pt>
                <c:pt idx="37">
                  <c:v>13.503880236634965</c:v>
                </c:pt>
                <c:pt idx="38">
                  <c:v>13.775664171045609</c:v>
                </c:pt>
                <c:pt idx="39">
                  <c:v>14.046940136652161</c:v>
                </c:pt>
                <c:pt idx="40">
                  <c:v>14.317706228422647</c:v>
                </c:pt>
                <c:pt idx="41">
                  <c:v>14.58796069714748</c:v>
                </c:pt>
                <c:pt idx="42">
                  <c:v>14.857701952222286</c:v>
                </c:pt>
                <c:pt idx="43">
                  <c:v>15.126928564196849</c:v>
                </c:pt>
                <c:pt idx="44">
                  <c:v>15.39563926708113</c:v>
                </c:pt>
                <c:pt idx="45">
                  <c:v>15.663832960399379</c:v>
                </c:pt>
                <c:pt idx="46">
                  <c:v>15.931508710985028</c:v>
                </c:pt>
                <c:pt idx="47">
                  <c:v>16.198665754509292</c:v>
                </c:pt>
                <c:pt idx="48">
                  <c:v>16.465303496737828</c:v>
                </c:pt>
                <c:pt idx="49">
                  <c:v>16.731421514510547</c:v>
                </c:pt>
                <c:pt idx="50">
                  <c:v>16.997019556440893</c:v>
                </c:pt>
                <c:pt idx="51">
                  <c:v>17.262097543331862</c:v>
                </c:pt>
                <c:pt idx="52">
                  <c:v>17.526655568307145</c:v>
                </c:pt>
                <c:pt idx="53">
                  <c:v>17.790693896656933</c:v>
                </c:pt>
                <c:pt idx="54">
                  <c:v>18.054212965398893</c:v>
                </c:pt>
                <c:pt idx="55">
                  <c:v>18.317213382556169</c:v>
                </c:pt>
                <c:pt idx="56">
                  <c:v>18.579695926154958</c:v>
                </c:pt>
                <c:pt idx="57">
                  <c:v>18.84166154294574</c:v>
                </c:pt>
                <c:pt idx="58">
                  <c:v>19.103111346852884</c:v>
                </c:pt>
                <c:pt idx="59">
                  <c:v>19.364046617158593</c:v>
                </c:pt>
                <c:pt idx="60">
                  <c:v>19.624468796428026</c:v>
                </c:pt>
                <c:pt idx="61">
                  <c:v>19.884379488183448</c:v>
                </c:pt>
                <c:pt idx="62">
                  <c:v>20.143780454335911</c:v>
                </c:pt>
                <c:pt idx="63">
                  <c:v>20.402673612384042</c:v>
                </c:pt>
                <c:pt idx="64">
                  <c:v>20.66106103239018</c:v>
                </c:pt>
                <c:pt idx="65">
                  <c:v>20.918944933744594</c:v>
                </c:pt>
                <c:pt idx="66">
                  <c:v>21.176327681729468</c:v>
                </c:pt>
                <c:pt idx="67">
                  <c:v>21.433211783894592</c:v>
                </c:pt>
                <c:pt idx="68">
                  <c:v>21.689599886257312</c:v>
                </c:pt>
                <c:pt idx="69">
                  <c:v>21.945494769339675</c:v>
                </c:pt>
                <c:pt idx="70">
                  <c:v>22.200899344055969</c:v>
                </c:pt>
                <c:pt idx="71">
                  <c:v>22.455816647464143</c:v>
                </c:pt>
                <c:pt idx="72">
                  <c:v>22.710249838394802</c:v>
                </c:pt>
                <c:pt idx="73">
                  <c:v>22.964202192971417</c:v>
                </c:pt>
                <c:pt idx="74">
                  <c:v>23.217677100035623</c:v>
                </c:pt>
                <c:pt idx="75">
                  <c:v>23.470678056491291</c:v>
                </c:pt>
                <c:pt idx="76">
                  <c:v>23.723208662580838</c:v>
                </c:pt>
                <c:pt idx="77">
                  <c:v>23.975272617107567</c:v>
                </c:pt>
                <c:pt idx="78">
                  <c:v>24.22687371261673</c:v>
                </c:pt>
                <c:pt idx="79">
                  <c:v>24.478015830548728</c:v>
                </c:pt>
                <c:pt idx="80">
                  <c:v>24.728702936376628</c:v>
                </c:pt>
                <c:pt idx="81">
                  <c:v>24.978939074740396</c:v>
                </c:pt>
                <c:pt idx="82">
                  <c:v>25.228728364589465</c:v>
                </c:pt>
                <c:pt idx="83">
                  <c:v>25.478074994345036</c:v>
                </c:pt>
                <c:pt idx="84">
                  <c:v>25.726983217092759</c:v>
                </c:pt>
                <c:pt idx="85">
                  <c:v>25.975457345816135</c:v>
                </c:pt>
                <c:pt idx="86">
                  <c:v>26.22350174868032</c:v>
                </c:pt>
                <c:pt idx="87">
                  <c:v>26.471120844375367</c:v>
                </c:pt>
                <c:pt idx="88">
                  <c:v>26.718319097527608</c:v>
                </c:pt>
                <c:pt idx="89">
                  <c:v>26.965101014186935</c:v>
                </c:pt>
                <c:pt idx="90">
                  <c:v>27.211471137397467</c:v>
                </c:pt>
                <c:pt idx="91">
                  <c:v>27.45743404285825</c:v>
                </c:pt>
                <c:pt idx="92">
                  <c:v>27.702994334680135</c:v>
                </c:pt>
                <c:pt idx="93">
                  <c:v>27.948156641244413</c:v>
                </c:pt>
                <c:pt idx="94">
                  <c:v>28.192925611168093</c:v>
                </c:pt>
                <c:pt idx="95">
                  <c:v>28.437305909380235</c:v>
                </c:pt>
                <c:pt idx="96">
                  <c:v>28.681302213313106</c:v>
                </c:pt>
                <c:pt idx="97">
                  <c:v>28.92491920921146</c:v>
                </c:pt>
                <c:pt idx="98">
                  <c:v>29.16816158856254</c:v>
                </c:pt>
                <c:pt idx="99">
                  <c:v>29.411034044649284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DF-4CD4-B21A-F1A404A64928}"/>
            </c:ext>
          </c:extLst>
        </c:ser>
        <c:ser>
          <c:idx val="6"/>
          <c:order val="6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Sheet9_HID!xdata4</c:f>
              <c:numCache>
                <c:formatCode>General</c:formatCode>
                <c:ptCount val="100"/>
                <c:pt idx="0">
                  <c:v>219.91</c:v>
                </c:pt>
                <c:pt idx="1">
                  <c:v>222.0178787878788</c:v>
                </c:pt>
                <c:pt idx="2">
                  <c:v>224.12575757575758</c:v>
                </c:pt>
                <c:pt idx="3">
                  <c:v>226.23363636363638</c:v>
                </c:pt>
                <c:pt idx="4">
                  <c:v>228.34151515151515</c:v>
                </c:pt>
                <c:pt idx="5">
                  <c:v>230.44939393939396</c:v>
                </c:pt>
                <c:pt idx="6">
                  <c:v>232.55727272727273</c:v>
                </c:pt>
                <c:pt idx="7">
                  <c:v>234.66515151515154</c:v>
                </c:pt>
                <c:pt idx="8">
                  <c:v>236.77303030303031</c:v>
                </c:pt>
                <c:pt idx="9">
                  <c:v>238.88090909090911</c:v>
                </c:pt>
                <c:pt idx="10">
                  <c:v>240.98878787878789</c:v>
                </c:pt>
                <c:pt idx="11">
                  <c:v>243.09666666666669</c:v>
                </c:pt>
                <c:pt idx="12">
                  <c:v>245.20454545454547</c:v>
                </c:pt>
                <c:pt idx="13">
                  <c:v>247.31242424242427</c:v>
                </c:pt>
                <c:pt idx="14">
                  <c:v>249.42030303030305</c:v>
                </c:pt>
                <c:pt idx="15">
                  <c:v>251.52818181818185</c:v>
                </c:pt>
                <c:pt idx="16">
                  <c:v>253.63606060606065</c:v>
                </c:pt>
                <c:pt idx="17">
                  <c:v>255.74393939393943</c:v>
                </c:pt>
                <c:pt idx="18">
                  <c:v>257.8518181818182</c:v>
                </c:pt>
                <c:pt idx="19">
                  <c:v>259.95969696969701</c:v>
                </c:pt>
                <c:pt idx="20">
                  <c:v>262.06757575757581</c:v>
                </c:pt>
                <c:pt idx="21">
                  <c:v>264.17545454545461</c:v>
                </c:pt>
                <c:pt idx="22">
                  <c:v>266.28333333333336</c:v>
                </c:pt>
                <c:pt idx="23">
                  <c:v>268.39121212121216</c:v>
                </c:pt>
                <c:pt idx="24">
                  <c:v>270.49909090909097</c:v>
                </c:pt>
                <c:pt idx="25">
                  <c:v>272.60696969696977</c:v>
                </c:pt>
                <c:pt idx="26">
                  <c:v>274.71484848484852</c:v>
                </c:pt>
                <c:pt idx="27">
                  <c:v>276.82272727272732</c:v>
                </c:pt>
                <c:pt idx="28">
                  <c:v>278.93060606060612</c:v>
                </c:pt>
                <c:pt idx="29">
                  <c:v>281.03848484848493</c:v>
                </c:pt>
                <c:pt idx="30">
                  <c:v>283.14636363636373</c:v>
                </c:pt>
                <c:pt idx="31">
                  <c:v>285.25424242424248</c:v>
                </c:pt>
                <c:pt idx="32">
                  <c:v>287.36212121212128</c:v>
                </c:pt>
                <c:pt idx="33">
                  <c:v>289.47000000000008</c:v>
                </c:pt>
                <c:pt idx="34">
                  <c:v>291.57787878787883</c:v>
                </c:pt>
                <c:pt idx="35">
                  <c:v>293.68575757575763</c:v>
                </c:pt>
                <c:pt idx="36">
                  <c:v>295.79363636363644</c:v>
                </c:pt>
                <c:pt idx="37">
                  <c:v>297.90151515151524</c:v>
                </c:pt>
                <c:pt idx="38">
                  <c:v>300.00939393939404</c:v>
                </c:pt>
                <c:pt idx="39">
                  <c:v>302.11727272727279</c:v>
                </c:pt>
                <c:pt idx="40">
                  <c:v>304.22515151515159</c:v>
                </c:pt>
                <c:pt idx="41">
                  <c:v>306.3330303030304</c:v>
                </c:pt>
                <c:pt idx="42">
                  <c:v>308.4409090909092</c:v>
                </c:pt>
                <c:pt idx="43">
                  <c:v>310.54878787878795</c:v>
                </c:pt>
                <c:pt idx="44">
                  <c:v>312.65666666666675</c:v>
                </c:pt>
                <c:pt idx="45">
                  <c:v>314.76454545454556</c:v>
                </c:pt>
                <c:pt idx="46">
                  <c:v>316.87242424242436</c:v>
                </c:pt>
                <c:pt idx="47">
                  <c:v>318.98030303030316</c:v>
                </c:pt>
                <c:pt idx="48">
                  <c:v>321.08818181818191</c:v>
                </c:pt>
                <c:pt idx="49">
                  <c:v>323.19606060606071</c:v>
                </c:pt>
                <c:pt idx="50">
                  <c:v>325.30393939393952</c:v>
                </c:pt>
                <c:pt idx="51">
                  <c:v>327.41181818181826</c:v>
                </c:pt>
                <c:pt idx="52">
                  <c:v>329.51969696969707</c:v>
                </c:pt>
                <c:pt idx="53">
                  <c:v>331.62757575757587</c:v>
                </c:pt>
                <c:pt idx="54">
                  <c:v>333.73545454545467</c:v>
                </c:pt>
                <c:pt idx="55">
                  <c:v>335.84333333333348</c:v>
                </c:pt>
                <c:pt idx="56">
                  <c:v>337.95121212121228</c:v>
                </c:pt>
                <c:pt idx="57">
                  <c:v>340.05909090909103</c:v>
                </c:pt>
                <c:pt idx="58">
                  <c:v>342.16696969696983</c:v>
                </c:pt>
                <c:pt idx="59">
                  <c:v>344.27484848484863</c:v>
                </c:pt>
                <c:pt idx="60">
                  <c:v>346.38272727272738</c:v>
                </c:pt>
                <c:pt idx="61">
                  <c:v>348.49060606060618</c:v>
                </c:pt>
                <c:pt idx="62">
                  <c:v>350.59848484848499</c:v>
                </c:pt>
                <c:pt idx="63">
                  <c:v>352.70636363636379</c:v>
                </c:pt>
                <c:pt idx="64">
                  <c:v>354.81424242424259</c:v>
                </c:pt>
                <c:pt idx="65">
                  <c:v>356.9221212121214</c:v>
                </c:pt>
                <c:pt idx="66">
                  <c:v>359.03000000000014</c:v>
                </c:pt>
                <c:pt idx="67">
                  <c:v>361.13787878787895</c:v>
                </c:pt>
                <c:pt idx="68">
                  <c:v>363.24575757575769</c:v>
                </c:pt>
                <c:pt idx="69">
                  <c:v>365.3536363636365</c:v>
                </c:pt>
                <c:pt idx="70">
                  <c:v>367.4615151515153</c:v>
                </c:pt>
                <c:pt idx="71">
                  <c:v>369.5693939393941</c:v>
                </c:pt>
                <c:pt idx="72">
                  <c:v>371.67727272727291</c:v>
                </c:pt>
                <c:pt idx="73">
                  <c:v>373.78515151515171</c:v>
                </c:pt>
                <c:pt idx="74">
                  <c:v>375.89303030303046</c:v>
                </c:pt>
                <c:pt idx="75">
                  <c:v>378.00090909090926</c:v>
                </c:pt>
                <c:pt idx="76">
                  <c:v>380.10878787878801</c:v>
                </c:pt>
                <c:pt idx="77">
                  <c:v>382.21666666666681</c:v>
                </c:pt>
                <c:pt idx="78">
                  <c:v>384.32454545454561</c:v>
                </c:pt>
                <c:pt idx="79">
                  <c:v>386.43242424242442</c:v>
                </c:pt>
                <c:pt idx="80">
                  <c:v>388.54030303030322</c:v>
                </c:pt>
                <c:pt idx="81">
                  <c:v>390.64818181818202</c:v>
                </c:pt>
                <c:pt idx="82">
                  <c:v>392.75606060606083</c:v>
                </c:pt>
                <c:pt idx="83">
                  <c:v>394.86393939393957</c:v>
                </c:pt>
                <c:pt idx="84">
                  <c:v>396.97181818181838</c:v>
                </c:pt>
                <c:pt idx="85">
                  <c:v>399.07969696969712</c:v>
                </c:pt>
                <c:pt idx="86">
                  <c:v>401.18757575757593</c:v>
                </c:pt>
                <c:pt idx="87">
                  <c:v>403.29545454545473</c:v>
                </c:pt>
                <c:pt idx="88">
                  <c:v>405.40333333333353</c:v>
                </c:pt>
                <c:pt idx="89">
                  <c:v>407.51121212121234</c:v>
                </c:pt>
                <c:pt idx="90">
                  <c:v>409.61909090909114</c:v>
                </c:pt>
                <c:pt idx="91">
                  <c:v>411.72696969696989</c:v>
                </c:pt>
                <c:pt idx="92">
                  <c:v>413.83484848484869</c:v>
                </c:pt>
                <c:pt idx="93">
                  <c:v>415.94272727272744</c:v>
                </c:pt>
                <c:pt idx="94">
                  <c:v>418.05060606060624</c:v>
                </c:pt>
                <c:pt idx="95">
                  <c:v>420.15848484848505</c:v>
                </c:pt>
                <c:pt idx="96">
                  <c:v>422.26636363636385</c:v>
                </c:pt>
                <c:pt idx="97">
                  <c:v>424.37424242424265</c:v>
                </c:pt>
                <c:pt idx="98">
                  <c:v>426.48212121212146</c:v>
                </c:pt>
                <c:pt idx="99">
                  <c:v>428.59000000000026</c:v>
                </c:pt>
              </c:numCache>
            </c:numRef>
          </c:xVal>
          <c:yVal>
            <c:numRef>
              <c:f>Sheet9_HID!ydata4</c:f>
              <c:numCache>
                <c:formatCode>General</c:formatCode>
                <c:ptCount val="100"/>
                <c:pt idx="0">
                  <c:v>13.753547012201551</c:v>
                </c:pt>
                <c:pt idx="1">
                  <c:v>13.996083584063001</c:v>
                </c:pt>
                <c:pt idx="2">
                  <c:v>14.238985766531261</c:v>
                </c:pt>
                <c:pt idx="3">
                  <c:v>14.48225825160652</c:v>
                </c:pt>
                <c:pt idx="4">
                  <c:v>14.725905732551642</c:v>
                </c:pt>
                <c:pt idx="5">
                  <c:v>14.96993290055986</c:v>
                </c:pt>
                <c:pt idx="6">
                  <c:v>15.214344441297847</c:v>
                </c:pt>
                <c:pt idx="7">
                  <c:v>15.459145031325955</c:v>
                </c:pt>
                <c:pt idx="8">
                  <c:v>15.70433933439779</c:v>
                </c:pt>
                <c:pt idx="9">
                  <c:v>15.949931997641993</c:v>
                </c:pt>
                <c:pt idx="10">
                  <c:v>16.195927647629421</c:v>
                </c:pt>
                <c:pt idx="11">
                  <c:v>16.442330886329653</c:v>
                </c:pt>
                <c:pt idx="12">
                  <c:v>16.689146286961201</c:v>
                </c:pt>
                <c:pt idx="13">
                  <c:v>16.936378389740405</c:v>
                </c:pt>
                <c:pt idx="14">
                  <c:v>17.184031697534614</c:v>
                </c:pt>
                <c:pt idx="15">
                  <c:v>17.432110671425857</c:v>
                </c:pt>
                <c:pt idx="16">
                  <c:v>17.680619726191711</c:v>
                </c:pt>
                <c:pt idx="17">
                  <c:v>17.929563225710858</c:v>
                </c:pt>
                <c:pt idx="18">
                  <c:v>18.178945478301216</c:v>
                </c:pt>
                <c:pt idx="19">
                  <c:v>18.428770731999329</c:v>
                </c:pt>
                <c:pt idx="20">
                  <c:v>18.679043169790084</c:v>
                </c:pt>
                <c:pt idx="21">
                  <c:v>18.929766904796558</c:v>
                </c:pt>
                <c:pt idx="22">
                  <c:v>19.180945975440324</c:v>
                </c:pt>
                <c:pt idx="23">
                  <c:v>19.43258434058292</c:v>
                </c:pt>
                <c:pt idx="24">
                  <c:v>19.684685874659905</c:v>
                </c:pt>
                <c:pt idx="25">
                  <c:v>19.937254362819175</c:v>
                </c:pt>
                <c:pt idx="26">
                  <c:v>20.190293496075924</c:v>
                </c:pt>
                <c:pt idx="27">
                  <c:v>20.443806866496651</c:v>
                </c:pt>
                <c:pt idx="28">
                  <c:v>20.697797962425234</c:v>
                </c:pt>
                <c:pt idx="29">
                  <c:v>20.952270163764329</c:v>
                </c:pt>
                <c:pt idx="30">
                  <c:v>21.207226737325435</c:v>
                </c:pt>
                <c:pt idx="31">
                  <c:v>21.462670832261384</c:v>
                </c:pt>
                <c:pt idx="32">
                  <c:v>21.718605475594828</c:v>
                </c:pt>
                <c:pt idx="33">
                  <c:v>21.975033567856606</c:v>
                </c:pt>
                <c:pt idx="34">
                  <c:v>22.231957878847656</c:v>
                </c:pt>
                <c:pt idx="35">
                  <c:v>22.489381043538202</c:v>
                </c:pt>
                <c:pt idx="36">
                  <c:v>22.747305558117489</c:v>
                </c:pt>
                <c:pt idx="37">
                  <c:v>23.005733776207535</c:v>
                </c:pt>
                <c:pt idx="38">
                  <c:v>23.264667905253535</c:v>
                </c:pt>
                <c:pt idx="39">
                  <c:v>23.524110003103615</c:v>
                </c:pt>
                <c:pt idx="40">
                  <c:v>23.78406197478979</c:v>
                </c:pt>
                <c:pt idx="41">
                  <c:v>24.044525569521603</c:v>
                </c:pt>
                <c:pt idx="42">
                  <c:v>24.305502377903458</c:v>
                </c:pt>
                <c:pt idx="43">
                  <c:v>24.566993829385527</c:v>
                </c:pt>
                <c:pt idx="44">
                  <c:v>24.829001189957907</c:v>
                </c:pt>
                <c:pt idx="45">
                  <c:v>25.091525560096304</c:v>
                </c:pt>
                <c:pt idx="46">
                  <c:v>25.354567872967316</c:v>
                </c:pt>
                <c:pt idx="47">
                  <c:v>25.618128892899698</c:v>
                </c:pt>
                <c:pt idx="48">
                  <c:v>25.882209214127808</c:v>
                </c:pt>
                <c:pt idx="49">
                  <c:v>26.146809259811736</c:v>
                </c:pt>
                <c:pt idx="50">
                  <c:v>26.411929281338036</c:v>
                </c:pt>
                <c:pt idx="51">
                  <c:v>26.677569357903714</c:v>
                </c:pt>
                <c:pt idx="52">
                  <c:v>26.943729396385077</c:v>
                </c:pt>
                <c:pt idx="53">
                  <c:v>27.21040913149195</c:v>
                </c:pt>
                <c:pt idx="54">
                  <c:v>27.477608126206636</c:v>
                </c:pt>
                <c:pt idx="55">
                  <c:v>27.745325772506021</c:v>
                </c:pt>
                <c:pt idx="56">
                  <c:v>28.013561292363878</c:v>
                </c:pt>
                <c:pt idx="57">
                  <c:v>28.282313739029743</c:v>
                </c:pt>
                <c:pt idx="58">
                  <c:v>28.551581998579245</c:v>
                </c:pt>
                <c:pt idx="59">
                  <c:v>28.821364791730197</c:v>
                </c:pt>
                <c:pt idx="60">
                  <c:v>29.091660675917396</c:v>
                </c:pt>
                <c:pt idx="61">
                  <c:v>29.36246804761862</c:v>
                </c:pt>
                <c:pt idx="62">
                  <c:v>29.633785144922818</c:v>
                </c:pt>
                <c:pt idx="63">
                  <c:v>29.905610050331333</c:v>
                </c:pt>
                <c:pt idx="64">
                  <c:v>30.177940693781856</c:v>
                </c:pt>
                <c:pt idx="65">
                  <c:v>30.450774855884088</c:v>
                </c:pt>
                <c:pt idx="66">
                  <c:v>30.724110171355861</c:v>
                </c:pt>
                <c:pt idx="67">
                  <c:v>30.997944132647383</c:v>
                </c:pt>
                <c:pt idx="68">
                  <c:v>31.272274093741309</c:v>
                </c:pt>
                <c:pt idx="69">
                  <c:v>31.547097274115593</c:v>
                </c:pt>
                <c:pt idx="70">
                  <c:v>31.822410762855959</c:v>
                </c:pt>
                <c:pt idx="71">
                  <c:v>32.098211522904435</c:v>
                </c:pt>
                <c:pt idx="72">
                  <c:v>32.374496395430434</c:v>
                </c:pt>
                <c:pt idx="73">
                  <c:v>32.651262104310462</c:v>
                </c:pt>
                <c:pt idx="74">
                  <c:v>32.928505260702892</c:v>
                </c:pt>
                <c:pt idx="75">
                  <c:v>33.206222367703887</c:v>
                </c:pt>
                <c:pt idx="76">
                  <c:v>33.484409825070969</c:v>
                </c:pt>
                <c:pt idx="77">
                  <c:v>33.763063934000904</c:v>
                </c:pt>
                <c:pt idx="78">
                  <c:v>34.042180901948385</c:v>
                </c:pt>
                <c:pt idx="79">
                  <c:v>34.321756847473047</c:v>
                </c:pt>
                <c:pt idx="80">
                  <c:v>34.601787805101793</c:v>
                </c:pt>
                <c:pt idx="81">
                  <c:v>34.882269730194686</c:v>
                </c:pt>
                <c:pt idx="82">
                  <c:v>35.163198503802263</c:v>
                </c:pt>
                <c:pt idx="83">
                  <c:v>35.444569937503339</c:v>
                </c:pt>
                <c:pt idx="84">
                  <c:v>35.726379778212262</c:v>
                </c:pt>
                <c:pt idx="85">
                  <c:v>36.008623712945521</c:v>
                </c:pt>
                <c:pt idx="86">
                  <c:v>36.291297373537994</c:v>
                </c:pt>
                <c:pt idx="87">
                  <c:v>36.57439634129959</c:v>
                </c:pt>
                <c:pt idx="88">
                  <c:v>36.857916151604009</c:v>
                </c:pt>
                <c:pt idx="89">
                  <c:v>37.141852298401339</c:v>
                </c:pt>
                <c:pt idx="90">
                  <c:v>37.426200238647453</c:v>
                </c:pt>
                <c:pt idx="91">
                  <c:v>37.710955396643314</c:v>
                </c:pt>
                <c:pt idx="92">
                  <c:v>37.996113168278079</c:v>
                </c:pt>
                <c:pt idx="93">
                  <c:v>38.281668925170443</c:v>
                </c:pt>
                <c:pt idx="94">
                  <c:v>38.567618018703413</c:v>
                </c:pt>
                <c:pt idx="95">
                  <c:v>38.853955783947917</c:v>
                </c:pt>
                <c:pt idx="96">
                  <c:v>39.140677543471696</c:v>
                </c:pt>
                <c:pt idx="97">
                  <c:v>39.427778611030014</c:v>
                </c:pt>
                <c:pt idx="98">
                  <c:v>39.71525429513558</c:v>
                </c:pt>
                <c:pt idx="99">
                  <c:v>40.003099902505483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6DF-4CD4-B21A-F1A404A64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234432"/>
        <c:axId val="277236352"/>
      </c:scatterChart>
      <c:valAx>
        <c:axId val="277234432"/>
        <c:scaling>
          <c:orientation val="maxMin"/>
          <c:max val="45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Yards/Game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236352"/>
        <c:crosses val="autoZero"/>
        <c:crossBetween val="midCat"/>
      </c:valAx>
      <c:valAx>
        <c:axId val="277236352"/>
        <c:scaling>
          <c:orientation val="minMax"/>
          <c:max val="45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Points/Game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2344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Yards/Game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2'!$C$94:$C$125</c:f>
              <c:numCache>
                <c:formatCode>0.000</c:formatCode>
                <c:ptCount val="32"/>
                <c:pt idx="0">
                  <c:v>344.1</c:v>
                </c:pt>
                <c:pt idx="1">
                  <c:v>301</c:v>
                </c:pt>
                <c:pt idx="2">
                  <c:v>302</c:v>
                </c:pt>
                <c:pt idx="3">
                  <c:v>277.10000000000002</c:v>
                </c:pt>
                <c:pt idx="4">
                  <c:v>284.89999999999998</c:v>
                </c:pt>
                <c:pt idx="5">
                  <c:v>293.2</c:v>
                </c:pt>
                <c:pt idx="6">
                  <c:v>348</c:v>
                </c:pt>
                <c:pt idx="7">
                  <c:v>351.3</c:v>
                </c:pt>
                <c:pt idx="8">
                  <c:v>365.7</c:v>
                </c:pt>
                <c:pt idx="9">
                  <c:v>346.3</c:v>
                </c:pt>
                <c:pt idx="10">
                  <c:v>322.89999999999998</c:v>
                </c:pt>
                <c:pt idx="11">
                  <c:v>370.7</c:v>
                </c:pt>
                <c:pt idx="12">
                  <c:v>333.6</c:v>
                </c:pt>
                <c:pt idx="13">
                  <c:v>358.7</c:v>
                </c:pt>
                <c:pt idx="14">
                  <c:v>357.4</c:v>
                </c:pt>
                <c:pt idx="15">
                  <c:v>276.8</c:v>
                </c:pt>
                <c:pt idx="16">
                  <c:v>287.5</c:v>
                </c:pt>
                <c:pt idx="17">
                  <c:v>336.2</c:v>
                </c:pt>
                <c:pt idx="18">
                  <c:v>411.2</c:v>
                </c:pt>
                <c:pt idx="19">
                  <c:v>361.2</c:v>
                </c:pt>
                <c:pt idx="20">
                  <c:v>331.4</c:v>
                </c:pt>
                <c:pt idx="21">
                  <c:v>294.7</c:v>
                </c:pt>
                <c:pt idx="22">
                  <c:v>294.8</c:v>
                </c:pt>
                <c:pt idx="23">
                  <c:v>358.1</c:v>
                </c:pt>
                <c:pt idx="24">
                  <c:v>327.39999999999998</c:v>
                </c:pt>
                <c:pt idx="25">
                  <c:v>315.2</c:v>
                </c:pt>
                <c:pt idx="26">
                  <c:v>237.3</c:v>
                </c:pt>
                <c:pt idx="27">
                  <c:v>348.9</c:v>
                </c:pt>
                <c:pt idx="28">
                  <c:v>297.5</c:v>
                </c:pt>
                <c:pt idx="29">
                  <c:v>326.8</c:v>
                </c:pt>
                <c:pt idx="30">
                  <c:v>311.7</c:v>
                </c:pt>
                <c:pt idx="31">
                  <c:v>333.4</c:v>
                </c:pt>
              </c:numCache>
            </c:numRef>
          </c:xVal>
          <c:yVal>
            <c:numRef>
              <c:f>'Linear Regression Output 2'!$G$94:$G$125</c:f>
              <c:numCache>
                <c:formatCode>0.000</c:formatCode>
                <c:ptCount val="32"/>
                <c:pt idx="0">
                  <c:v>0.4975320952187417</c:v>
                </c:pt>
                <c:pt idx="1">
                  <c:v>-1.0771241535961815</c:v>
                </c:pt>
                <c:pt idx="2">
                  <c:v>-0.69202190416221698</c:v>
                </c:pt>
                <c:pt idx="3">
                  <c:v>7.2198697601872891E-2</c:v>
                </c:pt>
                <c:pt idx="4">
                  <c:v>3.6100939892259723E-2</c:v>
                </c:pt>
                <c:pt idx="5">
                  <c:v>1.4261350096858183</c:v>
                </c:pt>
                <c:pt idx="6">
                  <c:v>-0.33556117654836959</c:v>
                </c:pt>
                <c:pt idx="7">
                  <c:v>5.4147173165007688E-2</c:v>
                </c:pt>
                <c:pt idx="8">
                  <c:v>0.70935320754027686</c:v>
                </c:pt>
                <c:pt idx="9">
                  <c:v>-1.9154205276757545</c:v>
                </c:pt>
                <c:pt idx="10">
                  <c:v>8.7300253303316949E-2</c:v>
                </c:pt>
                <c:pt idx="11">
                  <c:v>-9.6635672887893806E-2</c:v>
                </c:pt>
                <c:pt idx="12">
                  <c:v>0.41903930654629334</c:v>
                </c:pt>
                <c:pt idx="13">
                  <c:v>0.96541985745519399</c:v>
                </c:pt>
                <c:pt idx="14">
                  <c:v>-1.9834057189250118E-2</c:v>
                </c:pt>
                <c:pt idx="15">
                  <c:v>-0.66012232862141562</c:v>
                </c:pt>
                <c:pt idx="16">
                  <c:v>-0.10810100702375494</c:v>
                </c:pt>
                <c:pt idx="17">
                  <c:v>-0.12167072340813335</c:v>
                </c:pt>
                <c:pt idx="18">
                  <c:v>1.8865612448686542</c:v>
                </c:pt>
                <c:pt idx="19">
                  <c:v>-1.1117198222544376</c:v>
                </c:pt>
                <c:pt idx="20">
                  <c:v>0.36483052386841225</c:v>
                </c:pt>
                <c:pt idx="21">
                  <c:v>-0.4633730217356184</c:v>
                </c:pt>
                <c:pt idx="22">
                  <c:v>-7.2411167424740297E-2</c:v>
                </c:pt>
                <c:pt idx="23">
                  <c:v>-2.1293109808159909</c:v>
                </c:pt>
                <c:pt idx="24">
                  <c:v>1.1594135706921291</c:v>
                </c:pt>
                <c:pt idx="25">
                  <c:v>2.3647309195030961</c:v>
                </c:pt>
                <c:pt idx="26">
                  <c:v>1.3544122040727073</c:v>
                </c:pt>
                <c:pt idx="27">
                  <c:v>-3.3025605728735294E-2</c:v>
                </c:pt>
                <c:pt idx="28">
                  <c:v>-0.79489324079044998</c:v>
                </c:pt>
                <c:pt idx="29">
                  <c:v>-0.43739784276725124</c:v>
                </c:pt>
                <c:pt idx="30">
                  <c:v>-0.52510283199852015</c:v>
                </c:pt>
                <c:pt idx="31">
                  <c:v>-0.80344893878481871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E-4F2D-B59E-66ED77271F4C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301</c:v>
              </c:pt>
            </c:numLit>
          </c:xVal>
          <c:yVal>
            <c:numLit>
              <c:formatCode>General</c:formatCode>
              <c:ptCount val="1"/>
              <c:pt idx="0">
                <c:v>-1.0771241535961815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1BE-4F2D-B59E-66ED77271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267584"/>
        <c:axId val="277269888"/>
      </c:scatterChart>
      <c:valAx>
        <c:axId val="277267584"/>
        <c:scaling>
          <c:orientation val="maxMin"/>
          <c:max val="45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Yards/Game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269888"/>
        <c:crosses val="autoZero"/>
        <c:crossBetween val="midCat"/>
      </c:valAx>
      <c:valAx>
        <c:axId val="277269888"/>
        <c:scaling>
          <c:orientation val="minMax"/>
          <c:max val="3"/>
          <c:min val="-3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26758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Points/Game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2'!$D$94:$D$125</c:f>
              <c:numCache>
                <c:formatCode>0.000</c:formatCode>
                <c:ptCount val="32"/>
                <c:pt idx="0">
                  <c:v>25.2</c:v>
                </c:pt>
                <c:pt idx="1">
                  <c:v>16.2</c:v>
                </c:pt>
                <c:pt idx="2">
                  <c:v>17.2</c:v>
                </c:pt>
                <c:pt idx="3">
                  <c:v>15.8</c:v>
                </c:pt>
                <c:pt idx="4">
                  <c:v>16.7</c:v>
                </c:pt>
                <c:pt idx="5">
                  <c:v>20.9</c:v>
                </c:pt>
                <c:pt idx="6">
                  <c:v>23.8</c:v>
                </c:pt>
                <c:pt idx="7">
                  <c:v>25.1</c:v>
                </c:pt>
                <c:pt idx="8">
                  <c:v>28.4</c:v>
                </c:pt>
                <c:pt idx="9">
                  <c:v>20</c:v>
                </c:pt>
                <c:pt idx="10">
                  <c:v>21.6</c:v>
                </c:pt>
                <c:pt idx="11">
                  <c:v>27.2</c:v>
                </c:pt>
                <c:pt idx="12">
                  <c:v>23.7</c:v>
                </c:pt>
                <c:pt idx="13">
                  <c:v>28.1</c:v>
                </c:pt>
                <c:pt idx="14">
                  <c:v>25.7</c:v>
                </c:pt>
                <c:pt idx="15">
                  <c:v>14.1</c:v>
                </c:pt>
                <c:pt idx="16">
                  <c:v>16.7</c:v>
                </c:pt>
                <c:pt idx="17">
                  <c:v>22.8</c:v>
                </c:pt>
                <c:pt idx="18">
                  <c:v>36.799999999999997</c:v>
                </c:pt>
                <c:pt idx="19">
                  <c:v>23.7</c:v>
                </c:pt>
                <c:pt idx="20">
                  <c:v>23.3</c:v>
                </c:pt>
                <c:pt idx="21">
                  <c:v>16.8</c:v>
                </c:pt>
                <c:pt idx="22">
                  <c:v>17.7</c:v>
                </c:pt>
                <c:pt idx="23">
                  <c:v>21</c:v>
                </c:pt>
                <c:pt idx="24">
                  <c:v>24.6</c:v>
                </c:pt>
                <c:pt idx="25">
                  <c:v>25.8</c:v>
                </c:pt>
                <c:pt idx="26">
                  <c:v>13.7</c:v>
                </c:pt>
                <c:pt idx="27">
                  <c:v>24.6</c:v>
                </c:pt>
                <c:pt idx="28">
                  <c:v>16.399999999999999</c:v>
                </c:pt>
                <c:pt idx="29">
                  <c:v>20.9</c:v>
                </c:pt>
                <c:pt idx="30">
                  <c:v>18.8</c:v>
                </c:pt>
                <c:pt idx="31">
                  <c:v>20.9</c:v>
                </c:pt>
              </c:numCache>
            </c:numRef>
          </c:xVal>
          <c:yVal>
            <c:numRef>
              <c:f>'Linear Regression Output 2'!$G$94:$G$125</c:f>
              <c:numCache>
                <c:formatCode>0.000</c:formatCode>
                <c:ptCount val="32"/>
                <c:pt idx="0">
                  <c:v>0.4975320952187417</c:v>
                </c:pt>
                <c:pt idx="1">
                  <c:v>-1.0771241535961815</c:v>
                </c:pt>
                <c:pt idx="2">
                  <c:v>-0.69202190416221698</c:v>
                </c:pt>
                <c:pt idx="3">
                  <c:v>7.2198697601872891E-2</c:v>
                </c:pt>
                <c:pt idx="4">
                  <c:v>3.6100939892259723E-2</c:v>
                </c:pt>
                <c:pt idx="5">
                  <c:v>1.4261350096858183</c:v>
                </c:pt>
                <c:pt idx="6">
                  <c:v>-0.33556117654836959</c:v>
                </c:pt>
                <c:pt idx="7">
                  <c:v>5.4147173165007688E-2</c:v>
                </c:pt>
                <c:pt idx="8">
                  <c:v>0.70935320754027686</c:v>
                </c:pt>
                <c:pt idx="9">
                  <c:v>-1.9154205276757545</c:v>
                </c:pt>
                <c:pt idx="10">
                  <c:v>8.7300253303316949E-2</c:v>
                </c:pt>
                <c:pt idx="11">
                  <c:v>-9.6635672887893806E-2</c:v>
                </c:pt>
                <c:pt idx="12">
                  <c:v>0.41903930654629334</c:v>
                </c:pt>
                <c:pt idx="13">
                  <c:v>0.96541985745519399</c:v>
                </c:pt>
                <c:pt idx="14">
                  <c:v>-1.9834057189250118E-2</c:v>
                </c:pt>
                <c:pt idx="15">
                  <c:v>-0.66012232862141562</c:v>
                </c:pt>
                <c:pt idx="16">
                  <c:v>-0.10810100702375494</c:v>
                </c:pt>
                <c:pt idx="17">
                  <c:v>-0.12167072340813335</c:v>
                </c:pt>
                <c:pt idx="18">
                  <c:v>1.8865612448686542</c:v>
                </c:pt>
                <c:pt idx="19">
                  <c:v>-1.1117198222544376</c:v>
                </c:pt>
                <c:pt idx="20">
                  <c:v>0.36483052386841225</c:v>
                </c:pt>
                <c:pt idx="21">
                  <c:v>-0.4633730217356184</c:v>
                </c:pt>
                <c:pt idx="22">
                  <c:v>-7.2411167424740297E-2</c:v>
                </c:pt>
                <c:pt idx="23">
                  <c:v>-2.1293109808159909</c:v>
                </c:pt>
                <c:pt idx="24">
                  <c:v>1.1594135706921291</c:v>
                </c:pt>
                <c:pt idx="25">
                  <c:v>2.3647309195030961</c:v>
                </c:pt>
                <c:pt idx="26">
                  <c:v>1.3544122040727073</c:v>
                </c:pt>
                <c:pt idx="27">
                  <c:v>-3.3025605728735294E-2</c:v>
                </c:pt>
                <c:pt idx="28">
                  <c:v>-0.79489324079044998</c:v>
                </c:pt>
                <c:pt idx="29">
                  <c:v>-0.43739784276725124</c:v>
                </c:pt>
                <c:pt idx="30">
                  <c:v>-0.52510283199852015</c:v>
                </c:pt>
                <c:pt idx="31">
                  <c:v>-0.80344893878481871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6-4DAE-908F-92F788150C88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16.2</c:v>
              </c:pt>
            </c:numLit>
          </c:xVal>
          <c:yVal>
            <c:numLit>
              <c:formatCode>General</c:formatCode>
              <c:ptCount val="1"/>
              <c:pt idx="0">
                <c:v>-1.0771241535961815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A26-4DAE-908F-92F788150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311488"/>
        <c:axId val="277313792"/>
      </c:scatterChart>
      <c:valAx>
        <c:axId val="277311488"/>
        <c:scaling>
          <c:orientation val="maxMin"/>
          <c:max val="4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Points/Game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313792"/>
        <c:crosses val="autoZero"/>
        <c:crossBetween val="midCat"/>
      </c:valAx>
      <c:valAx>
        <c:axId val="277313792"/>
        <c:scaling>
          <c:orientation val="minMax"/>
          <c:max val="3"/>
          <c:min val="-3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31148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Pred(Points/Game)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2'!$E$94:$E$125</c:f>
              <c:numCache>
                <c:formatCode>0.000</c:formatCode>
                <c:ptCount val="32"/>
                <c:pt idx="0">
                  <c:v>24.070694180392078</c:v>
                </c:pt>
                <c:pt idx="1">
                  <c:v>18.644872575630782</c:v>
                </c:pt>
                <c:pt idx="2">
                  <c:v>18.770761707991834</c:v>
                </c:pt>
                <c:pt idx="3">
                  <c:v>15.636122312201667</c:v>
                </c:pt>
                <c:pt idx="4">
                  <c:v>16.618057544617859</c:v>
                </c:pt>
                <c:pt idx="5">
                  <c:v>17.662937343214583</c:v>
                </c:pt>
                <c:pt idx="6">
                  <c:v>24.561661796600173</c:v>
                </c:pt>
                <c:pt idx="7">
                  <c:v>24.977095933391642</c:v>
                </c:pt>
                <c:pt idx="8">
                  <c:v>26.789899439390769</c:v>
                </c:pt>
                <c:pt idx="9">
                  <c:v>24.347650271586385</c:v>
                </c:pt>
                <c:pt idx="10">
                  <c:v>21.40184457433779</c:v>
                </c:pt>
                <c:pt idx="11">
                  <c:v>27.419345101196026</c:v>
                </c:pt>
                <c:pt idx="12">
                  <c:v>22.748858290601046</c:v>
                </c:pt>
                <c:pt idx="13">
                  <c:v>25.908675512863415</c:v>
                </c:pt>
                <c:pt idx="14">
                  <c:v>25.745019640794045</c:v>
                </c:pt>
                <c:pt idx="15">
                  <c:v>15.598355572493357</c:v>
                </c:pt>
                <c:pt idx="16">
                  <c:v>16.945369288756599</c:v>
                </c:pt>
                <c:pt idx="17">
                  <c:v>23.076170034739771</c:v>
                </c:pt>
                <c:pt idx="18">
                  <c:v>32.517854961818585</c:v>
                </c:pt>
                <c:pt idx="19">
                  <c:v>26.223398343766039</c:v>
                </c:pt>
                <c:pt idx="20">
                  <c:v>22.471902199406724</c:v>
                </c:pt>
                <c:pt idx="21">
                  <c:v>17.851771041756162</c:v>
                </c:pt>
                <c:pt idx="22">
                  <c:v>17.86435995499227</c:v>
                </c:pt>
                <c:pt idx="23">
                  <c:v>25.833142033446787</c:v>
                </c:pt>
                <c:pt idx="24">
                  <c:v>21.96834566996252</c:v>
                </c:pt>
                <c:pt idx="25">
                  <c:v>20.432498255157707</c:v>
                </c:pt>
                <c:pt idx="26">
                  <c:v>10.625734844231847</c:v>
                </c:pt>
                <c:pt idx="27">
                  <c:v>24.674962015725118</c:v>
                </c:pt>
                <c:pt idx="28">
                  <c:v>18.204260612367104</c:v>
                </c:pt>
                <c:pt idx="29">
                  <c:v>21.892812190545893</c:v>
                </c:pt>
                <c:pt idx="30">
                  <c:v>19.991886291894023</c:v>
                </c:pt>
                <c:pt idx="31">
                  <c:v>22.723680464128829</c:v>
                </c:pt>
              </c:numCache>
            </c:numRef>
          </c:xVal>
          <c:yVal>
            <c:numRef>
              <c:f>'Linear Regression Output 2'!$G$94:$G$125</c:f>
              <c:numCache>
                <c:formatCode>0.000</c:formatCode>
                <c:ptCount val="32"/>
                <c:pt idx="0">
                  <c:v>0.4975320952187417</c:v>
                </c:pt>
                <c:pt idx="1">
                  <c:v>-1.0771241535961815</c:v>
                </c:pt>
                <c:pt idx="2">
                  <c:v>-0.69202190416221698</c:v>
                </c:pt>
                <c:pt idx="3">
                  <c:v>7.2198697601872891E-2</c:v>
                </c:pt>
                <c:pt idx="4">
                  <c:v>3.6100939892259723E-2</c:v>
                </c:pt>
                <c:pt idx="5">
                  <c:v>1.4261350096858183</c:v>
                </c:pt>
                <c:pt idx="6">
                  <c:v>-0.33556117654836959</c:v>
                </c:pt>
                <c:pt idx="7">
                  <c:v>5.4147173165007688E-2</c:v>
                </c:pt>
                <c:pt idx="8">
                  <c:v>0.70935320754027686</c:v>
                </c:pt>
                <c:pt idx="9">
                  <c:v>-1.9154205276757545</c:v>
                </c:pt>
                <c:pt idx="10">
                  <c:v>8.7300253303316949E-2</c:v>
                </c:pt>
                <c:pt idx="11">
                  <c:v>-9.6635672887893806E-2</c:v>
                </c:pt>
                <c:pt idx="12">
                  <c:v>0.41903930654629334</c:v>
                </c:pt>
                <c:pt idx="13">
                  <c:v>0.96541985745519399</c:v>
                </c:pt>
                <c:pt idx="14">
                  <c:v>-1.9834057189250118E-2</c:v>
                </c:pt>
                <c:pt idx="15">
                  <c:v>-0.66012232862141562</c:v>
                </c:pt>
                <c:pt idx="16">
                  <c:v>-0.10810100702375494</c:v>
                </c:pt>
                <c:pt idx="17">
                  <c:v>-0.12167072340813335</c:v>
                </c:pt>
                <c:pt idx="18">
                  <c:v>1.8865612448686542</c:v>
                </c:pt>
                <c:pt idx="19">
                  <c:v>-1.1117198222544376</c:v>
                </c:pt>
                <c:pt idx="20">
                  <c:v>0.36483052386841225</c:v>
                </c:pt>
                <c:pt idx="21">
                  <c:v>-0.4633730217356184</c:v>
                </c:pt>
                <c:pt idx="22">
                  <c:v>-7.2411167424740297E-2</c:v>
                </c:pt>
                <c:pt idx="23">
                  <c:v>-2.1293109808159909</c:v>
                </c:pt>
                <c:pt idx="24">
                  <c:v>1.1594135706921291</c:v>
                </c:pt>
                <c:pt idx="25">
                  <c:v>2.3647309195030961</c:v>
                </c:pt>
                <c:pt idx="26">
                  <c:v>1.3544122040727073</c:v>
                </c:pt>
                <c:pt idx="27">
                  <c:v>-3.3025605728735294E-2</c:v>
                </c:pt>
                <c:pt idx="28">
                  <c:v>-0.79489324079044998</c:v>
                </c:pt>
                <c:pt idx="29">
                  <c:v>-0.43739784276725124</c:v>
                </c:pt>
                <c:pt idx="30">
                  <c:v>-0.52510283199852015</c:v>
                </c:pt>
                <c:pt idx="31">
                  <c:v>-0.80344893878481871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5-4EC4-838D-4C5FCD8E3C7D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18.644872575630782</c:v>
              </c:pt>
            </c:numLit>
          </c:xVal>
          <c:yVal>
            <c:numLit>
              <c:formatCode>General</c:formatCode>
              <c:ptCount val="1"/>
              <c:pt idx="0">
                <c:v>-1.0771241535961815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3F5-4EC4-838D-4C5FCD8E3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326464"/>
        <c:axId val="277435520"/>
      </c:scatterChart>
      <c:valAx>
        <c:axId val="277326464"/>
        <c:scaling>
          <c:orientation val="maxMin"/>
          <c:max val="35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Pred(Points/Game)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435520"/>
        <c:crosses val="autoZero"/>
        <c:crossBetween val="midCat"/>
      </c:valAx>
      <c:valAx>
        <c:axId val="277435520"/>
        <c:scaling>
          <c:orientation val="minMax"/>
          <c:max val="3"/>
          <c:min val="-3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32646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Pred(Points/Game) - Points/Game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2'!$E$94:$E$125</c:f>
              <c:numCache>
                <c:formatCode>0.000</c:formatCode>
                <c:ptCount val="32"/>
                <c:pt idx="0">
                  <c:v>24.070694180392078</c:v>
                </c:pt>
                <c:pt idx="1">
                  <c:v>18.644872575630782</c:v>
                </c:pt>
                <c:pt idx="2">
                  <c:v>18.770761707991834</c:v>
                </c:pt>
                <c:pt idx="3">
                  <c:v>15.636122312201667</c:v>
                </c:pt>
                <c:pt idx="4">
                  <c:v>16.618057544617859</c:v>
                </c:pt>
                <c:pt idx="5">
                  <c:v>17.662937343214583</c:v>
                </c:pt>
                <c:pt idx="6">
                  <c:v>24.561661796600173</c:v>
                </c:pt>
                <c:pt idx="7">
                  <c:v>24.977095933391642</c:v>
                </c:pt>
                <c:pt idx="8">
                  <c:v>26.789899439390769</c:v>
                </c:pt>
                <c:pt idx="9">
                  <c:v>24.347650271586385</c:v>
                </c:pt>
                <c:pt idx="10">
                  <c:v>21.40184457433779</c:v>
                </c:pt>
                <c:pt idx="11">
                  <c:v>27.419345101196026</c:v>
                </c:pt>
                <c:pt idx="12">
                  <c:v>22.748858290601046</c:v>
                </c:pt>
                <c:pt idx="13">
                  <c:v>25.908675512863415</c:v>
                </c:pt>
                <c:pt idx="14">
                  <c:v>25.745019640794045</c:v>
                </c:pt>
                <c:pt idx="15">
                  <c:v>15.598355572493357</c:v>
                </c:pt>
                <c:pt idx="16">
                  <c:v>16.945369288756599</c:v>
                </c:pt>
                <c:pt idx="17">
                  <c:v>23.076170034739771</c:v>
                </c:pt>
                <c:pt idx="18">
                  <c:v>32.517854961818585</c:v>
                </c:pt>
                <c:pt idx="19">
                  <c:v>26.223398343766039</c:v>
                </c:pt>
                <c:pt idx="20">
                  <c:v>22.471902199406724</c:v>
                </c:pt>
                <c:pt idx="21">
                  <c:v>17.851771041756162</c:v>
                </c:pt>
                <c:pt idx="22">
                  <c:v>17.86435995499227</c:v>
                </c:pt>
                <c:pt idx="23">
                  <c:v>25.833142033446787</c:v>
                </c:pt>
                <c:pt idx="24">
                  <c:v>21.96834566996252</c:v>
                </c:pt>
                <c:pt idx="25">
                  <c:v>20.432498255157707</c:v>
                </c:pt>
                <c:pt idx="26">
                  <c:v>10.625734844231847</c:v>
                </c:pt>
                <c:pt idx="27">
                  <c:v>24.674962015725118</c:v>
                </c:pt>
                <c:pt idx="28">
                  <c:v>18.204260612367104</c:v>
                </c:pt>
                <c:pt idx="29">
                  <c:v>21.892812190545893</c:v>
                </c:pt>
                <c:pt idx="30">
                  <c:v>19.991886291894023</c:v>
                </c:pt>
                <c:pt idx="31">
                  <c:v>22.723680464128829</c:v>
                </c:pt>
              </c:numCache>
            </c:numRef>
          </c:xVal>
          <c:yVal>
            <c:numRef>
              <c:f>'Linear Regression Output 2'!$D$94:$D$125</c:f>
              <c:numCache>
                <c:formatCode>0.000</c:formatCode>
                <c:ptCount val="32"/>
                <c:pt idx="0">
                  <c:v>25.2</c:v>
                </c:pt>
                <c:pt idx="1">
                  <c:v>16.2</c:v>
                </c:pt>
                <c:pt idx="2">
                  <c:v>17.2</c:v>
                </c:pt>
                <c:pt idx="3">
                  <c:v>15.8</c:v>
                </c:pt>
                <c:pt idx="4">
                  <c:v>16.7</c:v>
                </c:pt>
                <c:pt idx="5">
                  <c:v>20.9</c:v>
                </c:pt>
                <c:pt idx="6">
                  <c:v>23.8</c:v>
                </c:pt>
                <c:pt idx="7">
                  <c:v>25.1</c:v>
                </c:pt>
                <c:pt idx="8">
                  <c:v>28.4</c:v>
                </c:pt>
                <c:pt idx="9">
                  <c:v>20</c:v>
                </c:pt>
                <c:pt idx="10">
                  <c:v>21.6</c:v>
                </c:pt>
                <c:pt idx="11">
                  <c:v>27.2</c:v>
                </c:pt>
                <c:pt idx="12">
                  <c:v>23.7</c:v>
                </c:pt>
                <c:pt idx="13">
                  <c:v>28.1</c:v>
                </c:pt>
                <c:pt idx="14">
                  <c:v>25.7</c:v>
                </c:pt>
                <c:pt idx="15">
                  <c:v>14.1</c:v>
                </c:pt>
                <c:pt idx="16">
                  <c:v>16.7</c:v>
                </c:pt>
                <c:pt idx="17">
                  <c:v>22.8</c:v>
                </c:pt>
                <c:pt idx="18">
                  <c:v>36.799999999999997</c:v>
                </c:pt>
                <c:pt idx="19">
                  <c:v>23.7</c:v>
                </c:pt>
                <c:pt idx="20">
                  <c:v>23.3</c:v>
                </c:pt>
                <c:pt idx="21">
                  <c:v>16.8</c:v>
                </c:pt>
                <c:pt idx="22">
                  <c:v>17.7</c:v>
                </c:pt>
                <c:pt idx="23">
                  <c:v>21</c:v>
                </c:pt>
                <c:pt idx="24">
                  <c:v>24.6</c:v>
                </c:pt>
                <c:pt idx="25">
                  <c:v>25.8</c:v>
                </c:pt>
                <c:pt idx="26">
                  <c:v>13.7</c:v>
                </c:pt>
                <c:pt idx="27">
                  <c:v>24.6</c:v>
                </c:pt>
                <c:pt idx="28">
                  <c:v>16.399999999999999</c:v>
                </c:pt>
                <c:pt idx="29">
                  <c:v>20.9</c:v>
                </c:pt>
                <c:pt idx="30">
                  <c:v>18.8</c:v>
                </c:pt>
                <c:pt idx="31">
                  <c:v>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8-409C-BAC3-376B0914A8E1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18.644872575630782</c:v>
              </c:pt>
            </c:numLit>
          </c:xVal>
          <c:yVal>
            <c:numLit>
              <c:formatCode>General</c:formatCode>
              <c:ptCount val="1"/>
              <c:pt idx="0">
                <c:v>16.2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8B8-409C-BAC3-376B0914A8E1}"/>
            </c:ext>
          </c:extLst>
        </c:ser>
        <c:ser>
          <c:idx val="2"/>
          <c:order val="2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Sheet9_HID!xdata5</c:f>
              <c:numCache>
                <c:formatCode>General</c:formatCode>
                <c:ptCount val="70"/>
                <c:pt idx="0">
                  <c:v>9.7500500395283805</c:v>
                </c:pt>
                <c:pt idx="1">
                  <c:v>10.174272878871191</c:v>
                </c:pt>
                <c:pt idx="2">
                  <c:v>10.598495718214002</c:v>
                </c:pt>
                <c:pt idx="3">
                  <c:v>11.022718557556814</c:v>
                </c:pt>
                <c:pt idx="4">
                  <c:v>11.446941396899625</c:v>
                </c:pt>
                <c:pt idx="5">
                  <c:v>11.871164236242436</c:v>
                </c:pt>
                <c:pt idx="6">
                  <c:v>12.295387075585246</c:v>
                </c:pt>
                <c:pt idx="7">
                  <c:v>12.719609914928057</c:v>
                </c:pt>
                <c:pt idx="8">
                  <c:v>13.143832754270868</c:v>
                </c:pt>
                <c:pt idx="9">
                  <c:v>13.56805559361368</c:v>
                </c:pt>
                <c:pt idx="10">
                  <c:v>13.992278432956491</c:v>
                </c:pt>
                <c:pt idx="11">
                  <c:v>14.416501272299302</c:v>
                </c:pt>
                <c:pt idx="12">
                  <c:v>14.840724111642112</c:v>
                </c:pt>
                <c:pt idx="13">
                  <c:v>15.264946950984925</c:v>
                </c:pt>
                <c:pt idx="14">
                  <c:v>15.689169790327735</c:v>
                </c:pt>
                <c:pt idx="15">
                  <c:v>16.113392629670546</c:v>
                </c:pt>
                <c:pt idx="16">
                  <c:v>16.537615469013357</c:v>
                </c:pt>
                <c:pt idx="17">
                  <c:v>16.961838308356167</c:v>
                </c:pt>
                <c:pt idx="18">
                  <c:v>17.386061147698978</c:v>
                </c:pt>
                <c:pt idx="19">
                  <c:v>17.810283987041792</c:v>
                </c:pt>
                <c:pt idx="20">
                  <c:v>18.234506826384603</c:v>
                </c:pt>
                <c:pt idx="21">
                  <c:v>18.658729665727414</c:v>
                </c:pt>
                <c:pt idx="22">
                  <c:v>19.082952505070224</c:v>
                </c:pt>
                <c:pt idx="23">
                  <c:v>19.507175344413035</c:v>
                </c:pt>
                <c:pt idx="24">
                  <c:v>19.931398183755846</c:v>
                </c:pt>
                <c:pt idx="25">
                  <c:v>20.355621023098657</c:v>
                </c:pt>
                <c:pt idx="26">
                  <c:v>20.779843862441467</c:v>
                </c:pt>
                <c:pt idx="27">
                  <c:v>21.204066701784278</c:v>
                </c:pt>
                <c:pt idx="28">
                  <c:v>21.628289541127089</c:v>
                </c:pt>
                <c:pt idx="29">
                  <c:v>22.052512380469899</c:v>
                </c:pt>
                <c:pt idx="30">
                  <c:v>22.47673521981271</c:v>
                </c:pt>
                <c:pt idx="31">
                  <c:v>22.900958059155521</c:v>
                </c:pt>
                <c:pt idx="32">
                  <c:v>23.325180898498331</c:v>
                </c:pt>
                <c:pt idx="33">
                  <c:v>23.749403737841142</c:v>
                </c:pt>
                <c:pt idx="34">
                  <c:v>24.173626577183953</c:v>
                </c:pt>
                <c:pt idx="35">
                  <c:v>24.597849416526767</c:v>
                </c:pt>
                <c:pt idx="36">
                  <c:v>25.022072255869578</c:v>
                </c:pt>
                <c:pt idx="37">
                  <c:v>25.446295095212388</c:v>
                </c:pt>
                <c:pt idx="38">
                  <c:v>25.870517934555203</c:v>
                </c:pt>
                <c:pt idx="39">
                  <c:v>26.294740773898013</c:v>
                </c:pt>
                <c:pt idx="40">
                  <c:v>26.718963613240824</c:v>
                </c:pt>
                <c:pt idx="41">
                  <c:v>27.143186452583635</c:v>
                </c:pt>
                <c:pt idx="42">
                  <c:v>27.567409291926445</c:v>
                </c:pt>
                <c:pt idx="43">
                  <c:v>27.991632131269256</c:v>
                </c:pt>
                <c:pt idx="44">
                  <c:v>28.415854970612067</c:v>
                </c:pt>
                <c:pt idx="45">
                  <c:v>28.840077809954877</c:v>
                </c:pt>
                <c:pt idx="46">
                  <c:v>29.264300649297688</c:v>
                </c:pt>
                <c:pt idx="47">
                  <c:v>29.688523488640499</c:v>
                </c:pt>
                <c:pt idx="48">
                  <c:v>30.112746327983309</c:v>
                </c:pt>
                <c:pt idx="49">
                  <c:v>30.53696916732612</c:v>
                </c:pt>
                <c:pt idx="50">
                  <c:v>30.961192006668931</c:v>
                </c:pt>
                <c:pt idx="51">
                  <c:v>31.385414846011741</c:v>
                </c:pt>
                <c:pt idx="52">
                  <c:v>31.809637685354552</c:v>
                </c:pt>
                <c:pt idx="53">
                  <c:v>32.233860524697363</c:v>
                </c:pt>
                <c:pt idx="54">
                  <c:v>32.658083364040174</c:v>
                </c:pt>
                <c:pt idx="55">
                  <c:v>33.082306203382984</c:v>
                </c:pt>
                <c:pt idx="56">
                  <c:v>33.506529042725795</c:v>
                </c:pt>
                <c:pt idx="57">
                  <c:v>33.930751882068606</c:v>
                </c:pt>
                <c:pt idx="58">
                  <c:v>34.354974721411416</c:v>
                </c:pt>
                <c:pt idx="59">
                  <c:v>34.779197560754234</c:v>
                </c:pt>
                <c:pt idx="60">
                  <c:v>35.203420400097045</c:v>
                </c:pt>
                <c:pt idx="61">
                  <c:v>35.627643239439855</c:v>
                </c:pt>
                <c:pt idx="62">
                  <c:v>36.051866078782666</c:v>
                </c:pt>
                <c:pt idx="63">
                  <c:v>36.476088918125477</c:v>
                </c:pt>
                <c:pt idx="64">
                  <c:v>36.900311757468288</c:v>
                </c:pt>
                <c:pt idx="65">
                  <c:v>37.324534596811098</c:v>
                </c:pt>
                <c:pt idx="66">
                  <c:v>37.748757436153909</c:v>
                </c:pt>
                <c:pt idx="67">
                  <c:v>38.17298027549672</c:v>
                </c:pt>
                <c:pt idx="68">
                  <c:v>38.59720311483953</c:v>
                </c:pt>
                <c:pt idx="69">
                  <c:v>39.021425954182341</c:v>
                </c:pt>
              </c:numCache>
            </c:numRef>
          </c:xVal>
          <c:yVal>
            <c:numRef>
              <c:f>Sheet9_HID!ydata5</c:f>
              <c:numCache>
                <c:formatCode>General</c:formatCode>
                <c:ptCount val="70"/>
                <c:pt idx="0">
                  <c:v>4.5423776268309499</c:v>
                </c:pt>
                <c:pt idx="1">
                  <c:v>4.9999338313032116</c:v>
                </c:pt>
                <c:pt idx="2">
                  <c:v>5.4564891788908465</c:v>
                </c:pt>
                <c:pt idx="3">
                  <c:v>5.9120246739695741</c:v>
                </c:pt>
                <c:pt idx="4">
                  <c:v>6.3665214592302481</c:v>
                </c:pt>
                <c:pt idx="5">
                  <c:v>6.8199608583888409</c:v>
                </c:pt>
                <c:pt idx="6">
                  <c:v>7.2723244206057984</c:v>
                </c:pt>
                <c:pt idx="7">
                  <c:v>7.7235939664649891</c:v>
                </c:pt>
                <c:pt idx="8">
                  <c:v>8.1737516353368864</c:v>
                </c:pt>
                <c:pt idx="9">
                  <c:v>8.6227799339249991</c:v>
                </c:pt>
                <c:pt idx="10">
                  <c:v>9.0706617857689871</c:v>
                </c:pt>
                <c:pt idx="11">
                  <c:v>9.5173805814532848</c:v>
                </c:pt>
                <c:pt idx="12">
                  <c:v>9.9629202292462153</c:v>
                </c:pt>
                <c:pt idx="13">
                  <c:v>10.407265205872758</c:v>
                </c:pt>
                <c:pt idx="14">
                  <c:v>10.850400607104172</c:v>
                </c:pt>
                <c:pt idx="15">
                  <c:v>11.292312197830537</c:v>
                </c:pt>
                <c:pt idx="16">
                  <c:v>11.732986461268242</c:v>
                </c:pt>
                <c:pt idx="17">
                  <c:v>12.172410646944051</c:v>
                </c:pt>
                <c:pt idx="18">
                  <c:v>12.610572817091123</c:v>
                </c:pt>
                <c:pt idx="19">
                  <c:v>13.047461891090418</c:v>
                </c:pt>
                <c:pt idx="20">
                  <c:v>13.483067687593913</c:v>
                </c:pt>
                <c:pt idx="21">
                  <c:v>13.917380963973876</c:v>
                </c:pt>
                <c:pt idx="22">
                  <c:v>14.350393452755455</c:v>
                </c:pt>
                <c:pt idx="23">
                  <c:v>14.782097894707949</c:v>
                </c:pt>
                <c:pt idx="24">
                  <c:v>15.212488068293258</c:v>
                </c:pt>
                <c:pt idx="25">
                  <c:v>15.641558815197991</c:v>
                </c:pt>
                <c:pt idx="26">
                  <c:v>16.06930606170809</c:v>
                </c:pt>
                <c:pt idx="27">
                  <c:v>16.495726835721371</c:v>
                </c:pt>
                <c:pt idx="28">
                  <c:v>16.920819279233221</c:v>
                </c:pt>
                <c:pt idx="29">
                  <c:v>17.344582656173717</c:v>
                </c:pt>
                <c:pt idx="30">
                  <c:v>17.767017355519091</c:v>
                </c:pt>
                <c:pt idx="31">
                  <c:v>18.188124889646975</c:v>
                </c:pt>
                <c:pt idx="32">
                  <c:v>18.607907887951665</c:v>
                </c:pt>
                <c:pt idx="33">
                  <c:v>19.026370085782052</c:v>
                </c:pt>
                <c:pt idx="34">
                  <c:v>19.443516308810519</c:v>
                </c:pt>
                <c:pt idx="35">
                  <c:v>19.859352452984474</c:v>
                </c:pt>
                <c:pt idx="36">
                  <c:v>20.27388546025319</c:v>
                </c:pt>
                <c:pt idx="37">
                  <c:v>20.687123290300253</c:v>
                </c:pt>
                <c:pt idx="38">
                  <c:v>21.09907488854553</c:v>
                </c:pt>
                <c:pt idx="39">
                  <c:v>21.509750150710129</c:v>
                </c:pt>
                <c:pt idx="40">
                  <c:v>21.919159884262264</c:v>
                </c:pt>
                <c:pt idx="41">
                  <c:v>22.327315767081839</c:v>
                </c:pt>
                <c:pt idx="42">
                  <c:v>22.734230303695909</c:v>
                </c:pt>
                <c:pt idx="43">
                  <c:v>23.139916779446839</c:v>
                </c:pt>
                <c:pt idx="44">
                  <c:v>23.544389212959238</c:v>
                </c:pt>
                <c:pt idx="45">
                  <c:v>23.947662307271429</c:v>
                </c:pt>
                <c:pt idx="46">
                  <c:v>24.349751399992194</c:v>
                </c:pt>
                <c:pt idx="47">
                  <c:v>24.750672412834387</c:v>
                </c:pt>
                <c:pt idx="48">
                  <c:v>25.150441800864026</c:v>
                </c:pt>
                <c:pt idx="49">
                  <c:v>25.549076501787294</c:v>
                </c:pt>
                <c:pt idx="50">
                  <c:v>25.946593885578658</c:v>
                </c:pt>
                <c:pt idx="51">
                  <c:v>26.34301170473211</c:v>
                </c:pt>
                <c:pt idx="52">
                  <c:v>26.738348045394133</c:v>
                </c:pt>
                <c:pt idx="53">
                  <c:v>27.132621279612732</c:v>
                </c:pt>
                <c:pt idx="54">
                  <c:v>27.525850018911381</c:v>
                </c:pt>
                <c:pt idx="55">
                  <c:v>27.918053069371183</c:v>
                </c:pt>
                <c:pt idx="56">
                  <c:v>28.309249388378905</c:v>
                </c:pt>
                <c:pt idx="57">
                  <c:v>28.699458043173291</c:v>
                </c:pt>
                <c:pt idx="58">
                  <c:v>29.088698171297608</c:v>
                </c:pt>
                <c:pt idx="59">
                  <c:v>29.476988943042965</c:v>
                </c:pt>
                <c:pt idx="60">
                  <c:v>29.864349525944569</c:v>
                </c:pt>
                <c:pt idx="61">
                  <c:v>30.250799051372525</c:v>
                </c:pt>
                <c:pt idx="62">
                  <c:v>30.636356583239134</c:v>
                </c:pt>
                <c:pt idx="63">
                  <c:v>31.02104108882742</c:v>
                </c:pt>
                <c:pt idx="64">
                  <c:v>31.404871411729349</c:v>
                </c:pt>
                <c:pt idx="65">
                  <c:v>31.787866246868177</c:v>
                </c:pt>
                <c:pt idx="66">
                  <c:v>32.170044117566668</c:v>
                </c:pt>
                <c:pt idx="67">
                  <c:v>32.55142335461224</c:v>
                </c:pt>
                <c:pt idx="68">
                  <c:v>32.932022077260569</c:v>
                </c:pt>
                <c:pt idx="69">
                  <c:v>33.31185817611167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B8-409C-BAC3-376B0914A8E1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Sheet9_HID!xdata6</c:f>
              <c:numCache>
                <c:formatCode>General</c:formatCode>
                <c:ptCount val="70"/>
                <c:pt idx="0">
                  <c:v>8.5005878753854809</c:v>
                </c:pt>
                <c:pt idx="1">
                  <c:v>8.9429188620347091</c:v>
                </c:pt>
                <c:pt idx="2">
                  <c:v>9.3852498486839391</c:v>
                </c:pt>
                <c:pt idx="3">
                  <c:v>9.8275808353331673</c:v>
                </c:pt>
                <c:pt idx="4">
                  <c:v>10.269911821982397</c:v>
                </c:pt>
                <c:pt idx="5">
                  <c:v>10.712242808631625</c:v>
                </c:pt>
                <c:pt idx="6">
                  <c:v>11.154573795280854</c:v>
                </c:pt>
                <c:pt idx="7">
                  <c:v>11.596904781930084</c:v>
                </c:pt>
                <c:pt idx="8">
                  <c:v>12.039235768579314</c:v>
                </c:pt>
                <c:pt idx="9">
                  <c:v>12.481566755228542</c:v>
                </c:pt>
                <c:pt idx="10">
                  <c:v>12.92389774187777</c:v>
                </c:pt>
                <c:pt idx="11">
                  <c:v>13.366228728527</c:v>
                </c:pt>
                <c:pt idx="12">
                  <c:v>13.808559715176228</c:v>
                </c:pt>
                <c:pt idx="13">
                  <c:v>14.250890701825458</c:v>
                </c:pt>
                <c:pt idx="14">
                  <c:v>14.693221688474686</c:v>
                </c:pt>
                <c:pt idx="15">
                  <c:v>15.135552675123915</c:v>
                </c:pt>
                <c:pt idx="16">
                  <c:v>15.577883661773145</c:v>
                </c:pt>
                <c:pt idx="17">
                  <c:v>16.020214648422375</c:v>
                </c:pt>
                <c:pt idx="18">
                  <c:v>16.462545635071603</c:v>
                </c:pt>
                <c:pt idx="19">
                  <c:v>16.904876621720831</c:v>
                </c:pt>
                <c:pt idx="20">
                  <c:v>17.347207608370063</c:v>
                </c:pt>
                <c:pt idx="21">
                  <c:v>17.789538595019287</c:v>
                </c:pt>
                <c:pt idx="22">
                  <c:v>18.231869581668519</c:v>
                </c:pt>
                <c:pt idx="23">
                  <c:v>18.674200568317747</c:v>
                </c:pt>
                <c:pt idx="24">
                  <c:v>19.116531554966976</c:v>
                </c:pt>
                <c:pt idx="25">
                  <c:v>19.558862541616207</c:v>
                </c:pt>
                <c:pt idx="26">
                  <c:v>20.001193528265432</c:v>
                </c:pt>
                <c:pt idx="27">
                  <c:v>20.443524514914664</c:v>
                </c:pt>
                <c:pt idx="28">
                  <c:v>20.885855501563892</c:v>
                </c:pt>
                <c:pt idx="29">
                  <c:v>21.32818648821312</c:v>
                </c:pt>
                <c:pt idx="30">
                  <c:v>21.770517474862352</c:v>
                </c:pt>
                <c:pt idx="31">
                  <c:v>22.21284846151158</c:v>
                </c:pt>
                <c:pt idx="32">
                  <c:v>22.655179448160808</c:v>
                </c:pt>
                <c:pt idx="33">
                  <c:v>23.097510434810037</c:v>
                </c:pt>
                <c:pt idx="34">
                  <c:v>23.539841421459265</c:v>
                </c:pt>
                <c:pt idx="35">
                  <c:v>23.982172408108497</c:v>
                </c:pt>
                <c:pt idx="36">
                  <c:v>24.424503394757725</c:v>
                </c:pt>
                <c:pt idx="37">
                  <c:v>24.866834381406953</c:v>
                </c:pt>
                <c:pt idx="38">
                  <c:v>25.309165368056181</c:v>
                </c:pt>
                <c:pt idx="39">
                  <c:v>25.751496354705413</c:v>
                </c:pt>
                <c:pt idx="40">
                  <c:v>26.193827341354641</c:v>
                </c:pt>
                <c:pt idx="41">
                  <c:v>26.636158328003869</c:v>
                </c:pt>
                <c:pt idx="42">
                  <c:v>27.078489314653098</c:v>
                </c:pt>
                <c:pt idx="43">
                  <c:v>27.520820301302326</c:v>
                </c:pt>
                <c:pt idx="44">
                  <c:v>27.963151287951558</c:v>
                </c:pt>
                <c:pt idx="45">
                  <c:v>28.405482274600786</c:v>
                </c:pt>
                <c:pt idx="46">
                  <c:v>28.847813261250014</c:v>
                </c:pt>
                <c:pt idx="47">
                  <c:v>29.290144247899242</c:v>
                </c:pt>
                <c:pt idx="48">
                  <c:v>29.73247523454847</c:v>
                </c:pt>
                <c:pt idx="49">
                  <c:v>30.174806221197702</c:v>
                </c:pt>
                <c:pt idx="50">
                  <c:v>30.61713720784693</c:v>
                </c:pt>
                <c:pt idx="51">
                  <c:v>31.059468194496159</c:v>
                </c:pt>
                <c:pt idx="52">
                  <c:v>31.501799181145387</c:v>
                </c:pt>
                <c:pt idx="53">
                  <c:v>31.944130167794619</c:v>
                </c:pt>
                <c:pt idx="54">
                  <c:v>32.38646115444385</c:v>
                </c:pt>
                <c:pt idx="55">
                  <c:v>32.828792141093075</c:v>
                </c:pt>
                <c:pt idx="56">
                  <c:v>33.2711231277423</c:v>
                </c:pt>
                <c:pt idx="57">
                  <c:v>33.713454114391531</c:v>
                </c:pt>
                <c:pt idx="58">
                  <c:v>34.155785101040763</c:v>
                </c:pt>
                <c:pt idx="59">
                  <c:v>34.598116087689988</c:v>
                </c:pt>
                <c:pt idx="60">
                  <c:v>35.04044707433922</c:v>
                </c:pt>
                <c:pt idx="61">
                  <c:v>35.482778060988451</c:v>
                </c:pt>
                <c:pt idx="62">
                  <c:v>35.925109047637676</c:v>
                </c:pt>
                <c:pt idx="63">
                  <c:v>36.367440034286908</c:v>
                </c:pt>
                <c:pt idx="64">
                  <c:v>36.80977102093614</c:v>
                </c:pt>
                <c:pt idx="65">
                  <c:v>37.252102007585364</c:v>
                </c:pt>
                <c:pt idx="66">
                  <c:v>37.694432994234589</c:v>
                </c:pt>
                <c:pt idx="67">
                  <c:v>38.136763980883828</c:v>
                </c:pt>
                <c:pt idx="68">
                  <c:v>38.579094967533052</c:v>
                </c:pt>
                <c:pt idx="69">
                  <c:v>39.021425954182277</c:v>
                </c:pt>
              </c:numCache>
            </c:numRef>
          </c:xVal>
          <c:yVal>
            <c:numRef>
              <c:f>Sheet9_HID!ydata6</c:f>
              <c:numCache>
                <c:formatCode>General</c:formatCode>
                <c:ptCount val="70"/>
                <c:pt idx="0">
                  <c:v>13.812068851890409</c:v>
                </c:pt>
                <c:pt idx="1">
                  <c:v>14.216706717981186</c:v>
                </c:pt>
                <c:pt idx="2">
                  <c:v>14.622372314552866</c:v>
                </c:pt>
                <c:pt idx="3">
                  <c:v>15.029087375049833</c:v>
                </c:pt>
                <c:pt idx="4">
                  <c:v>15.43687360141789</c:v>
                </c:pt>
                <c:pt idx="5">
                  <c:v>15.845752618187349</c:v>
                </c:pt>
                <c:pt idx="6">
                  <c:v>16.255745923986982</c:v>
                </c:pt>
                <c:pt idx="7">
                  <c:v>16.666874840598801</c:v>
                </c:pt>
                <c:pt idx="8">
                  <c:v>17.079160459696443</c:v>
                </c:pt>
                <c:pt idx="9">
                  <c:v>17.492623587443937</c:v>
                </c:pt>
                <c:pt idx="10">
                  <c:v>17.907284687166971</c:v>
                </c:pt>
                <c:pt idx="11">
                  <c:v>18.323163820344401</c:v>
                </c:pt>
                <c:pt idx="12">
                  <c:v>18.740280586203749</c:v>
                </c:pt>
                <c:pt idx="13">
                  <c:v>19.158654060239535</c:v>
                </c:pt>
                <c:pt idx="14">
                  <c:v>19.57830273200722</c:v>
                </c:pt>
                <c:pt idx="15">
                  <c:v>19.999244442577492</c:v>
                </c:pt>
                <c:pt idx="16">
                  <c:v>20.421496322064655</c:v>
                </c:pt>
                <c:pt idx="17">
                  <c:v>20.845074727668454</c:v>
                </c:pt>
                <c:pt idx="18">
                  <c:v>21.269995182689801</c:v>
                </c:pt>
                <c:pt idx="19">
                  <c:v>21.696272316997113</c:v>
                </c:pt>
                <c:pt idx="20">
                  <c:v>22.123919809430063</c:v>
                </c:pt>
                <c:pt idx="21">
                  <c:v>22.552950332631791</c:v>
                </c:pt>
                <c:pt idx="22">
                  <c:v>22.983375500797674</c:v>
                </c:pt>
                <c:pt idx="23">
                  <c:v>23.415205820818521</c:v>
                </c:pt>
                <c:pt idx="24">
                  <c:v>23.848450647278906</c:v>
                </c:pt>
                <c:pt idx="25">
                  <c:v>24.283118141746044</c:v>
                </c:pt>
                <c:pt idx="26">
                  <c:v>24.719215236752561</c:v>
                </c:pt>
                <c:pt idx="27">
                  <c:v>25.156747604837228</c:v>
                </c:pt>
                <c:pt idx="28">
                  <c:v>25.595719632961771</c:v>
                </c:pt>
                <c:pt idx="29">
                  <c:v>26.036134402570621</c:v>
                </c:pt>
                <c:pt idx="30">
                  <c:v>26.477993675503591</c:v>
                </c:pt>
                <c:pt idx="31">
                  <c:v>26.921297885911287</c:v>
                </c:pt>
                <c:pt idx="32">
                  <c:v>27.366046138259552</c:v>
                </c:pt>
                <c:pt idx="33">
                  <c:v>27.812236211444301</c:v>
                </c:pt>
                <c:pt idx="34">
                  <c:v>28.259864568972738</c:v>
                </c:pt>
                <c:pt idx="35">
                  <c:v>28.708926375102344</c:v>
                </c:pt>
                <c:pt idx="36">
                  <c:v>29.159415516766636</c:v>
                </c:pt>
                <c:pt idx="37">
                  <c:v>29.611324631057329</c:v>
                </c:pt>
                <c:pt idx="38">
                  <c:v>30.064645137977795</c:v>
                </c:pt>
                <c:pt idx="39">
                  <c:v>30.519367278132947</c:v>
                </c:pt>
                <c:pt idx="40">
                  <c:v>30.975480154977081</c:v>
                </c:pt>
                <c:pt idx="41">
                  <c:v>31.432971781204529</c:v>
                </c:pt>
                <c:pt idx="42">
                  <c:v>31.891829128837834</c:v>
                </c:pt>
                <c:pt idx="43">
                  <c:v>32.352038182546224</c:v>
                </c:pt>
                <c:pt idx="44">
                  <c:v>32.813583995711902</c:v>
                </c:pt>
                <c:pt idx="45">
                  <c:v>33.276450748754321</c:v>
                </c:pt>
                <c:pt idx="46">
                  <c:v>33.740621809222191</c:v>
                </c:pt>
                <c:pt idx="47">
                  <c:v>34.206079793169067</c:v>
                </c:pt>
                <c:pt idx="48">
                  <c:v>34.672806627340933</c:v>
                </c:pt>
                <c:pt idx="49">
                  <c:v>35.140783611722135</c:v>
                </c:pt>
                <c:pt idx="50">
                  <c:v>35.609991482008624</c:v>
                </c:pt>
                <c:pt idx="51">
                  <c:v>36.080410471604637</c:v>
                </c:pt>
                <c:pt idx="52">
                  <c:v>36.552020372768737</c:v>
                </c:pt>
                <c:pt idx="53">
                  <c:v>37.02480059656812</c:v>
                </c:pt>
                <c:pt idx="54">
                  <c:v>37.498730231334392</c:v>
                </c:pt>
                <c:pt idx="55">
                  <c:v>37.973788099349477</c:v>
                </c:pt>
                <c:pt idx="56">
                  <c:v>38.449952811526444</c:v>
                </c:pt>
                <c:pt idx="57">
                  <c:v>38.927202819885366</c:v>
                </c:pt>
                <c:pt idx="58">
                  <c:v>39.405516467659368</c:v>
                </c:pt>
                <c:pt idx="59">
                  <c:v>39.884872036899814</c:v>
                </c:pt>
                <c:pt idx="60">
                  <c:v>40.365247793481444</c:v>
                </c:pt>
                <c:pt idx="61">
                  <c:v>40.846622029438251</c:v>
                </c:pt>
                <c:pt idx="62">
                  <c:v>41.328973102589345</c:v>
                </c:pt>
                <c:pt idx="63">
                  <c:v>41.812279473439162</c:v>
                </c:pt>
                <c:pt idx="64">
                  <c:v>42.296519739359709</c:v>
                </c:pt>
                <c:pt idx="65">
                  <c:v>42.78167266608348</c:v>
                </c:pt>
                <c:pt idx="66">
                  <c:v>43.267717216553564</c:v>
                </c:pt>
                <c:pt idx="67">
                  <c:v>43.754632577193426</c:v>
                </c:pt>
                <c:pt idx="68">
                  <c:v>44.242398181672243</c:v>
                </c:pt>
                <c:pt idx="69">
                  <c:v>44.730993732252941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B8-409C-BAC3-376B0914A8E1}"/>
            </c:ext>
          </c:extLst>
        </c:ser>
        <c:ser>
          <c:idx val="4"/>
          <c:order val="4"/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45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8B8-409C-BAC3-376B0914A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467520"/>
        <c:axId val="277469440"/>
      </c:scatterChart>
      <c:valAx>
        <c:axId val="277467520"/>
        <c:scaling>
          <c:orientation val="maxMin"/>
          <c:max val="4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Pred(Points/Game)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469440"/>
        <c:crosses val="autoZero"/>
        <c:crossBetween val="midCat"/>
      </c:valAx>
      <c:valAx>
        <c:axId val="277469440"/>
        <c:scaling>
          <c:orientation val="minMax"/>
          <c:max val="45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Points/Game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46752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Points/Game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2'!$A$94:$A$125</c:f>
              <c:strCache>
                <c:ptCount val="32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</c:strCache>
            </c:strRef>
          </c:cat>
          <c:val>
            <c:numRef>
              <c:f>'Linear Regression Output 2'!$G$94:$G$125</c:f>
              <c:numCache>
                <c:formatCode>0.000</c:formatCode>
                <c:ptCount val="32"/>
                <c:pt idx="0">
                  <c:v>0.4975320952187417</c:v>
                </c:pt>
                <c:pt idx="1">
                  <c:v>-1.0771241535961815</c:v>
                </c:pt>
                <c:pt idx="2">
                  <c:v>-0.69202190416221698</c:v>
                </c:pt>
                <c:pt idx="3">
                  <c:v>7.2198697601872891E-2</c:v>
                </c:pt>
                <c:pt idx="4">
                  <c:v>3.6100939892259723E-2</c:v>
                </c:pt>
                <c:pt idx="5">
                  <c:v>1.4261350096858183</c:v>
                </c:pt>
                <c:pt idx="6">
                  <c:v>-0.33556117654836959</c:v>
                </c:pt>
                <c:pt idx="7">
                  <c:v>5.4147173165007688E-2</c:v>
                </c:pt>
                <c:pt idx="8">
                  <c:v>0.70935320754027686</c:v>
                </c:pt>
                <c:pt idx="9">
                  <c:v>-1.9154205276757545</c:v>
                </c:pt>
                <c:pt idx="10">
                  <c:v>8.7300253303316949E-2</c:v>
                </c:pt>
                <c:pt idx="11">
                  <c:v>-9.6635672887893806E-2</c:v>
                </c:pt>
                <c:pt idx="12">
                  <c:v>0.41903930654629334</c:v>
                </c:pt>
                <c:pt idx="13">
                  <c:v>0.96541985745519399</c:v>
                </c:pt>
                <c:pt idx="14">
                  <c:v>-1.9834057189250118E-2</c:v>
                </c:pt>
                <c:pt idx="15">
                  <c:v>-0.66012232862141562</c:v>
                </c:pt>
                <c:pt idx="16">
                  <c:v>-0.10810100702375494</c:v>
                </c:pt>
                <c:pt idx="17">
                  <c:v>-0.12167072340813335</c:v>
                </c:pt>
                <c:pt idx="18">
                  <c:v>1.8865612448686542</c:v>
                </c:pt>
                <c:pt idx="19">
                  <c:v>-1.1117198222544376</c:v>
                </c:pt>
                <c:pt idx="20">
                  <c:v>0.36483052386841225</c:v>
                </c:pt>
                <c:pt idx="21">
                  <c:v>-0.4633730217356184</c:v>
                </c:pt>
                <c:pt idx="22">
                  <c:v>-7.2411167424740297E-2</c:v>
                </c:pt>
                <c:pt idx="23">
                  <c:v>-2.1293109808159909</c:v>
                </c:pt>
                <c:pt idx="24">
                  <c:v>1.1594135706921291</c:v>
                </c:pt>
                <c:pt idx="25">
                  <c:v>2.3647309195030961</c:v>
                </c:pt>
                <c:pt idx="26">
                  <c:v>1.3544122040727073</c:v>
                </c:pt>
                <c:pt idx="27">
                  <c:v>-3.3025605728735294E-2</c:v>
                </c:pt>
                <c:pt idx="28">
                  <c:v>-0.79489324079044998</c:v>
                </c:pt>
                <c:pt idx="29">
                  <c:v>-0.43739784276725124</c:v>
                </c:pt>
                <c:pt idx="30">
                  <c:v>-0.52510283199852015</c:v>
                </c:pt>
                <c:pt idx="31">
                  <c:v>-0.80344893878481871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7-4238-A999-4290A4C63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77711488"/>
        <c:axId val="277713664"/>
      </c:barChart>
      <c:catAx>
        <c:axId val="2777114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713664"/>
        <c:crosses val="autoZero"/>
        <c:auto val="1"/>
        <c:lblAlgn val="ctr"/>
        <c:lblOffset val="100"/>
        <c:noMultiLvlLbl val="0"/>
      </c:catAx>
      <c:valAx>
        <c:axId val="277713664"/>
        <c:scaling>
          <c:orientation val="maxMin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711488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Yards/Game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Sheet5_HID!$A$1:$A$31</c:f>
              <c:numCache>
                <c:formatCode>General</c:formatCode>
                <c:ptCount val="31"/>
                <c:pt idx="0">
                  <c:v>237.3</c:v>
                </c:pt>
                <c:pt idx="1">
                  <c:v>237.3</c:v>
                </c:pt>
                <c:pt idx="2">
                  <c:v>255.57000000000002</c:v>
                </c:pt>
                <c:pt idx="3">
                  <c:v>255.57000000000002</c:v>
                </c:pt>
                <c:pt idx="4">
                  <c:v>255.57000000000002</c:v>
                </c:pt>
                <c:pt idx="5">
                  <c:v>273.84000000000003</c:v>
                </c:pt>
                <c:pt idx="6">
                  <c:v>273.84000000000003</c:v>
                </c:pt>
                <c:pt idx="7">
                  <c:v>273.84000000000003</c:v>
                </c:pt>
                <c:pt idx="8">
                  <c:v>292.11</c:v>
                </c:pt>
                <c:pt idx="9">
                  <c:v>292.11</c:v>
                </c:pt>
                <c:pt idx="10">
                  <c:v>292.11</c:v>
                </c:pt>
                <c:pt idx="11">
                  <c:v>310.38</c:v>
                </c:pt>
                <c:pt idx="12">
                  <c:v>310.38</c:v>
                </c:pt>
                <c:pt idx="13">
                  <c:v>310.38</c:v>
                </c:pt>
                <c:pt idx="14">
                  <c:v>328.65</c:v>
                </c:pt>
                <c:pt idx="15">
                  <c:v>328.65</c:v>
                </c:pt>
                <c:pt idx="16">
                  <c:v>328.65</c:v>
                </c:pt>
                <c:pt idx="17">
                  <c:v>346.92</c:v>
                </c:pt>
                <c:pt idx="18">
                  <c:v>346.92</c:v>
                </c:pt>
                <c:pt idx="19">
                  <c:v>346.92</c:v>
                </c:pt>
                <c:pt idx="20">
                  <c:v>365.19</c:v>
                </c:pt>
                <c:pt idx="21">
                  <c:v>365.19</c:v>
                </c:pt>
                <c:pt idx="22">
                  <c:v>365.19</c:v>
                </c:pt>
                <c:pt idx="23">
                  <c:v>383.46000000000004</c:v>
                </c:pt>
                <c:pt idx="24">
                  <c:v>383.46000000000004</c:v>
                </c:pt>
                <c:pt idx="25">
                  <c:v>383.46000000000004</c:v>
                </c:pt>
                <c:pt idx="26">
                  <c:v>401.73</c:v>
                </c:pt>
                <c:pt idx="27">
                  <c:v>401.73</c:v>
                </c:pt>
                <c:pt idx="28">
                  <c:v>401.73</c:v>
                </c:pt>
                <c:pt idx="29">
                  <c:v>420</c:v>
                </c:pt>
                <c:pt idx="30">
                  <c:v>420</c:v>
                </c:pt>
              </c:numCache>
            </c:numRef>
          </c:xVal>
          <c:yVal>
            <c:numRef>
              <c:f>Sheet5_HID!$B$1:$B$31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0</c:v>
                </c:pt>
                <c:pt idx="10">
                  <c:v>6</c:v>
                </c:pt>
                <c:pt idx="11">
                  <c:v>6</c:v>
                </c:pt>
                <c:pt idx="12">
                  <c:v>0</c:v>
                </c:pt>
                <c:pt idx="13">
                  <c:v>5</c:v>
                </c:pt>
                <c:pt idx="14">
                  <c:v>5</c:v>
                </c:pt>
                <c:pt idx="15">
                  <c:v>0</c:v>
                </c:pt>
                <c:pt idx="16">
                  <c:v>6</c:v>
                </c:pt>
                <c:pt idx="17">
                  <c:v>6</c:v>
                </c:pt>
                <c:pt idx="18">
                  <c:v>0</c:v>
                </c:pt>
                <c:pt idx="19">
                  <c:v>7</c:v>
                </c:pt>
                <c:pt idx="20">
                  <c:v>7</c:v>
                </c:pt>
                <c:pt idx="21">
                  <c:v>0</c:v>
                </c:pt>
                <c:pt idx="22">
                  <c:v>2</c:v>
                </c:pt>
                <c:pt idx="23">
                  <c:v>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F-40F1-9882-242781FEB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929344"/>
        <c:axId val="277931136"/>
      </c:scatterChart>
      <c:valAx>
        <c:axId val="277929344"/>
        <c:scaling>
          <c:orientation val="maxMin"/>
          <c:max val="500"/>
          <c:min val="20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7931136"/>
        <c:crosses val="autoZero"/>
        <c:crossBetween val="midCat"/>
      </c:valAx>
      <c:valAx>
        <c:axId val="277931136"/>
        <c:scaling>
          <c:orientation val="minMax"/>
          <c:max val="8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Yards/Game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79293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ln w="6350"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>
                <a:latin typeface="Arial"/>
                <a:ea typeface="Arial"/>
                <a:cs typeface="Arial"/>
              </a:defRPr>
            </a:pPr>
            <a:r>
              <a:rPr lang="en-US"/>
              <a:t>Points/Game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2A7498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Sheet7_HID!$D$1:$D$32</c:f>
              <c:numCache>
                <c:formatCode>General</c:formatCode>
                <c:ptCount val="32"/>
                <c:pt idx="0">
                  <c:v>25.2</c:v>
                </c:pt>
                <c:pt idx="1">
                  <c:v>16.2</c:v>
                </c:pt>
                <c:pt idx="2">
                  <c:v>17.2</c:v>
                </c:pt>
                <c:pt idx="3">
                  <c:v>15.8</c:v>
                </c:pt>
                <c:pt idx="4">
                  <c:v>16.7</c:v>
                </c:pt>
                <c:pt idx="5">
                  <c:v>20.9</c:v>
                </c:pt>
                <c:pt idx="6">
                  <c:v>23.8</c:v>
                </c:pt>
                <c:pt idx="7">
                  <c:v>25.1</c:v>
                </c:pt>
                <c:pt idx="8">
                  <c:v>28.4</c:v>
                </c:pt>
                <c:pt idx="9">
                  <c:v>20</c:v>
                </c:pt>
                <c:pt idx="10">
                  <c:v>21.6</c:v>
                </c:pt>
                <c:pt idx="11">
                  <c:v>27.2</c:v>
                </c:pt>
                <c:pt idx="12">
                  <c:v>23.7</c:v>
                </c:pt>
                <c:pt idx="13">
                  <c:v>28.1</c:v>
                </c:pt>
                <c:pt idx="14">
                  <c:v>25.7</c:v>
                </c:pt>
                <c:pt idx="15">
                  <c:v>14.1</c:v>
                </c:pt>
                <c:pt idx="16">
                  <c:v>16.7</c:v>
                </c:pt>
                <c:pt idx="17">
                  <c:v>22.8</c:v>
                </c:pt>
                <c:pt idx="18">
                  <c:v>36.799999999999997</c:v>
                </c:pt>
                <c:pt idx="19">
                  <c:v>23.7</c:v>
                </c:pt>
                <c:pt idx="20">
                  <c:v>23.3</c:v>
                </c:pt>
                <c:pt idx="21">
                  <c:v>16.8</c:v>
                </c:pt>
                <c:pt idx="22">
                  <c:v>17.7</c:v>
                </c:pt>
                <c:pt idx="23">
                  <c:v>21</c:v>
                </c:pt>
                <c:pt idx="24">
                  <c:v>24.6</c:v>
                </c:pt>
                <c:pt idx="25">
                  <c:v>25.8</c:v>
                </c:pt>
                <c:pt idx="26">
                  <c:v>13.7</c:v>
                </c:pt>
                <c:pt idx="27">
                  <c:v>24.6</c:v>
                </c:pt>
                <c:pt idx="28">
                  <c:v>16.399999999999999</c:v>
                </c:pt>
                <c:pt idx="29">
                  <c:v>20.9</c:v>
                </c:pt>
                <c:pt idx="30">
                  <c:v>18.8</c:v>
                </c:pt>
                <c:pt idx="31">
                  <c:v>20.9</c:v>
                </c:pt>
              </c:numCache>
            </c:numRef>
          </c:xVal>
          <c:yVal>
            <c:numRef>
              <c:f>Sheet7_HID!$E$1:$E$32</c:f>
              <c:numCache>
                <c:formatCode>General</c:formatCode>
                <c:ptCount val="32"/>
                <c:pt idx="0">
                  <c:v>344.1</c:v>
                </c:pt>
                <c:pt idx="1">
                  <c:v>301</c:v>
                </c:pt>
                <c:pt idx="2">
                  <c:v>302</c:v>
                </c:pt>
                <c:pt idx="3">
                  <c:v>277.10000000000002</c:v>
                </c:pt>
                <c:pt idx="4">
                  <c:v>284.89999999999998</c:v>
                </c:pt>
                <c:pt idx="5">
                  <c:v>293.2</c:v>
                </c:pt>
                <c:pt idx="6">
                  <c:v>348</c:v>
                </c:pt>
                <c:pt idx="7">
                  <c:v>351.3</c:v>
                </c:pt>
                <c:pt idx="8">
                  <c:v>365.7</c:v>
                </c:pt>
                <c:pt idx="9">
                  <c:v>346.3</c:v>
                </c:pt>
                <c:pt idx="10">
                  <c:v>322.89999999999998</c:v>
                </c:pt>
                <c:pt idx="11">
                  <c:v>370.7</c:v>
                </c:pt>
                <c:pt idx="12">
                  <c:v>333.6</c:v>
                </c:pt>
                <c:pt idx="13">
                  <c:v>358.7</c:v>
                </c:pt>
                <c:pt idx="14">
                  <c:v>357.4</c:v>
                </c:pt>
                <c:pt idx="15">
                  <c:v>276.8</c:v>
                </c:pt>
                <c:pt idx="16">
                  <c:v>287.5</c:v>
                </c:pt>
                <c:pt idx="17">
                  <c:v>336.2</c:v>
                </c:pt>
                <c:pt idx="18">
                  <c:v>411.2</c:v>
                </c:pt>
                <c:pt idx="19">
                  <c:v>361.2</c:v>
                </c:pt>
                <c:pt idx="20">
                  <c:v>331.4</c:v>
                </c:pt>
                <c:pt idx="21">
                  <c:v>294.7</c:v>
                </c:pt>
                <c:pt idx="22">
                  <c:v>294.8</c:v>
                </c:pt>
                <c:pt idx="23">
                  <c:v>358.1</c:v>
                </c:pt>
                <c:pt idx="24">
                  <c:v>327.39999999999998</c:v>
                </c:pt>
                <c:pt idx="25">
                  <c:v>315.2</c:v>
                </c:pt>
                <c:pt idx="26">
                  <c:v>237.3</c:v>
                </c:pt>
                <c:pt idx="27">
                  <c:v>348.9</c:v>
                </c:pt>
                <c:pt idx="28">
                  <c:v>297.5</c:v>
                </c:pt>
                <c:pt idx="29">
                  <c:v>326.8</c:v>
                </c:pt>
                <c:pt idx="30">
                  <c:v>311.7</c:v>
                </c:pt>
                <c:pt idx="31">
                  <c:v>333.4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C-457B-9AEA-345827A8A40C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2-ACDC-457B-9AEA-345827A8A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23008"/>
        <c:axId val="168132992"/>
      </c:scatterChart>
      <c:valAx>
        <c:axId val="168123008"/>
        <c:scaling>
          <c:orientation val="maxMin"/>
          <c:max val="40"/>
          <c:min val="10"/>
        </c:scaling>
        <c:delete val="0"/>
        <c:axPos val="b"/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8132992"/>
        <c:crosses val="autoZero"/>
        <c:crossBetween val="midCat"/>
      </c:valAx>
      <c:valAx>
        <c:axId val="168132992"/>
        <c:scaling>
          <c:orientation val="minMax"/>
          <c:max val="500"/>
          <c:min val="200"/>
        </c:scaling>
        <c:delete val="0"/>
        <c:axPos val="r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812300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ln w="6350"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2A7498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Sheet7_HID!$G$1:$G$32</c:f>
              <c:numCache>
                <c:formatCode>General</c:formatCode>
                <c:ptCount val="32"/>
                <c:pt idx="0">
                  <c:v>344.1</c:v>
                </c:pt>
                <c:pt idx="1">
                  <c:v>301</c:v>
                </c:pt>
                <c:pt idx="2">
                  <c:v>302</c:v>
                </c:pt>
                <c:pt idx="3">
                  <c:v>277.10000000000002</c:v>
                </c:pt>
                <c:pt idx="4">
                  <c:v>284.89999999999998</c:v>
                </c:pt>
                <c:pt idx="5">
                  <c:v>293.2</c:v>
                </c:pt>
                <c:pt idx="6">
                  <c:v>348</c:v>
                </c:pt>
                <c:pt idx="7">
                  <c:v>351.3</c:v>
                </c:pt>
                <c:pt idx="8">
                  <c:v>365.7</c:v>
                </c:pt>
                <c:pt idx="9">
                  <c:v>346.3</c:v>
                </c:pt>
                <c:pt idx="10">
                  <c:v>322.89999999999998</c:v>
                </c:pt>
                <c:pt idx="11">
                  <c:v>370.7</c:v>
                </c:pt>
                <c:pt idx="12">
                  <c:v>333.6</c:v>
                </c:pt>
                <c:pt idx="13">
                  <c:v>358.7</c:v>
                </c:pt>
                <c:pt idx="14">
                  <c:v>357.4</c:v>
                </c:pt>
                <c:pt idx="15">
                  <c:v>276.8</c:v>
                </c:pt>
                <c:pt idx="16">
                  <c:v>287.5</c:v>
                </c:pt>
                <c:pt idx="17">
                  <c:v>336.2</c:v>
                </c:pt>
                <c:pt idx="18">
                  <c:v>411.2</c:v>
                </c:pt>
                <c:pt idx="19">
                  <c:v>361.2</c:v>
                </c:pt>
                <c:pt idx="20">
                  <c:v>331.4</c:v>
                </c:pt>
                <c:pt idx="21">
                  <c:v>294.7</c:v>
                </c:pt>
                <c:pt idx="22">
                  <c:v>294.8</c:v>
                </c:pt>
                <c:pt idx="23">
                  <c:v>358.1</c:v>
                </c:pt>
                <c:pt idx="24">
                  <c:v>327.39999999999998</c:v>
                </c:pt>
                <c:pt idx="25">
                  <c:v>315.2</c:v>
                </c:pt>
                <c:pt idx="26">
                  <c:v>237.3</c:v>
                </c:pt>
                <c:pt idx="27">
                  <c:v>348.9</c:v>
                </c:pt>
                <c:pt idx="28">
                  <c:v>297.5</c:v>
                </c:pt>
                <c:pt idx="29">
                  <c:v>326.8</c:v>
                </c:pt>
                <c:pt idx="30">
                  <c:v>311.7</c:v>
                </c:pt>
                <c:pt idx="31">
                  <c:v>333.4</c:v>
                </c:pt>
              </c:numCache>
            </c:numRef>
          </c:xVal>
          <c:yVal>
            <c:numRef>
              <c:f>Sheet7_HID!$H$1:$H$32</c:f>
              <c:numCache>
                <c:formatCode>General</c:formatCode>
                <c:ptCount val="32"/>
                <c:pt idx="0">
                  <c:v>25.2</c:v>
                </c:pt>
                <c:pt idx="1">
                  <c:v>16.2</c:v>
                </c:pt>
                <c:pt idx="2">
                  <c:v>17.2</c:v>
                </c:pt>
                <c:pt idx="3">
                  <c:v>15.8</c:v>
                </c:pt>
                <c:pt idx="4">
                  <c:v>16.7</c:v>
                </c:pt>
                <c:pt idx="5">
                  <c:v>20.9</c:v>
                </c:pt>
                <c:pt idx="6">
                  <c:v>23.8</c:v>
                </c:pt>
                <c:pt idx="7">
                  <c:v>25.1</c:v>
                </c:pt>
                <c:pt idx="8">
                  <c:v>28.4</c:v>
                </c:pt>
                <c:pt idx="9">
                  <c:v>20</c:v>
                </c:pt>
                <c:pt idx="10">
                  <c:v>21.6</c:v>
                </c:pt>
                <c:pt idx="11">
                  <c:v>27.2</c:v>
                </c:pt>
                <c:pt idx="12">
                  <c:v>23.7</c:v>
                </c:pt>
                <c:pt idx="13">
                  <c:v>28.1</c:v>
                </c:pt>
                <c:pt idx="14">
                  <c:v>25.7</c:v>
                </c:pt>
                <c:pt idx="15">
                  <c:v>14.1</c:v>
                </c:pt>
                <c:pt idx="16">
                  <c:v>16.7</c:v>
                </c:pt>
                <c:pt idx="17">
                  <c:v>22.8</c:v>
                </c:pt>
                <c:pt idx="18">
                  <c:v>36.799999999999997</c:v>
                </c:pt>
                <c:pt idx="19">
                  <c:v>23.7</c:v>
                </c:pt>
                <c:pt idx="20">
                  <c:v>23.3</c:v>
                </c:pt>
                <c:pt idx="21">
                  <c:v>16.8</c:v>
                </c:pt>
                <c:pt idx="22">
                  <c:v>17.7</c:v>
                </c:pt>
                <c:pt idx="23">
                  <c:v>21</c:v>
                </c:pt>
                <c:pt idx="24">
                  <c:v>24.6</c:v>
                </c:pt>
                <c:pt idx="25">
                  <c:v>25.8</c:v>
                </c:pt>
                <c:pt idx="26">
                  <c:v>13.7</c:v>
                </c:pt>
                <c:pt idx="27">
                  <c:v>24.6</c:v>
                </c:pt>
                <c:pt idx="28">
                  <c:v>16.399999999999999</c:v>
                </c:pt>
                <c:pt idx="29">
                  <c:v>20.9</c:v>
                </c:pt>
                <c:pt idx="30">
                  <c:v>18.8</c:v>
                </c:pt>
                <c:pt idx="31">
                  <c:v>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6-4F06-A0FE-6CAD31196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83648"/>
        <c:axId val="169085568"/>
      </c:scatterChart>
      <c:valAx>
        <c:axId val="169083648"/>
        <c:scaling>
          <c:orientation val="maxMin"/>
          <c:max val="5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Yards/Game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9085568"/>
        <c:crosses val="autoZero"/>
        <c:crossBetween val="midCat"/>
      </c:valAx>
      <c:valAx>
        <c:axId val="169085568"/>
        <c:scaling>
          <c:orientation val="minMax"/>
          <c:max val="40"/>
          <c:min val="1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Points/Game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908364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ln w="6350"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2700">
              <a:solidFill>
                <a:srgbClr val="2A74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Sheet5_HID!$C$1:$C$31</c:f>
              <c:numCache>
                <c:formatCode>General</c:formatCode>
                <c:ptCount val="31"/>
                <c:pt idx="0">
                  <c:v>13.7</c:v>
                </c:pt>
                <c:pt idx="1">
                  <c:v>13.7</c:v>
                </c:pt>
                <c:pt idx="2">
                  <c:v>16.11</c:v>
                </c:pt>
                <c:pt idx="3">
                  <c:v>16.11</c:v>
                </c:pt>
                <c:pt idx="4">
                  <c:v>16.11</c:v>
                </c:pt>
                <c:pt idx="5">
                  <c:v>18.52</c:v>
                </c:pt>
                <c:pt idx="6">
                  <c:v>18.52</c:v>
                </c:pt>
                <c:pt idx="7">
                  <c:v>18.52</c:v>
                </c:pt>
                <c:pt idx="8">
                  <c:v>20.93</c:v>
                </c:pt>
                <c:pt idx="9">
                  <c:v>20.93</c:v>
                </c:pt>
                <c:pt idx="10">
                  <c:v>20.93</c:v>
                </c:pt>
                <c:pt idx="11">
                  <c:v>23.339999999999996</c:v>
                </c:pt>
                <c:pt idx="12">
                  <c:v>23.339999999999996</c:v>
                </c:pt>
                <c:pt idx="13">
                  <c:v>23.339999999999996</c:v>
                </c:pt>
                <c:pt idx="14">
                  <c:v>25.75</c:v>
                </c:pt>
                <c:pt idx="15">
                  <c:v>25.75</c:v>
                </c:pt>
                <c:pt idx="16">
                  <c:v>25.75</c:v>
                </c:pt>
                <c:pt idx="17">
                  <c:v>28.159999999999997</c:v>
                </c:pt>
                <c:pt idx="18">
                  <c:v>28.159999999999997</c:v>
                </c:pt>
                <c:pt idx="19">
                  <c:v>28.159999999999997</c:v>
                </c:pt>
                <c:pt idx="20">
                  <c:v>30.569999999999997</c:v>
                </c:pt>
                <c:pt idx="21">
                  <c:v>30.569999999999997</c:v>
                </c:pt>
                <c:pt idx="22">
                  <c:v>30.569999999999997</c:v>
                </c:pt>
                <c:pt idx="23">
                  <c:v>32.979999999999997</c:v>
                </c:pt>
                <c:pt idx="24">
                  <c:v>32.979999999999997</c:v>
                </c:pt>
                <c:pt idx="25">
                  <c:v>32.979999999999997</c:v>
                </c:pt>
                <c:pt idx="26">
                  <c:v>35.39</c:v>
                </c:pt>
                <c:pt idx="27">
                  <c:v>35.39</c:v>
                </c:pt>
                <c:pt idx="28">
                  <c:v>35.39</c:v>
                </c:pt>
                <c:pt idx="29">
                  <c:v>37.799999999999997</c:v>
                </c:pt>
                <c:pt idx="30">
                  <c:v>37.799999999999997</c:v>
                </c:pt>
              </c:numCache>
            </c:numRef>
          </c:xVal>
          <c:yVal>
            <c:numRef>
              <c:f>Sheet5_HID!$D$1:$D$31</c:f>
              <c:numCache>
                <c:formatCode>General</c:formatCode>
                <c:ptCount val="31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7</c:v>
                </c:pt>
                <c:pt idx="5">
                  <c:v>7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  <c:pt idx="12">
                  <c:v>0</c:v>
                </c:pt>
                <c:pt idx="13">
                  <c:v>8</c:v>
                </c:pt>
                <c:pt idx="14">
                  <c:v>8</c:v>
                </c:pt>
                <c:pt idx="15">
                  <c:v>0</c:v>
                </c:pt>
                <c:pt idx="16">
                  <c:v>3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3-411B-86B5-CB2009A07BDA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smooth val="0"/>
          <c:extLst>
            <c:ext xmlns:c16="http://schemas.microsoft.com/office/drawing/2014/chart" uri="{C3380CC4-5D6E-409C-BE32-E72D297353CC}">
              <c16:uniqueId val="{00000001-BAB3-411B-86B5-CB2009A07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14624"/>
        <c:axId val="169116800"/>
      </c:scatterChart>
      <c:valAx>
        <c:axId val="169114624"/>
        <c:scaling>
          <c:orientation val="maxMin"/>
          <c:max val="4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Points/Game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9116800"/>
        <c:crosses val="autoZero"/>
        <c:crossBetween val="midCat"/>
      </c:valAx>
      <c:valAx>
        <c:axId val="169116800"/>
        <c:scaling>
          <c:orientation val="minMax"/>
          <c:max val="8"/>
          <c:min val="0"/>
        </c:scaling>
        <c:delete val="0"/>
        <c:axPos val="r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911462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ln w="6350"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Wedding cost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CD-40E2-AEAA-6BEBD48C54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0.29327696579290652</c:v>
                </c:pt>
              </c:numLit>
            </c:plus>
            <c:minus>
              <c:numLit>
                <c:formatCode>General</c:formatCode>
                <c:ptCount val="1"/>
                <c:pt idx="0">
                  <c:v>0.29327696579290641</c:v>
                </c:pt>
              </c:numLit>
            </c:minus>
          </c:errBars>
          <c:cat>
            <c:strRef>
              <c:f>'Linear Regression Output 3'!$A$68</c:f>
              <c:strCache>
                <c:ptCount val="1"/>
                <c:pt idx="0">
                  <c:v>Attendance</c:v>
                </c:pt>
              </c:strCache>
            </c:strRef>
          </c:cat>
          <c:val>
            <c:numRef>
              <c:f>'Linear Regression Output 3'!$B$68</c:f>
              <c:numCache>
                <c:formatCode>0.000</c:formatCode>
                <c:ptCount val="1"/>
                <c:pt idx="0">
                  <c:v>0.7332929150320463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D-40E2-AEAA-6BEBD48C5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78153088"/>
        <c:axId val="278155264"/>
      </c:barChart>
      <c:catAx>
        <c:axId val="278153088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8155264"/>
        <c:crosses val="autoZero"/>
        <c:auto val="1"/>
        <c:lblAlgn val="ctr"/>
        <c:lblOffset val="100"/>
        <c:noMultiLvlLbl val="0"/>
      </c:catAx>
      <c:valAx>
        <c:axId val="27815526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8153088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Regression of Wedding cost by Attendance (R²=0.538)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3'!$C$94:$C$118</c:f>
              <c:numCache>
                <c:formatCode>0.000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150</c:v>
                </c:pt>
                <c:pt idx="6">
                  <c:v>250</c:v>
                </c:pt>
                <c:pt idx="7">
                  <c:v>300</c:v>
                </c:pt>
                <c:pt idx="8">
                  <c:v>250</c:v>
                </c:pt>
                <c:pt idx="9">
                  <c:v>200</c:v>
                </c:pt>
                <c:pt idx="10">
                  <c:v>150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100</c:v>
                </c:pt>
                <c:pt idx="17">
                  <c:v>150</c:v>
                </c:pt>
                <c:pt idx="18">
                  <c:v>200</c:v>
                </c:pt>
                <c:pt idx="19">
                  <c:v>150</c:v>
                </c:pt>
                <c:pt idx="20">
                  <c:v>100</c:v>
                </c:pt>
                <c:pt idx="21">
                  <c:v>100</c:v>
                </c:pt>
                <c:pt idx="22">
                  <c:v>150</c:v>
                </c:pt>
                <c:pt idx="23">
                  <c:v>50</c:v>
                </c:pt>
                <c:pt idx="24">
                  <c:v>50</c:v>
                </c:pt>
              </c:numCache>
            </c:numRef>
          </c:xVal>
          <c:yVal>
            <c:numRef>
              <c:f>'Linear Regression Output 3'!$D$94:$D$118</c:f>
              <c:numCache>
                <c:formatCode>0.000</c:formatCode>
                <c:ptCount val="25"/>
                <c:pt idx="0">
                  <c:v>60700</c:v>
                </c:pt>
                <c:pt idx="1">
                  <c:v>52000</c:v>
                </c:pt>
                <c:pt idx="2">
                  <c:v>47000</c:v>
                </c:pt>
                <c:pt idx="3">
                  <c:v>42000</c:v>
                </c:pt>
                <c:pt idx="4">
                  <c:v>34000</c:v>
                </c:pt>
                <c:pt idx="5">
                  <c:v>30500</c:v>
                </c:pt>
                <c:pt idx="6">
                  <c:v>30000</c:v>
                </c:pt>
                <c:pt idx="7">
                  <c:v>30000</c:v>
                </c:pt>
                <c:pt idx="8">
                  <c:v>28000</c:v>
                </c:pt>
                <c:pt idx="9">
                  <c:v>26000</c:v>
                </c:pt>
                <c:pt idx="10">
                  <c:v>25000</c:v>
                </c:pt>
                <c:pt idx="11">
                  <c:v>24000</c:v>
                </c:pt>
                <c:pt idx="12">
                  <c:v>24000</c:v>
                </c:pt>
                <c:pt idx="13">
                  <c:v>22000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19000</c:v>
                </c:pt>
                <c:pt idx="18">
                  <c:v>19000</c:v>
                </c:pt>
                <c:pt idx="19">
                  <c:v>18000</c:v>
                </c:pt>
                <c:pt idx="20">
                  <c:v>16000</c:v>
                </c:pt>
                <c:pt idx="21">
                  <c:v>14000</c:v>
                </c:pt>
                <c:pt idx="22">
                  <c:v>13000</c:v>
                </c:pt>
                <c:pt idx="23">
                  <c:v>7000</c:v>
                </c:pt>
                <c:pt idx="24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0-43ED-9E5B-6ABF3223AD2C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350</c:v>
              </c:pt>
            </c:numLit>
          </c:xVal>
          <c:yVal>
            <c:numLit>
              <c:formatCode>General</c:formatCode>
              <c:ptCount val="1"/>
              <c:pt idx="0">
                <c:v>52000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620-43ED-9E5B-6ABF3223AD2C}"/>
            </c:ext>
          </c:extLst>
        </c:ser>
        <c:ser>
          <c:idx val="2"/>
          <c:order val="2"/>
          <c:tx>
            <c:v>Model</c:v>
          </c:tx>
          <c:spPr>
            <a:ln w="127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Lit>
              <c:formatCode>General</c:formatCode>
              <c:ptCount val="2"/>
              <c:pt idx="0">
                <c:v>20</c:v>
              </c:pt>
              <c:pt idx="1">
                <c:v>380</c:v>
              </c:pt>
            </c:numLit>
          </c:xVal>
          <c:yVal>
            <c:numLit>
              <c:formatCode>General</c:formatCode>
              <c:ptCount val="2"/>
              <c:pt idx="0">
                <c:v>4508.1137724550854</c:v>
              </c:pt>
              <c:pt idx="1">
                <c:v>51351.766467065878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620-43ED-9E5B-6ABF3223AD2C}"/>
            </c:ext>
          </c:extLst>
        </c:ser>
        <c:ser>
          <c:idx val="3"/>
          <c:order val="3"/>
          <c:tx>
            <c:v>Conf. interval (Mean 95%)</c:v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Sheet13_HID!xdata1</c:f>
              <c:numCache>
                <c:formatCode>General</c:formatCode>
                <c:ptCount val="70"/>
                <c:pt idx="0">
                  <c:v>20</c:v>
                </c:pt>
                <c:pt idx="1">
                  <c:v>25.217391304347828</c:v>
                </c:pt>
                <c:pt idx="2">
                  <c:v>30.434782608695659</c:v>
                </c:pt>
                <c:pt idx="3">
                  <c:v>35.652173913043491</c:v>
                </c:pt>
                <c:pt idx="4">
                  <c:v>40.869565217391319</c:v>
                </c:pt>
                <c:pt idx="5">
                  <c:v>46.086956521739147</c:v>
                </c:pt>
                <c:pt idx="6">
                  <c:v>51.304347826086982</c:v>
                </c:pt>
                <c:pt idx="7">
                  <c:v>56.52173913043481</c:v>
                </c:pt>
                <c:pt idx="8">
                  <c:v>61.739130434782638</c:v>
                </c:pt>
                <c:pt idx="9">
                  <c:v>66.956521739130466</c:v>
                </c:pt>
                <c:pt idx="10">
                  <c:v>72.173913043478294</c:v>
                </c:pt>
                <c:pt idx="11">
                  <c:v>77.391304347826122</c:v>
                </c:pt>
                <c:pt idx="12">
                  <c:v>82.608695652173964</c:v>
                </c:pt>
                <c:pt idx="13">
                  <c:v>87.826086956521792</c:v>
                </c:pt>
                <c:pt idx="14">
                  <c:v>93.04347826086962</c:v>
                </c:pt>
                <c:pt idx="15">
                  <c:v>98.260869565217448</c:v>
                </c:pt>
                <c:pt idx="16">
                  <c:v>103.47826086956528</c:v>
                </c:pt>
                <c:pt idx="17">
                  <c:v>108.6956521739131</c:v>
                </c:pt>
                <c:pt idx="18">
                  <c:v>113.91304347826093</c:v>
                </c:pt>
                <c:pt idx="19">
                  <c:v>119.13043478260876</c:v>
                </c:pt>
                <c:pt idx="20">
                  <c:v>124.34782608695659</c:v>
                </c:pt>
                <c:pt idx="21">
                  <c:v>129.56521739130443</c:v>
                </c:pt>
                <c:pt idx="22">
                  <c:v>134.78260869565224</c:v>
                </c:pt>
                <c:pt idx="23">
                  <c:v>140.00000000000009</c:v>
                </c:pt>
                <c:pt idx="24">
                  <c:v>145.21739130434793</c:v>
                </c:pt>
                <c:pt idx="25">
                  <c:v>150.43478260869574</c:v>
                </c:pt>
                <c:pt idx="26">
                  <c:v>155.65217391304358</c:v>
                </c:pt>
                <c:pt idx="27">
                  <c:v>160.8695652173914</c:v>
                </c:pt>
                <c:pt idx="28">
                  <c:v>166.08695652173924</c:v>
                </c:pt>
                <c:pt idx="29">
                  <c:v>171.30434782608705</c:v>
                </c:pt>
                <c:pt idx="30">
                  <c:v>176.5217391304349</c:v>
                </c:pt>
                <c:pt idx="31">
                  <c:v>181.73913043478271</c:v>
                </c:pt>
                <c:pt idx="32">
                  <c:v>186.95652173913055</c:v>
                </c:pt>
                <c:pt idx="33">
                  <c:v>192.17391304347839</c:v>
                </c:pt>
                <c:pt idx="34">
                  <c:v>197.39130434782621</c:v>
                </c:pt>
                <c:pt idx="35">
                  <c:v>202.60869565217405</c:v>
                </c:pt>
                <c:pt idx="36">
                  <c:v>207.82608695652186</c:v>
                </c:pt>
                <c:pt idx="37">
                  <c:v>213.0434782608697</c:v>
                </c:pt>
                <c:pt idx="38">
                  <c:v>218.26086956521752</c:v>
                </c:pt>
                <c:pt idx="39">
                  <c:v>223.47826086956536</c:v>
                </c:pt>
                <c:pt idx="40">
                  <c:v>228.69565217391317</c:v>
                </c:pt>
                <c:pt idx="41">
                  <c:v>233.91304347826102</c:v>
                </c:pt>
                <c:pt idx="42">
                  <c:v>239.13043478260886</c:v>
                </c:pt>
                <c:pt idx="43">
                  <c:v>244.34782608695667</c:v>
                </c:pt>
                <c:pt idx="44">
                  <c:v>249.56521739130451</c:v>
                </c:pt>
                <c:pt idx="45">
                  <c:v>254.78260869565233</c:v>
                </c:pt>
                <c:pt idx="46">
                  <c:v>260.00000000000017</c:v>
                </c:pt>
                <c:pt idx="47">
                  <c:v>265.21739130434798</c:v>
                </c:pt>
                <c:pt idx="48">
                  <c:v>270.43478260869585</c:v>
                </c:pt>
                <c:pt idx="49">
                  <c:v>275.65217391304367</c:v>
                </c:pt>
                <c:pt idx="50">
                  <c:v>280.86956521739148</c:v>
                </c:pt>
                <c:pt idx="51">
                  <c:v>286.0869565217393</c:v>
                </c:pt>
                <c:pt idx="52">
                  <c:v>291.30434782608717</c:v>
                </c:pt>
                <c:pt idx="53">
                  <c:v>296.52173913043498</c:v>
                </c:pt>
                <c:pt idx="54">
                  <c:v>301.73913043478279</c:v>
                </c:pt>
                <c:pt idx="55">
                  <c:v>306.95652173913061</c:v>
                </c:pt>
                <c:pt idx="56">
                  <c:v>312.17391304347848</c:v>
                </c:pt>
                <c:pt idx="57">
                  <c:v>317.39130434782629</c:v>
                </c:pt>
                <c:pt idx="58">
                  <c:v>322.60869565217411</c:v>
                </c:pt>
                <c:pt idx="59">
                  <c:v>327.82608695652198</c:v>
                </c:pt>
                <c:pt idx="60">
                  <c:v>333.04347826086979</c:v>
                </c:pt>
                <c:pt idx="61">
                  <c:v>338.2608695652176</c:v>
                </c:pt>
                <c:pt idx="62">
                  <c:v>343.47826086956542</c:v>
                </c:pt>
                <c:pt idx="63">
                  <c:v>348.69565217391329</c:v>
                </c:pt>
                <c:pt idx="64">
                  <c:v>353.9130434782611</c:v>
                </c:pt>
                <c:pt idx="65">
                  <c:v>359.13043478260892</c:v>
                </c:pt>
                <c:pt idx="66">
                  <c:v>364.34782608695679</c:v>
                </c:pt>
                <c:pt idx="67">
                  <c:v>369.5652173913046</c:v>
                </c:pt>
                <c:pt idx="68">
                  <c:v>374.78260869565241</c:v>
                </c:pt>
                <c:pt idx="69">
                  <c:v>380.00000000000023</c:v>
                </c:pt>
              </c:numCache>
            </c:numRef>
          </c:xVal>
          <c:yVal>
            <c:numRef>
              <c:f>Sheet13_HID!ydata1</c:f>
              <c:numCache>
                <c:formatCode>General</c:formatCode>
                <c:ptCount val="70"/>
                <c:pt idx="0">
                  <c:v>-4836.1746235003211</c:v>
                </c:pt>
                <c:pt idx="1">
                  <c:v>-3909.9546306561551</c:v>
                </c:pt>
                <c:pt idx="2">
                  <c:v>-2985.1529811714026</c:v>
                </c:pt>
                <c:pt idx="3">
                  <c:v>-2061.8912495918148</c:v>
                </c:pt>
                <c:pt idx="4">
                  <c:v>-1140.3044109437742</c:v>
                </c:pt>
                <c:pt idx="5">
                  <c:v>-220.54258816786751</c:v>
                </c:pt>
                <c:pt idx="6">
                  <c:v>697.22695111019675</c:v>
                </c:pt>
                <c:pt idx="7">
                  <c:v>1612.8175139583436</c:v>
                </c:pt>
                <c:pt idx="8">
                  <c:v>2526.0203801257439</c:v>
                </c:pt>
                <c:pt idx="9">
                  <c:v>3436.6018388626171</c:v>
                </c:pt>
                <c:pt idx="10">
                  <c:v>4344.2998240737916</c:v>
                </c:pt>
                <c:pt idx="11">
                  <c:v>5248.8201091854462</c:v>
                </c:pt>
                <c:pt idx="12">
                  <c:v>6149.8320291751834</c:v>
                </c:pt>
                <c:pt idx="13">
                  <c:v>7046.9637097606064</c:v>
                </c:pt>
                <c:pt idx="14">
                  <c:v>7939.7968059437162</c:v>
                </c:pt>
                <c:pt idx="15">
                  <c:v>8827.8607882749966</c:v>
                </c:pt>
                <c:pt idx="16">
                  <c:v>9710.6268709336691</c:v>
                </c:pt>
                <c:pt idx="17">
                  <c:v>10587.501757915023</c:v>
                </c:pt>
                <c:pt idx="18">
                  <c:v>11457.821500070464</c:v>
                </c:pt>
                <c:pt idx="19">
                  <c:v>12320.845914013425</c:v>
                </c:pt>
                <c:pt idx="20">
                  <c:v>13175.754218864442</c:v>
                </c:pt>
                <c:pt idx="21">
                  <c:v>14021.64279629969</c:v>
                </c:pt>
                <c:pt idx="22">
                  <c:v>14857.526257321311</c:v>
                </c:pt>
                <c:pt idx="23">
                  <c:v>15682.343266324257</c:v>
                </c:pt>
                <c:pt idx="24">
                  <c:v>16494.968756960239</c:v>
                </c:pt>
                <c:pt idx="25">
                  <c:v>17294.234163536923</c:v>
                </c:pt>
                <c:pt idx="26">
                  <c:v>18078.956942984827</c:v>
                </c:pt>
                <c:pt idx="27">
                  <c:v>18847.979833023135</c:v>
                </c:pt>
                <c:pt idx="28">
                  <c:v>19600.218905920527</c:v>
                </c:pt>
                <c:pt idx="29">
                  <c:v>20334.717617283943</c:v>
                </c:pt>
                <c:pt idx="30">
                  <c:v>21050.702039267893</c:v>
                </c:pt>
                <c:pt idx="31">
                  <c:v>21747.630873068472</c:v>
                </c:pt>
                <c:pt idx="32">
                  <c:v>22425.233320348976</c:v>
                </c:pt>
                <c:pt idx="33">
                  <c:v>23083.528935335551</c:v>
                </c:pt>
                <c:pt idx="34">
                  <c:v>23722.826170929446</c:v>
                </c:pt>
                <c:pt idx="35">
                  <c:v>24343.699864177255</c:v>
                </c:pt>
                <c:pt idx="36">
                  <c:v>24946.95136656777</c:v>
                </c:pt>
                <c:pt idx="37">
                  <c:v>25533.557432290298</c:v>
                </c:pt>
                <c:pt idx="38">
                  <c:v>26104.61479949225</c:v>
                </c:pt>
                <c:pt idx="39">
                  <c:v>26661.286705392922</c:v>
                </c:pt>
                <c:pt idx="40">
                  <c:v>27204.755887547399</c:v>
                </c:pt>
                <c:pt idx="41">
                  <c:v>27736.186605382194</c:v>
                </c:pt>
                <c:pt idx="42">
                  <c:v>28256.696406400926</c:v>
                </c:pt>
                <c:pt idx="43">
                  <c:v>28767.337049139904</c:v>
                </c:pt>
                <c:pt idx="44">
                  <c:v>29269.08323637116</c:v>
                </c:pt>
                <c:pt idx="45">
                  <c:v>29762.827517182341</c:v>
                </c:pt>
                <c:pt idx="46">
                  <c:v>30249.379739536122</c:v>
                </c:pt>
                <c:pt idx="47">
                  <c:v>30729.46963551642</c:v>
                </c:pt>
                <c:pt idx="48">
                  <c:v>31203.751393433547</c:v>
                </c:pt>
                <c:pt idx="49">
                  <c:v>31672.80934677643</c:v>
                </c:pt>
                <c:pt idx="50">
                  <c:v>32137.16415409305</c:v>
                </c:pt>
                <c:pt idx="51">
                  <c:v>32597.279042527334</c:v>
                </c:pt>
                <c:pt idx="52">
                  <c:v>33053.565840058654</c:v>
                </c:pt>
                <c:pt idx="53">
                  <c:v>33506.390632916766</c:v>
                </c:pt>
                <c:pt idx="54">
                  <c:v>33956.078962873253</c:v>
                </c:pt>
                <c:pt idx="55">
                  <c:v>34402.920531862146</c:v>
                </c:pt>
                <c:pt idx="56">
                  <c:v>34847.173415392848</c:v>
                </c:pt>
                <c:pt idx="57">
                  <c:v>35289.067806911</c:v>
                </c:pt>
                <c:pt idx="58">
                  <c:v>35728.809326782488</c:v>
                </c:pt>
                <c:pt idx="59">
                  <c:v>36166.581934972884</c:v>
                </c:pt>
                <c:pt idx="60">
                  <c:v>36602.550487946639</c:v>
                </c:pt>
                <c:pt idx="61">
                  <c:v>37036.862979333098</c:v>
                </c:pt>
                <c:pt idx="62">
                  <c:v>37469.65250152981</c:v>
                </c:pt>
                <c:pt idx="63">
                  <c:v>37901.038962319944</c:v>
                </c:pt>
                <c:pt idx="64">
                  <c:v>38331.1305872101</c:v>
                </c:pt>
                <c:pt idx="65">
                  <c:v>38760.025234819215</c:v>
                </c:pt>
                <c:pt idx="66">
                  <c:v>39187.81154943008</c:v>
                </c:pt>
                <c:pt idx="67">
                  <c:v>39614.569971838908</c:v>
                </c:pt>
                <c:pt idx="68">
                  <c:v>40040.373626942921</c:v>
                </c:pt>
                <c:pt idx="69">
                  <c:v>40465.289104102078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0-43ED-9E5B-6ABF3223AD2C}"/>
            </c:ext>
          </c:extLst>
        </c:ser>
        <c:ser>
          <c:idx val="4"/>
          <c:order val="4"/>
          <c:tx>
            <c:v/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Sheet13_HID!xdata2</c:f>
              <c:numCache>
                <c:formatCode>General</c:formatCode>
                <c:ptCount val="70"/>
                <c:pt idx="0">
                  <c:v>20</c:v>
                </c:pt>
                <c:pt idx="1">
                  <c:v>25.217391304347828</c:v>
                </c:pt>
                <c:pt idx="2">
                  <c:v>30.434782608695659</c:v>
                </c:pt>
                <c:pt idx="3">
                  <c:v>35.652173913043491</c:v>
                </c:pt>
                <c:pt idx="4">
                  <c:v>40.869565217391319</c:v>
                </c:pt>
                <c:pt idx="5">
                  <c:v>46.086956521739147</c:v>
                </c:pt>
                <c:pt idx="6">
                  <c:v>51.304347826086982</c:v>
                </c:pt>
                <c:pt idx="7">
                  <c:v>56.52173913043481</c:v>
                </c:pt>
                <c:pt idx="8">
                  <c:v>61.739130434782638</c:v>
                </c:pt>
                <c:pt idx="9">
                  <c:v>66.956521739130466</c:v>
                </c:pt>
                <c:pt idx="10">
                  <c:v>72.173913043478294</c:v>
                </c:pt>
                <c:pt idx="11">
                  <c:v>77.391304347826122</c:v>
                </c:pt>
                <c:pt idx="12">
                  <c:v>82.608695652173964</c:v>
                </c:pt>
                <c:pt idx="13">
                  <c:v>87.826086956521792</c:v>
                </c:pt>
                <c:pt idx="14">
                  <c:v>93.04347826086962</c:v>
                </c:pt>
                <c:pt idx="15">
                  <c:v>98.260869565217448</c:v>
                </c:pt>
                <c:pt idx="16">
                  <c:v>103.47826086956528</c:v>
                </c:pt>
                <c:pt idx="17">
                  <c:v>108.6956521739131</c:v>
                </c:pt>
                <c:pt idx="18">
                  <c:v>113.91304347826093</c:v>
                </c:pt>
                <c:pt idx="19">
                  <c:v>119.13043478260876</c:v>
                </c:pt>
                <c:pt idx="20">
                  <c:v>124.34782608695659</c:v>
                </c:pt>
                <c:pt idx="21">
                  <c:v>129.56521739130443</c:v>
                </c:pt>
                <c:pt idx="22">
                  <c:v>134.78260869565224</c:v>
                </c:pt>
                <c:pt idx="23">
                  <c:v>140.00000000000009</c:v>
                </c:pt>
                <c:pt idx="24">
                  <c:v>145.21739130434793</c:v>
                </c:pt>
                <c:pt idx="25">
                  <c:v>150.43478260869574</c:v>
                </c:pt>
                <c:pt idx="26">
                  <c:v>155.65217391304358</c:v>
                </c:pt>
                <c:pt idx="27">
                  <c:v>160.8695652173914</c:v>
                </c:pt>
                <c:pt idx="28">
                  <c:v>166.08695652173924</c:v>
                </c:pt>
                <c:pt idx="29">
                  <c:v>171.30434782608705</c:v>
                </c:pt>
                <c:pt idx="30">
                  <c:v>176.5217391304349</c:v>
                </c:pt>
                <c:pt idx="31">
                  <c:v>181.73913043478271</c:v>
                </c:pt>
                <c:pt idx="32">
                  <c:v>186.95652173913055</c:v>
                </c:pt>
                <c:pt idx="33">
                  <c:v>192.17391304347839</c:v>
                </c:pt>
                <c:pt idx="34">
                  <c:v>197.39130434782621</c:v>
                </c:pt>
                <c:pt idx="35">
                  <c:v>202.60869565217405</c:v>
                </c:pt>
                <c:pt idx="36">
                  <c:v>207.82608695652186</c:v>
                </c:pt>
                <c:pt idx="37">
                  <c:v>213.0434782608697</c:v>
                </c:pt>
                <c:pt idx="38">
                  <c:v>218.26086956521752</c:v>
                </c:pt>
                <c:pt idx="39">
                  <c:v>223.47826086956536</c:v>
                </c:pt>
                <c:pt idx="40">
                  <c:v>228.69565217391317</c:v>
                </c:pt>
                <c:pt idx="41">
                  <c:v>233.91304347826102</c:v>
                </c:pt>
                <c:pt idx="42">
                  <c:v>239.13043478260886</c:v>
                </c:pt>
                <c:pt idx="43">
                  <c:v>244.34782608695667</c:v>
                </c:pt>
                <c:pt idx="44">
                  <c:v>249.56521739130451</c:v>
                </c:pt>
                <c:pt idx="45">
                  <c:v>254.78260869565233</c:v>
                </c:pt>
                <c:pt idx="46">
                  <c:v>260.00000000000017</c:v>
                </c:pt>
                <c:pt idx="47">
                  <c:v>265.21739130434798</c:v>
                </c:pt>
                <c:pt idx="48">
                  <c:v>270.43478260869585</c:v>
                </c:pt>
                <c:pt idx="49">
                  <c:v>275.65217391304367</c:v>
                </c:pt>
                <c:pt idx="50">
                  <c:v>280.86956521739148</c:v>
                </c:pt>
                <c:pt idx="51">
                  <c:v>286.0869565217393</c:v>
                </c:pt>
                <c:pt idx="52">
                  <c:v>291.30434782608717</c:v>
                </c:pt>
                <c:pt idx="53">
                  <c:v>296.52173913043498</c:v>
                </c:pt>
                <c:pt idx="54">
                  <c:v>301.73913043478279</c:v>
                </c:pt>
                <c:pt idx="55">
                  <c:v>306.95652173913061</c:v>
                </c:pt>
                <c:pt idx="56">
                  <c:v>312.17391304347848</c:v>
                </c:pt>
                <c:pt idx="57">
                  <c:v>317.39130434782629</c:v>
                </c:pt>
                <c:pt idx="58">
                  <c:v>322.60869565217411</c:v>
                </c:pt>
                <c:pt idx="59">
                  <c:v>327.82608695652198</c:v>
                </c:pt>
                <c:pt idx="60">
                  <c:v>333.04347826086979</c:v>
                </c:pt>
                <c:pt idx="61">
                  <c:v>338.2608695652176</c:v>
                </c:pt>
                <c:pt idx="62">
                  <c:v>343.47826086956542</c:v>
                </c:pt>
                <c:pt idx="63">
                  <c:v>348.69565217391329</c:v>
                </c:pt>
                <c:pt idx="64">
                  <c:v>353.9130434782611</c:v>
                </c:pt>
                <c:pt idx="65">
                  <c:v>359.13043478260892</c:v>
                </c:pt>
                <c:pt idx="66">
                  <c:v>364.34782608695679</c:v>
                </c:pt>
                <c:pt idx="67">
                  <c:v>369.5652173913046</c:v>
                </c:pt>
                <c:pt idx="68">
                  <c:v>374.78260869565241</c:v>
                </c:pt>
                <c:pt idx="69">
                  <c:v>380.00000000000023</c:v>
                </c:pt>
              </c:numCache>
            </c:numRef>
          </c:xVal>
          <c:yVal>
            <c:numRef>
              <c:f>Sheet13_HID!ydata2</c:f>
              <c:numCache>
                <c:formatCode>General</c:formatCode>
                <c:ptCount val="70"/>
                <c:pt idx="0">
                  <c:v>13852.402168410501</c:v>
                </c:pt>
                <c:pt idx="1">
                  <c:v>14283.969210192734</c:v>
                </c:pt>
                <c:pt idx="2">
                  <c:v>14716.954595334384</c:v>
                </c:pt>
                <c:pt idx="3">
                  <c:v>15151.479898381196</c:v>
                </c:pt>
                <c:pt idx="4">
                  <c:v>15587.680094359557</c:v>
                </c:pt>
                <c:pt idx="5">
                  <c:v>16025.705306210051</c:v>
                </c:pt>
                <c:pt idx="6">
                  <c:v>16465.72280155839</c:v>
                </c:pt>
                <c:pt idx="7">
                  <c:v>16907.91927333664</c:v>
                </c:pt>
                <c:pt idx="8">
                  <c:v>17352.503441795641</c:v>
                </c:pt>
                <c:pt idx="9">
                  <c:v>17799.709017685171</c:v>
                </c:pt>
                <c:pt idx="10">
                  <c:v>18249.798067100393</c:v>
                </c:pt>
                <c:pt idx="11">
                  <c:v>18703.06481661514</c:v>
                </c:pt>
                <c:pt idx="12">
                  <c:v>19159.839931251805</c:v>
                </c:pt>
                <c:pt idx="13">
                  <c:v>19620.495285292785</c:v>
                </c:pt>
                <c:pt idx="14">
                  <c:v>20085.449223736079</c:v>
                </c:pt>
                <c:pt idx="15">
                  <c:v>20555.172276031193</c:v>
                </c:pt>
                <c:pt idx="16">
                  <c:v>21030.193227998923</c:v>
                </c:pt>
                <c:pt idx="17">
                  <c:v>21511.105375643972</c:v>
                </c:pt>
                <c:pt idx="18">
                  <c:v>21998.572668114924</c:v>
                </c:pt>
                <c:pt idx="19">
                  <c:v>22493.335288798367</c:v>
                </c:pt>
                <c:pt idx="20">
                  <c:v>22996.214018573752</c:v>
                </c:pt>
                <c:pt idx="21">
                  <c:v>23508.112475764909</c:v>
                </c:pt>
                <c:pt idx="22">
                  <c:v>24030.016049369682</c:v>
                </c:pt>
                <c:pt idx="23">
                  <c:v>24562.986074993139</c:v>
                </c:pt>
                <c:pt idx="24">
                  <c:v>25108.147618983559</c:v>
                </c:pt>
                <c:pt idx="25">
                  <c:v>25666.669247033271</c:v>
                </c:pt>
                <c:pt idx="26">
                  <c:v>26239.733502211777</c:v>
                </c:pt>
                <c:pt idx="27">
                  <c:v>26828.497646799864</c:v>
                </c:pt>
                <c:pt idx="28">
                  <c:v>27434.045608528875</c:v>
                </c:pt>
                <c:pt idx="29">
                  <c:v>28057.333931791854</c:v>
                </c:pt>
                <c:pt idx="30">
                  <c:v>28699.136544434306</c:v>
                </c:pt>
                <c:pt idx="31">
                  <c:v>29359.99474526013</c:v>
                </c:pt>
                <c:pt idx="32">
                  <c:v>30040.179332606029</c:v>
                </c:pt>
                <c:pt idx="33">
                  <c:v>30739.670752245856</c:v>
                </c:pt>
                <c:pt idx="34">
                  <c:v>31458.160551278357</c:v>
                </c:pt>
                <c:pt idx="35">
                  <c:v>32195.07389265695</c:v>
                </c:pt>
                <c:pt idx="36">
                  <c:v>32949.609424892842</c:v>
                </c:pt>
                <c:pt idx="37">
                  <c:v>33720.790393796713</c:v>
                </c:pt>
                <c:pt idx="38">
                  <c:v>34507.520061221156</c:v>
                </c:pt>
                <c:pt idx="39">
                  <c:v>35308.635189946886</c:v>
                </c:pt>
                <c:pt idx="40">
                  <c:v>36122.953042418805</c:v>
                </c:pt>
                <c:pt idx="41">
                  <c:v>36949.309359210412</c:v>
                </c:pt>
                <c:pt idx="42">
                  <c:v>37786.586592818101</c:v>
                </c:pt>
                <c:pt idx="43">
                  <c:v>38633.732984705515</c:v>
                </c:pt>
                <c:pt idx="44">
                  <c:v>39489.773832100655</c:v>
                </c:pt>
                <c:pt idx="45">
                  <c:v>40353.816585915869</c:v>
                </c:pt>
                <c:pt idx="46">
                  <c:v>41225.051398188501</c:v>
                </c:pt>
                <c:pt idx="47">
                  <c:v>42102.748536834595</c:v>
                </c:pt>
                <c:pt idx="48">
                  <c:v>42986.253813543881</c:v>
                </c:pt>
                <c:pt idx="49">
                  <c:v>43874.982894827386</c:v>
                </c:pt>
                <c:pt idx="50">
                  <c:v>44768.415122137165</c:v>
                </c:pt>
                <c:pt idx="51">
                  <c:v>45666.087268329276</c:v>
                </c:pt>
                <c:pt idx="52">
                  <c:v>46567.587505424366</c:v>
                </c:pt>
                <c:pt idx="53">
                  <c:v>47472.54974719265</c:v>
                </c:pt>
                <c:pt idx="54">
                  <c:v>48380.648451862558</c:v>
                </c:pt>
                <c:pt idx="55">
                  <c:v>49291.593917500075</c:v>
                </c:pt>
                <c:pt idx="56">
                  <c:v>50205.128068595783</c:v>
                </c:pt>
                <c:pt idx="57">
                  <c:v>51121.020711704026</c:v>
                </c:pt>
                <c:pt idx="58">
                  <c:v>52039.066226458934</c:v>
                </c:pt>
                <c:pt idx="59">
                  <c:v>52959.080652894947</c:v>
                </c:pt>
                <c:pt idx="60">
                  <c:v>53880.899134547588</c:v>
                </c:pt>
                <c:pt idx="61">
                  <c:v>54804.373677787524</c:v>
                </c:pt>
                <c:pt idx="62">
                  <c:v>55729.371190217207</c:v>
                </c:pt>
                <c:pt idx="63">
                  <c:v>56655.771764053483</c:v>
                </c:pt>
                <c:pt idx="64">
                  <c:v>57583.467173789722</c:v>
                </c:pt>
                <c:pt idx="65">
                  <c:v>58512.359560807017</c:v>
                </c:pt>
                <c:pt idx="66">
                  <c:v>59442.360280822562</c:v>
                </c:pt>
                <c:pt idx="67">
                  <c:v>60373.38889304013</c:v>
                </c:pt>
                <c:pt idx="68">
                  <c:v>61305.372272562512</c:v>
                </c:pt>
                <c:pt idx="69">
                  <c:v>62238.243830029751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0-43ED-9E5B-6ABF3223AD2C}"/>
            </c:ext>
          </c:extLst>
        </c:ser>
        <c:ser>
          <c:idx val="5"/>
          <c:order val="5"/>
          <c:tx>
            <c:v>Conf. interval (Obs 95%)</c:v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Sheet13_HID!xdata3</c:f>
              <c:numCache>
                <c:formatCode>General</c:formatCode>
                <c:ptCount val="100"/>
                <c:pt idx="0">
                  <c:v>20</c:v>
                </c:pt>
                <c:pt idx="1">
                  <c:v>23.63636363636364</c:v>
                </c:pt>
                <c:pt idx="2">
                  <c:v>27.27272727272728</c:v>
                </c:pt>
                <c:pt idx="3">
                  <c:v>30.909090909090921</c:v>
                </c:pt>
                <c:pt idx="4">
                  <c:v>34.545454545454561</c:v>
                </c:pt>
                <c:pt idx="5">
                  <c:v>38.181818181818201</c:v>
                </c:pt>
                <c:pt idx="6">
                  <c:v>41.818181818181841</c:v>
                </c:pt>
                <c:pt idx="7">
                  <c:v>45.454545454545482</c:v>
                </c:pt>
                <c:pt idx="8">
                  <c:v>49.090909090909122</c:v>
                </c:pt>
                <c:pt idx="9">
                  <c:v>52.727272727272755</c:v>
                </c:pt>
                <c:pt idx="10">
                  <c:v>56.363636363636395</c:v>
                </c:pt>
                <c:pt idx="11">
                  <c:v>60.000000000000036</c:v>
                </c:pt>
                <c:pt idx="12">
                  <c:v>63.636363636363676</c:v>
                </c:pt>
                <c:pt idx="13">
                  <c:v>67.272727272727309</c:v>
                </c:pt>
                <c:pt idx="14">
                  <c:v>70.909090909090963</c:v>
                </c:pt>
                <c:pt idx="15">
                  <c:v>74.545454545454589</c:v>
                </c:pt>
                <c:pt idx="16">
                  <c:v>78.181818181818244</c:v>
                </c:pt>
                <c:pt idx="17">
                  <c:v>81.81818181818187</c:v>
                </c:pt>
                <c:pt idx="18">
                  <c:v>85.45454545454551</c:v>
                </c:pt>
                <c:pt idx="19">
                  <c:v>89.09090909090915</c:v>
                </c:pt>
                <c:pt idx="20">
                  <c:v>92.727272727272791</c:v>
                </c:pt>
                <c:pt idx="21">
                  <c:v>96.363636363636431</c:v>
                </c:pt>
                <c:pt idx="22">
                  <c:v>100.00000000000007</c:v>
                </c:pt>
                <c:pt idx="23">
                  <c:v>103.63636363636371</c:v>
                </c:pt>
                <c:pt idx="24">
                  <c:v>107.27272727272735</c:v>
                </c:pt>
                <c:pt idx="25">
                  <c:v>110.90909090909099</c:v>
                </c:pt>
                <c:pt idx="26">
                  <c:v>114.54545454545463</c:v>
                </c:pt>
                <c:pt idx="27">
                  <c:v>118.18181818181827</c:v>
                </c:pt>
                <c:pt idx="28">
                  <c:v>121.81818181818191</c:v>
                </c:pt>
                <c:pt idx="29">
                  <c:v>125.45454545454555</c:v>
                </c:pt>
                <c:pt idx="30">
                  <c:v>129.09090909090918</c:v>
                </c:pt>
                <c:pt idx="31">
                  <c:v>132.72727272727283</c:v>
                </c:pt>
                <c:pt idx="32">
                  <c:v>136.36363636363649</c:v>
                </c:pt>
                <c:pt idx="33">
                  <c:v>140.00000000000011</c:v>
                </c:pt>
                <c:pt idx="34">
                  <c:v>143.63636363636374</c:v>
                </c:pt>
                <c:pt idx="35">
                  <c:v>147.27272727272739</c:v>
                </c:pt>
                <c:pt idx="36">
                  <c:v>150.90909090909102</c:v>
                </c:pt>
                <c:pt idx="37">
                  <c:v>154.54545454545467</c:v>
                </c:pt>
                <c:pt idx="38">
                  <c:v>158.1818181818183</c:v>
                </c:pt>
                <c:pt idx="39">
                  <c:v>161.81818181818196</c:v>
                </c:pt>
                <c:pt idx="40">
                  <c:v>165.45454545454558</c:v>
                </c:pt>
                <c:pt idx="41">
                  <c:v>169.09090909090924</c:v>
                </c:pt>
                <c:pt idx="42">
                  <c:v>172.72727272727286</c:v>
                </c:pt>
                <c:pt idx="43">
                  <c:v>176.36363636363652</c:v>
                </c:pt>
                <c:pt idx="44">
                  <c:v>180.00000000000014</c:v>
                </c:pt>
                <c:pt idx="45">
                  <c:v>183.6363636363638</c:v>
                </c:pt>
                <c:pt idx="46">
                  <c:v>187.27272727272742</c:v>
                </c:pt>
                <c:pt idx="47">
                  <c:v>190.90909090909108</c:v>
                </c:pt>
                <c:pt idx="48">
                  <c:v>194.5454545454547</c:v>
                </c:pt>
                <c:pt idx="49">
                  <c:v>198.18181818181836</c:v>
                </c:pt>
                <c:pt idx="50">
                  <c:v>201.81818181818198</c:v>
                </c:pt>
                <c:pt idx="51">
                  <c:v>205.45454545454564</c:v>
                </c:pt>
                <c:pt idx="52">
                  <c:v>209.09090909090926</c:v>
                </c:pt>
                <c:pt idx="53">
                  <c:v>212.72727272727292</c:v>
                </c:pt>
                <c:pt idx="54">
                  <c:v>216.36363636363654</c:v>
                </c:pt>
                <c:pt idx="55">
                  <c:v>220.0000000000002</c:v>
                </c:pt>
                <c:pt idx="56">
                  <c:v>223.63636363636382</c:v>
                </c:pt>
                <c:pt idx="57">
                  <c:v>227.27272727272748</c:v>
                </c:pt>
                <c:pt idx="58">
                  <c:v>230.90909090909111</c:v>
                </c:pt>
                <c:pt idx="59">
                  <c:v>234.54545454545476</c:v>
                </c:pt>
                <c:pt idx="60">
                  <c:v>238.18181818181839</c:v>
                </c:pt>
                <c:pt idx="61">
                  <c:v>241.81818181818204</c:v>
                </c:pt>
                <c:pt idx="62">
                  <c:v>245.45454545454567</c:v>
                </c:pt>
                <c:pt idx="63">
                  <c:v>249.09090909090932</c:v>
                </c:pt>
                <c:pt idx="64">
                  <c:v>252.72727272727295</c:v>
                </c:pt>
                <c:pt idx="65">
                  <c:v>256.3636363636366</c:v>
                </c:pt>
                <c:pt idx="66">
                  <c:v>260.00000000000023</c:v>
                </c:pt>
                <c:pt idx="67">
                  <c:v>263.63636363636385</c:v>
                </c:pt>
                <c:pt idx="68">
                  <c:v>267.27272727272748</c:v>
                </c:pt>
                <c:pt idx="69">
                  <c:v>270.90909090909111</c:v>
                </c:pt>
                <c:pt idx="70">
                  <c:v>274.54545454545479</c:v>
                </c:pt>
                <c:pt idx="71">
                  <c:v>278.18181818181841</c:v>
                </c:pt>
                <c:pt idx="72">
                  <c:v>281.81818181818204</c:v>
                </c:pt>
                <c:pt idx="73">
                  <c:v>285.45454545454572</c:v>
                </c:pt>
                <c:pt idx="74">
                  <c:v>289.09090909090935</c:v>
                </c:pt>
                <c:pt idx="75">
                  <c:v>292.72727272727298</c:v>
                </c:pt>
                <c:pt idx="76">
                  <c:v>296.3636363636366</c:v>
                </c:pt>
                <c:pt idx="77">
                  <c:v>300.00000000000028</c:v>
                </c:pt>
                <c:pt idx="78">
                  <c:v>303.63636363636391</c:v>
                </c:pt>
                <c:pt idx="79">
                  <c:v>307.27272727272754</c:v>
                </c:pt>
                <c:pt idx="80">
                  <c:v>310.90909090909116</c:v>
                </c:pt>
                <c:pt idx="81">
                  <c:v>314.54545454545485</c:v>
                </c:pt>
                <c:pt idx="82">
                  <c:v>318.18181818181847</c:v>
                </c:pt>
                <c:pt idx="83">
                  <c:v>321.8181818181821</c:v>
                </c:pt>
                <c:pt idx="84">
                  <c:v>325.45454545454572</c:v>
                </c:pt>
                <c:pt idx="85">
                  <c:v>329.09090909090941</c:v>
                </c:pt>
                <c:pt idx="86">
                  <c:v>332.72727272727303</c:v>
                </c:pt>
                <c:pt idx="87">
                  <c:v>336.36363636363666</c:v>
                </c:pt>
                <c:pt idx="88">
                  <c:v>340.00000000000028</c:v>
                </c:pt>
                <c:pt idx="89">
                  <c:v>343.63636363636397</c:v>
                </c:pt>
                <c:pt idx="90">
                  <c:v>347.27272727272759</c:v>
                </c:pt>
                <c:pt idx="91">
                  <c:v>350.90909090909122</c:v>
                </c:pt>
                <c:pt idx="92">
                  <c:v>354.54545454545485</c:v>
                </c:pt>
                <c:pt idx="93">
                  <c:v>358.18181818181853</c:v>
                </c:pt>
                <c:pt idx="94">
                  <c:v>361.81818181818215</c:v>
                </c:pt>
                <c:pt idx="95">
                  <c:v>365.45454545454578</c:v>
                </c:pt>
                <c:pt idx="96">
                  <c:v>369.09090909090941</c:v>
                </c:pt>
                <c:pt idx="97">
                  <c:v>372.72727272727303</c:v>
                </c:pt>
                <c:pt idx="98">
                  <c:v>376.36363636363672</c:v>
                </c:pt>
                <c:pt idx="99">
                  <c:v>380.00000000000034</c:v>
                </c:pt>
              </c:numCache>
            </c:numRef>
          </c:xVal>
          <c:yVal>
            <c:numRef>
              <c:f>Sheet13_HID!ydata3</c:f>
              <c:numCache>
                <c:formatCode>General</c:formatCode>
                <c:ptCount val="100"/>
                <c:pt idx="0">
                  <c:v>-16684.931298170828</c:v>
                </c:pt>
                <c:pt idx="1">
                  <c:v>-16136.262938207499</c:v>
                </c:pt>
                <c:pt idx="2">
                  <c:v>-15589.025569855681</c:v>
                </c:pt>
                <c:pt idx="3">
                  <c:v>-15043.23435592995</c:v>
                </c:pt>
                <c:pt idx="4">
                  <c:v>-14498.904371885437</c:v>
                </c:pt>
                <c:pt idx="5">
                  <c:v>-13956.050593774329</c:v>
                </c:pt>
                <c:pt idx="6">
                  <c:v>-13414.687885948468</c:v>
                </c:pt>
                <c:pt idx="7">
                  <c:v>-12874.830988522815</c:v>
                </c:pt>
                <c:pt idx="8">
                  <c:v>-12336.494504616176</c:v>
                </c:pt>
                <c:pt idx="9">
                  <c:v>-11799.692887386675</c:v>
                </c:pt>
                <c:pt idx="10">
                  <c:v>-11264.440426881065</c:v>
                </c:pt>
                <c:pt idx="11">
                  <c:v>-10730.751236718239</c:v>
                </c:pt>
                <c:pt idx="12">
                  <c:v>-10198.639240628534</c:v>
                </c:pt>
                <c:pt idx="13">
                  <c:v>-9668.1181588719483</c:v>
                </c:pt>
                <c:pt idx="14">
                  <c:v>-9139.2014945594819</c:v>
                </c:pt>
                <c:pt idx="15">
                  <c:v>-8611.902519903193</c:v>
                </c:pt>
                <c:pt idx="16">
                  <c:v>-8086.2342624215817</c:v>
                </c:pt>
                <c:pt idx="17">
                  <c:v>-7562.2094911282475</c:v>
                </c:pt>
                <c:pt idx="18">
                  <c:v>-7039.8407027325047</c:v>
                </c:pt>
                <c:pt idx="19">
                  <c:v>-6519.1401078821036</c:v>
                </c:pt>
                <c:pt idx="20">
                  <c:v>-6000.1196174783836</c:v>
                </c:pt>
                <c:pt idx="21">
                  <c:v>-5482.7908290957348</c:v>
                </c:pt>
                <c:pt idx="22">
                  <c:v>-4967.165013537262</c:v>
                </c:pt>
                <c:pt idx="23">
                  <c:v>-4453.2531015595559</c:v>
                </c:pt>
                <c:pt idx="24">
                  <c:v>-3941.0656707996495</c:v>
                </c:pt>
                <c:pt idx="25">
                  <c:v>-3430.6129329376454</c:v>
                </c:pt>
                <c:pt idx="26">
                  <c:v>-2921.9047211286452</c:v>
                </c:pt>
                <c:pt idx="27">
                  <c:v>-2414.9504777376496</c:v>
                </c:pt>
                <c:pt idx="28">
                  <c:v>-1909.7592424109389</c:v>
                </c:pt>
                <c:pt idx="29">
                  <c:v>-1406.3396405171516</c:v>
                </c:pt>
                <c:pt idx="30">
                  <c:v>-904.69987199098978</c:v>
                </c:pt>
                <c:pt idx="31">
                  <c:v>-404.84770061154995</c:v>
                </c:pt>
                <c:pt idx="32">
                  <c:v>93.209556252972106</c:v>
                </c:pt>
                <c:pt idx="33">
                  <c:v>589.46503740391199</c:v>
                </c:pt>
                <c:pt idx="34">
                  <c:v>1083.9123470444647</c:v>
                </c:pt>
                <c:pt idx="35">
                  <c:v>1576.5455634575046</c:v>
                </c:pt>
                <c:pt idx="36">
                  <c:v>2067.359247101951</c:v>
                </c:pt>
                <c:pt idx="37">
                  <c:v>2556.3484481024789</c:v>
                </c:pt>
                <c:pt idx="38">
                  <c:v>3043.5087131086511</c:v>
                </c:pt>
                <c:pt idx="39">
                  <c:v>3528.836091501802</c:v>
                </c:pt>
                <c:pt idx="40">
                  <c:v>4012.3271409294612</c:v>
                </c:pt>
                <c:pt idx="41">
                  <c:v>4493.9789321496137</c:v>
                </c:pt>
                <c:pt idx="42">
                  <c:v>4973.7890531687372</c:v>
                </c:pt>
                <c:pt idx="43">
                  <c:v>5451.7556126602976</c:v>
                </c:pt>
                <c:pt idx="44">
                  <c:v>5927.87724265215</c:v>
                </c:pt>
                <c:pt idx="45">
                  <c:v>6402.1531004742246</c:v>
                </c:pt>
                <c:pt idx="46">
                  <c:v>6874.5828699598569</c:v>
                </c:pt>
                <c:pt idx="47">
                  <c:v>7345.166761896864</c:v>
                </c:pt>
                <c:pt idx="48">
                  <c:v>7813.9055137267533</c:v>
                </c:pt>
                <c:pt idx="49">
                  <c:v>8280.8003884932659</c:v>
                </c:pt>
                <c:pt idx="50">
                  <c:v>8745.8531730434988</c:v>
                </c:pt>
                <c:pt idx="51">
                  <c:v>9209.0661754878165</c:v>
                </c:pt>
                <c:pt idx="52">
                  <c:v>9670.4422219267253</c:v>
                </c:pt>
                <c:pt idx="53">
                  <c:v>10129.984652455751</c:v>
                </c:pt>
                <c:pt idx="54">
                  <c:v>10587.697316461246</c:v>
                </c:pt>
                <c:pt idx="55">
                  <c:v>11043.584567222599</c:v>
                </c:pt>
                <c:pt idx="56">
                  <c:v>11497.651255838322</c:v>
                </c:pt>
                <c:pt idx="57">
                  <c:v>11949.902724495663</c:v>
                </c:pt>
                <c:pt idx="58">
                  <c:v>12400.344799105194</c:v>
                </c:pt>
                <c:pt idx="59">
                  <c:v>12848.983781323786</c:v>
                </c:pt>
                <c:pt idx="60">
                  <c:v>13295.826439990982</c:v>
                </c:pt>
                <c:pt idx="61">
                  <c:v>13740.880002005302</c:v>
                </c:pt>
                <c:pt idx="62">
                  <c:v>14184.15214266866</c:v>
                </c:pt>
                <c:pt idx="63">
                  <c:v>14625.650975527886</c:v>
                </c:pt>
                <c:pt idx="64">
                  <c:v>15065.385041743881</c:v>
                </c:pt>
                <c:pt idx="65">
                  <c:v>15503.363299019704</c:v>
                </c:pt>
                <c:pt idx="66">
                  <c:v>15939.595110119531</c:v>
                </c:pt>
                <c:pt idx="67">
                  <c:v>16374.090231011385</c:v>
                </c:pt>
                <c:pt idx="68">
                  <c:v>16806.858798666592</c:v>
                </c:pt>
                <c:pt idx="69">
                  <c:v>17237.911318549654</c:v>
                </c:pt>
                <c:pt idx="70">
                  <c:v>17667.258651832046</c:v>
                </c:pt>
                <c:pt idx="71">
                  <c:v>18094.912002363599</c:v>
                </c:pt>
                <c:pt idx="72">
                  <c:v>18520.882903435038</c:v>
                </c:pt>
                <c:pt idx="73">
                  <c:v>18945.183204364886</c:v>
                </c:pt>
                <c:pt idx="74">
                  <c:v>19367.8250569435</c:v>
                </c:pt>
                <c:pt idx="75">
                  <c:v>19788.820901766605</c:v>
                </c:pt>
                <c:pt idx="76">
                  <c:v>20208.183454489976</c:v>
                </c:pt>
                <c:pt idx="77">
                  <c:v>20625.925692036093</c:v>
                </c:pt>
                <c:pt idx="78">
                  <c:v>21042.060838782803</c:v>
                </c:pt>
                <c:pt idx="79">
                  <c:v>21456.602352763133</c:v>
                </c:pt>
                <c:pt idx="80">
                  <c:v>21869.563911904235</c:v>
                </c:pt>
                <c:pt idx="81">
                  <c:v>22280.959400332384</c:v>
                </c:pt>
                <c:pt idx="82">
                  <c:v>22690.802894769819</c:v>
                </c:pt>
                <c:pt idx="83">
                  <c:v>23099.108651047976</c:v>
                </c:pt>
                <c:pt idx="84">
                  <c:v>23505.891090760389</c:v>
                </c:pt>
                <c:pt idx="85">
                  <c:v>23911.164788077112</c:v>
                </c:pt>
                <c:pt idx="86">
                  <c:v>24314.944456741443</c:v>
                </c:pt>
                <c:pt idx="87">
                  <c:v>24717.244937268144</c:v>
                </c:pt>
                <c:pt idx="88">
                  <c:v>25118.08118436101</c:v>
                </c:pt>
                <c:pt idx="89">
                  <c:v>25517.468254566385</c:v>
                </c:pt>
                <c:pt idx="90">
                  <c:v>25915.421294177788</c:v>
                </c:pt>
                <c:pt idx="91">
                  <c:v>26311.955527405371</c:v>
                </c:pt>
                <c:pt idx="92">
                  <c:v>26707.08624482284</c:v>
                </c:pt>
                <c:pt idx="93">
                  <c:v>27100.82879210274</c:v>
                </c:pt>
                <c:pt idx="94">
                  <c:v>27493.198559050135</c:v>
                </c:pt>
                <c:pt idx="95">
                  <c:v>27884.210968943244</c:v>
                </c:pt>
                <c:pt idx="96">
                  <c:v>28273.881468188287</c:v>
                </c:pt>
                <c:pt idx="97">
                  <c:v>28662.225516294813</c:v>
                </c:pt>
                <c:pt idx="98">
                  <c:v>29049.258576176486</c:v>
                </c:pt>
                <c:pt idx="99">
                  <c:v>29434.996104781287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20-43ED-9E5B-6ABF3223AD2C}"/>
            </c:ext>
          </c:extLst>
        </c:ser>
        <c:ser>
          <c:idx val="6"/>
          <c:order val="6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Sheet13_HID!xdata4</c:f>
              <c:numCache>
                <c:formatCode>General</c:formatCode>
                <c:ptCount val="100"/>
                <c:pt idx="0">
                  <c:v>20</c:v>
                </c:pt>
                <c:pt idx="1">
                  <c:v>23.63636363636364</c:v>
                </c:pt>
                <c:pt idx="2">
                  <c:v>27.27272727272728</c:v>
                </c:pt>
                <c:pt idx="3">
                  <c:v>30.909090909090921</c:v>
                </c:pt>
                <c:pt idx="4">
                  <c:v>34.545454545454561</c:v>
                </c:pt>
                <c:pt idx="5">
                  <c:v>38.181818181818201</c:v>
                </c:pt>
                <c:pt idx="6">
                  <c:v>41.818181818181841</c:v>
                </c:pt>
                <c:pt idx="7">
                  <c:v>45.454545454545482</c:v>
                </c:pt>
                <c:pt idx="8">
                  <c:v>49.090909090909122</c:v>
                </c:pt>
                <c:pt idx="9">
                  <c:v>52.727272727272755</c:v>
                </c:pt>
                <c:pt idx="10">
                  <c:v>56.363636363636395</c:v>
                </c:pt>
                <c:pt idx="11">
                  <c:v>60.000000000000036</c:v>
                </c:pt>
                <c:pt idx="12">
                  <c:v>63.636363636363676</c:v>
                </c:pt>
                <c:pt idx="13">
                  <c:v>67.272727272727309</c:v>
                </c:pt>
                <c:pt idx="14">
                  <c:v>70.909090909090963</c:v>
                </c:pt>
                <c:pt idx="15">
                  <c:v>74.545454545454589</c:v>
                </c:pt>
                <c:pt idx="16">
                  <c:v>78.181818181818244</c:v>
                </c:pt>
                <c:pt idx="17">
                  <c:v>81.81818181818187</c:v>
                </c:pt>
                <c:pt idx="18">
                  <c:v>85.45454545454551</c:v>
                </c:pt>
                <c:pt idx="19">
                  <c:v>89.09090909090915</c:v>
                </c:pt>
                <c:pt idx="20">
                  <c:v>92.727272727272791</c:v>
                </c:pt>
                <c:pt idx="21">
                  <c:v>96.363636363636431</c:v>
                </c:pt>
                <c:pt idx="22">
                  <c:v>100.00000000000007</c:v>
                </c:pt>
                <c:pt idx="23">
                  <c:v>103.63636363636371</c:v>
                </c:pt>
                <c:pt idx="24">
                  <c:v>107.27272727272735</c:v>
                </c:pt>
                <c:pt idx="25">
                  <c:v>110.90909090909099</c:v>
                </c:pt>
                <c:pt idx="26">
                  <c:v>114.54545454545463</c:v>
                </c:pt>
                <c:pt idx="27">
                  <c:v>118.18181818181827</c:v>
                </c:pt>
                <c:pt idx="28">
                  <c:v>121.81818181818191</c:v>
                </c:pt>
                <c:pt idx="29">
                  <c:v>125.45454545454555</c:v>
                </c:pt>
                <c:pt idx="30">
                  <c:v>129.09090909090918</c:v>
                </c:pt>
                <c:pt idx="31">
                  <c:v>132.72727272727283</c:v>
                </c:pt>
                <c:pt idx="32">
                  <c:v>136.36363636363649</c:v>
                </c:pt>
                <c:pt idx="33">
                  <c:v>140.00000000000011</c:v>
                </c:pt>
                <c:pt idx="34">
                  <c:v>143.63636363636374</c:v>
                </c:pt>
                <c:pt idx="35">
                  <c:v>147.27272727272739</c:v>
                </c:pt>
                <c:pt idx="36">
                  <c:v>150.90909090909102</c:v>
                </c:pt>
                <c:pt idx="37">
                  <c:v>154.54545454545467</c:v>
                </c:pt>
                <c:pt idx="38">
                  <c:v>158.1818181818183</c:v>
                </c:pt>
                <c:pt idx="39">
                  <c:v>161.81818181818196</c:v>
                </c:pt>
                <c:pt idx="40">
                  <c:v>165.45454545454558</c:v>
                </c:pt>
                <c:pt idx="41">
                  <c:v>169.09090909090924</c:v>
                </c:pt>
                <c:pt idx="42">
                  <c:v>172.72727272727286</c:v>
                </c:pt>
                <c:pt idx="43">
                  <c:v>176.36363636363652</c:v>
                </c:pt>
                <c:pt idx="44">
                  <c:v>180.00000000000014</c:v>
                </c:pt>
                <c:pt idx="45">
                  <c:v>183.6363636363638</c:v>
                </c:pt>
                <c:pt idx="46">
                  <c:v>187.27272727272742</c:v>
                </c:pt>
                <c:pt idx="47">
                  <c:v>190.90909090909108</c:v>
                </c:pt>
                <c:pt idx="48">
                  <c:v>194.5454545454547</c:v>
                </c:pt>
                <c:pt idx="49">
                  <c:v>198.18181818181836</c:v>
                </c:pt>
                <c:pt idx="50">
                  <c:v>201.81818181818198</c:v>
                </c:pt>
                <c:pt idx="51">
                  <c:v>205.45454545454564</c:v>
                </c:pt>
                <c:pt idx="52">
                  <c:v>209.09090909090926</c:v>
                </c:pt>
                <c:pt idx="53">
                  <c:v>212.72727272727292</c:v>
                </c:pt>
                <c:pt idx="54">
                  <c:v>216.36363636363654</c:v>
                </c:pt>
                <c:pt idx="55">
                  <c:v>220.0000000000002</c:v>
                </c:pt>
                <c:pt idx="56">
                  <c:v>223.63636363636382</c:v>
                </c:pt>
                <c:pt idx="57">
                  <c:v>227.27272727272748</c:v>
                </c:pt>
                <c:pt idx="58">
                  <c:v>230.90909090909111</c:v>
                </c:pt>
                <c:pt idx="59">
                  <c:v>234.54545454545476</c:v>
                </c:pt>
                <c:pt idx="60">
                  <c:v>238.18181818181839</c:v>
                </c:pt>
                <c:pt idx="61">
                  <c:v>241.81818181818204</c:v>
                </c:pt>
                <c:pt idx="62">
                  <c:v>245.45454545454567</c:v>
                </c:pt>
                <c:pt idx="63">
                  <c:v>249.09090909090932</c:v>
                </c:pt>
                <c:pt idx="64">
                  <c:v>252.72727272727295</c:v>
                </c:pt>
                <c:pt idx="65">
                  <c:v>256.3636363636366</c:v>
                </c:pt>
                <c:pt idx="66">
                  <c:v>260.00000000000023</c:v>
                </c:pt>
                <c:pt idx="67">
                  <c:v>263.63636363636385</c:v>
                </c:pt>
                <c:pt idx="68">
                  <c:v>267.27272727272748</c:v>
                </c:pt>
                <c:pt idx="69">
                  <c:v>270.90909090909111</c:v>
                </c:pt>
                <c:pt idx="70">
                  <c:v>274.54545454545479</c:v>
                </c:pt>
                <c:pt idx="71">
                  <c:v>278.18181818181841</c:v>
                </c:pt>
                <c:pt idx="72">
                  <c:v>281.81818181818204</c:v>
                </c:pt>
                <c:pt idx="73">
                  <c:v>285.45454545454572</c:v>
                </c:pt>
                <c:pt idx="74">
                  <c:v>289.09090909090935</c:v>
                </c:pt>
                <c:pt idx="75">
                  <c:v>292.72727272727298</c:v>
                </c:pt>
                <c:pt idx="76">
                  <c:v>296.3636363636366</c:v>
                </c:pt>
                <c:pt idx="77">
                  <c:v>300.00000000000028</c:v>
                </c:pt>
                <c:pt idx="78">
                  <c:v>303.63636363636391</c:v>
                </c:pt>
                <c:pt idx="79">
                  <c:v>307.27272727272754</c:v>
                </c:pt>
                <c:pt idx="80">
                  <c:v>310.90909090909116</c:v>
                </c:pt>
                <c:pt idx="81">
                  <c:v>314.54545454545485</c:v>
                </c:pt>
                <c:pt idx="82">
                  <c:v>318.18181818181847</c:v>
                </c:pt>
                <c:pt idx="83">
                  <c:v>321.8181818181821</c:v>
                </c:pt>
                <c:pt idx="84">
                  <c:v>325.45454545454572</c:v>
                </c:pt>
                <c:pt idx="85">
                  <c:v>329.09090909090941</c:v>
                </c:pt>
                <c:pt idx="86">
                  <c:v>332.72727272727303</c:v>
                </c:pt>
                <c:pt idx="87">
                  <c:v>336.36363636363666</c:v>
                </c:pt>
                <c:pt idx="88">
                  <c:v>340.00000000000028</c:v>
                </c:pt>
                <c:pt idx="89">
                  <c:v>343.63636363636397</c:v>
                </c:pt>
                <c:pt idx="90">
                  <c:v>347.27272727272759</c:v>
                </c:pt>
                <c:pt idx="91">
                  <c:v>350.90909090909122</c:v>
                </c:pt>
                <c:pt idx="92">
                  <c:v>354.54545454545485</c:v>
                </c:pt>
                <c:pt idx="93">
                  <c:v>358.18181818181853</c:v>
                </c:pt>
                <c:pt idx="94">
                  <c:v>361.81818181818215</c:v>
                </c:pt>
                <c:pt idx="95">
                  <c:v>365.45454545454578</c:v>
                </c:pt>
                <c:pt idx="96">
                  <c:v>369.09090909090941</c:v>
                </c:pt>
                <c:pt idx="97">
                  <c:v>372.72727272727303</c:v>
                </c:pt>
                <c:pt idx="98">
                  <c:v>376.36363636363672</c:v>
                </c:pt>
                <c:pt idx="99">
                  <c:v>380.00000000000034</c:v>
                </c:pt>
              </c:numCache>
            </c:numRef>
          </c:xVal>
          <c:yVal>
            <c:numRef>
              <c:f>Sheet13_HID!ydata4</c:f>
              <c:numCache>
                <c:formatCode>General</c:formatCode>
                <c:ptCount val="100"/>
                <c:pt idx="0">
                  <c:v>25701.158843081008</c:v>
                </c:pt>
                <c:pt idx="1">
                  <c:v>26098.826901190627</c:v>
                </c:pt>
                <c:pt idx="2">
                  <c:v>26497.925950911755</c:v>
                </c:pt>
                <c:pt idx="3">
                  <c:v>26898.471155058971</c:v>
                </c:pt>
                <c:pt idx="4">
                  <c:v>27300.477589087401</c:v>
                </c:pt>
                <c:pt idx="5">
                  <c:v>27703.96022904924</c:v>
                </c:pt>
                <c:pt idx="6">
                  <c:v>28108.933939296327</c:v>
                </c:pt>
                <c:pt idx="7">
                  <c:v>28515.413459943622</c:v>
                </c:pt>
                <c:pt idx="8">
                  <c:v>28923.413394109928</c:v>
                </c:pt>
                <c:pt idx="9">
                  <c:v>29332.948194953369</c:v>
                </c:pt>
                <c:pt idx="10">
                  <c:v>29744.032152520707</c:v>
                </c:pt>
                <c:pt idx="11">
                  <c:v>30156.679380430829</c:v>
                </c:pt>
                <c:pt idx="12">
                  <c:v>30570.903802414065</c:v>
                </c:pt>
                <c:pt idx="13">
                  <c:v>30986.719138730426</c:v>
                </c:pt>
                <c:pt idx="14">
                  <c:v>31404.138892490908</c:v>
                </c:pt>
                <c:pt idx="15">
                  <c:v>31823.176335907567</c:v>
                </c:pt>
                <c:pt idx="16">
                  <c:v>32243.844496498903</c:v>
                </c:pt>
                <c:pt idx="17">
                  <c:v>32666.156143278509</c:v>
                </c:pt>
                <c:pt idx="18">
                  <c:v>33090.123772955718</c:v>
                </c:pt>
                <c:pt idx="19">
                  <c:v>33515.759596178264</c:v>
                </c:pt>
                <c:pt idx="20">
                  <c:v>33943.075523847489</c:v>
                </c:pt>
                <c:pt idx="21">
                  <c:v>34372.083153537787</c:v>
                </c:pt>
                <c:pt idx="22">
                  <c:v>34802.793756052255</c:v>
                </c:pt>
                <c:pt idx="23">
                  <c:v>35235.218262147493</c:v>
                </c:pt>
                <c:pt idx="24">
                  <c:v>35669.367249460542</c:v>
                </c:pt>
                <c:pt idx="25">
                  <c:v>36105.250929671485</c:v>
                </c:pt>
                <c:pt idx="26">
                  <c:v>36542.879135935429</c:v>
                </c:pt>
                <c:pt idx="27">
                  <c:v>36982.261310617374</c:v>
                </c:pt>
                <c:pt idx="28">
                  <c:v>37423.406493363611</c:v>
                </c:pt>
                <c:pt idx="29">
                  <c:v>37866.323309542771</c:v>
                </c:pt>
                <c:pt idx="30">
                  <c:v>38311.01995908955</c:v>
                </c:pt>
                <c:pt idx="31">
                  <c:v>38757.504205783058</c:v>
                </c:pt>
                <c:pt idx="32">
                  <c:v>39205.783366991491</c:v>
                </c:pt>
                <c:pt idx="33">
                  <c:v>39655.864303913491</c:v>
                </c:pt>
                <c:pt idx="34">
                  <c:v>40107.753412345875</c:v>
                </c:pt>
                <c:pt idx="35">
                  <c:v>40561.456614005794</c:v>
                </c:pt>
                <c:pt idx="36">
                  <c:v>41016.979348434288</c:v>
                </c:pt>
                <c:pt idx="37">
                  <c:v>41474.326565506708</c:v>
                </c:pt>
                <c:pt idx="38">
                  <c:v>41933.50271857348</c:v>
                </c:pt>
                <c:pt idx="39">
                  <c:v>42394.511758253284</c:v>
                </c:pt>
                <c:pt idx="40">
                  <c:v>42857.357126898562</c:v>
                </c:pt>
                <c:pt idx="41">
                  <c:v>43322.041753751364</c:v>
                </c:pt>
                <c:pt idx="42">
                  <c:v>43788.568050805181</c:v>
                </c:pt>
                <c:pt idx="43">
                  <c:v>44256.937909386572</c:v>
                </c:pt>
                <c:pt idx="44">
                  <c:v>44727.152697467667</c:v>
                </c:pt>
                <c:pt idx="45">
                  <c:v>45199.21325771854</c:v>
                </c:pt>
                <c:pt idx="46">
                  <c:v>45673.119906305845</c:v>
                </c:pt>
                <c:pt idx="47">
                  <c:v>46148.872432441793</c:v>
                </c:pt>
                <c:pt idx="48">
                  <c:v>46626.470098684847</c:v>
                </c:pt>
                <c:pt idx="49">
                  <c:v>47105.911641991275</c:v>
                </c:pt>
                <c:pt idx="50">
                  <c:v>47587.195275513986</c:v>
                </c:pt>
                <c:pt idx="51">
                  <c:v>48070.318691142624</c:v>
                </c:pt>
                <c:pt idx="52">
                  <c:v>48555.279062776652</c:v>
                </c:pt>
                <c:pt idx="53">
                  <c:v>49042.073050320578</c:v>
                </c:pt>
                <c:pt idx="54">
                  <c:v>49530.696804388033</c:v>
                </c:pt>
                <c:pt idx="55">
                  <c:v>50021.145971699625</c:v>
                </c:pt>
                <c:pt idx="56">
                  <c:v>50513.415701156846</c:v>
                </c:pt>
                <c:pt idx="57">
                  <c:v>51007.50065057246</c:v>
                </c:pt>
                <c:pt idx="58">
                  <c:v>51503.394994035865</c:v>
                </c:pt>
                <c:pt idx="59">
                  <c:v>52001.092429890225</c:v>
                </c:pt>
                <c:pt idx="60">
                  <c:v>52500.58618929598</c:v>
                </c:pt>
                <c:pt idx="61">
                  <c:v>53001.869045354601</c:v>
                </c:pt>
                <c:pt idx="62">
                  <c:v>53504.933322764184</c:v>
                </c:pt>
                <c:pt idx="63">
                  <c:v>54009.770907977916</c:v>
                </c:pt>
                <c:pt idx="64">
                  <c:v>54516.373259834858</c:v>
                </c:pt>
                <c:pt idx="65">
                  <c:v>55024.731420631986</c:v>
                </c:pt>
                <c:pt idx="66">
                  <c:v>55534.836027605103</c:v>
                </c:pt>
                <c:pt idx="67">
                  <c:v>56046.677324786186</c:v>
                </c:pt>
                <c:pt idx="68">
                  <c:v>56560.24517520392</c:v>
                </c:pt>
                <c:pt idx="69">
                  <c:v>57075.529073393802</c:v>
                </c:pt>
                <c:pt idx="70">
                  <c:v>57592.518158184364</c:v>
                </c:pt>
                <c:pt idx="71">
                  <c:v>58111.201225725767</c:v>
                </c:pt>
                <c:pt idx="72">
                  <c:v>58631.566742727271</c:v>
                </c:pt>
                <c:pt idx="73">
                  <c:v>59153.602859870371</c:v>
                </c:pt>
                <c:pt idx="74">
                  <c:v>59677.297425364697</c:v>
                </c:pt>
                <c:pt idx="75">
                  <c:v>60202.637998614533</c:v>
                </c:pt>
                <c:pt idx="76">
                  <c:v>60729.611863964106</c:v>
                </c:pt>
                <c:pt idx="77">
                  <c:v>61258.206044490944</c:v>
                </c:pt>
                <c:pt idx="78">
                  <c:v>61788.407315817189</c:v>
                </c:pt>
                <c:pt idx="79">
                  <c:v>62320.202219909799</c:v>
                </c:pt>
                <c:pt idx="80">
                  <c:v>62853.577078841641</c:v>
                </c:pt>
                <c:pt idx="81">
                  <c:v>63388.518008486441</c:v>
                </c:pt>
                <c:pt idx="82">
                  <c:v>63925.01093212195</c:v>
                </c:pt>
                <c:pt idx="83">
                  <c:v>64463.041593916729</c:v>
                </c:pt>
                <c:pt idx="84">
                  <c:v>65002.595572277278</c:v>
                </c:pt>
                <c:pt idx="85">
                  <c:v>65543.658293033513</c:v>
                </c:pt>
                <c:pt idx="86">
                  <c:v>66086.215042442112</c:v>
                </c:pt>
                <c:pt idx="87">
                  <c:v>66630.250979988356</c:v>
                </c:pt>
                <c:pt idx="88">
                  <c:v>67175.751150968426</c:v>
                </c:pt>
                <c:pt idx="89">
                  <c:v>67722.700498836013</c:v>
                </c:pt>
                <c:pt idx="90">
                  <c:v>68271.083877297555</c:v>
                </c:pt>
                <c:pt idx="91">
                  <c:v>68820.886062142919</c:v>
                </c:pt>
                <c:pt idx="92">
                  <c:v>69372.091762798387</c:v>
                </c:pt>
                <c:pt idx="93">
                  <c:v>69924.685633591449</c:v>
                </c:pt>
                <c:pt idx="94">
                  <c:v>70478.652284716984</c:v>
                </c:pt>
                <c:pt idx="95">
                  <c:v>71033.976292896827</c:v>
                </c:pt>
                <c:pt idx="96">
                  <c:v>71590.642211724713</c:v>
                </c:pt>
                <c:pt idx="97">
                  <c:v>72148.634581691149</c:v>
                </c:pt>
                <c:pt idx="98">
                  <c:v>72707.937939882424</c:v>
                </c:pt>
                <c:pt idx="99">
                  <c:v>73268.536829350574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20-43ED-9E5B-6ABF3223A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83776"/>
        <c:axId val="278285696"/>
      </c:scatterChart>
      <c:valAx>
        <c:axId val="278283776"/>
        <c:scaling>
          <c:orientation val="maxMin"/>
          <c:max val="4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Attendance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8285696"/>
        <c:crosses val="autoZero"/>
        <c:crossBetween val="midCat"/>
      </c:valAx>
      <c:valAx>
        <c:axId val="278285696"/>
        <c:scaling>
          <c:orientation val="minMax"/>
          <c:max val="80000"/>
          <c:min val="-2000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Wedding cost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82837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Attendance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3'!$C$94:$C$118</c:f>
              <c:numCache>
                <c:formatCode>0.000</c:formatCode>
                <c:ptCount val="25"/>
                <c:pt idx="0">
                  <c:v>300</c:v>
                </c:pt>
                <c:pt idx="1">
                  <c:v>350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150</c:v>
                </c:pt>
                <c:pt idx="6">
                  <c:v>250</c:v>
                </c:pt>
                <c:pt idx="7">
                  <c:v>300</c:v>
                </c:pt>
                <c:pt idx="8">
                  <c:v>250</c:v>
                </c:pt>
                <c:pt idx="9">
                  <c:v>200</c:v>
                </c:pt>
                <c:pt idx="10">
                  <c:v>150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100</c:v>
                </c:pt>
                <c:pt idx="17">
                  <c:v>150</c:v>
                </c:pt>
                <c:pt idx="18">
                  <c:v>200</c:v>
                </c:pt>
                <c:pt idx="19">
                  <c:v>150</c:v>
                </c:pt>
                <c:pt idx="20">
                  <c:v>100</c:v>
                </c:pt>
                <c:pt idx="21">
                  <c:v>100</c:v>
                </c:pt>
                <c:pt idx="22">
                  <c:v>150</c:v>
                </c:pt>
                <c:pt idx="23">
                  <c:v>50</c:v>
                </c:pt>
                <c:pt idx="24">
                  <c:v>50</c:v>
                </c:pt>
              </c:numCache>
            </c:numRef>
          </c:xVal>
          <c:yVal>
            <c:numRef>
              <c:f>'Linear Regression Output 3'!$G$94:$G$118</c:f>
              <c:numCache>
                <c:formatCode>0.000</c:formatCode>
                <c:ptCount val="25"/>
                <c:pt idx="0">
                  <c:v>2.1487119652859565</c:v>
                </c:pt>
                <c:pt idx="1">
                  <c:v>0.4950244377871949</c:v>
                </c:pt>
                <c:pt idx="2">
                  <c:v>2.7814507641223334</c:v>
                </c:pt>
                <c:pt idx="3">
                  <c:v>1.5301450959085376</c:v>
                </c:pt>
                <c:pt idx="4">
                  <c:v>-4.7416133887663484E-2</c:v>
                </c:pt>
                <c:pt idx="5">
                  <c:v>0.98704517541910453</c:v>
                </c:pt>
                <c:pt idx="6">
                  <c:v>-0.48242354933087045</c:v>
                </c:pt>
                <c:pt idx="7">
                  <c:v>-1.1899699482406569</c:v>
                </c:pt>
                <c:pt idx="8">
                  <c:v>-0.69992725705247394</c:v>
                </c:pt>
                <c:pt idx="9">
                  <c:v>-0.20988456586429013</c:v>
                </c:pt>
                <c:pt idx="10">
                  <c:v>0.38890997918469494</c:v>
                </c:pt>
                <c:pt idx="11">
                  <c:v>-0.4273882735858936</c:v>
                </c:pt>
                <c:pt idx="12">
                  <c:v>-0.4273882735858936</c:v>
                </c:pt>
                <c:pt idx="13">
                  <c:v>-0.64489198130749714</c:v>
                </c:pt>
                <c:pt idx="14">
                  <c:v>-0.86239568902910058</c:v>
                </c:pt>
                <c:pt idx="15">
                  <c:v>-0.86239568902910058</c:v>
                </c:pt>
                <c:pt idx="16">
                  <c:v>0.55269710879047296</c:v>
                </c:pt>
                <c:pt idx="17">
                  <c:v>-0.26360114398011547</c:v>
                </c:pt>
                <c:pt idx="18">
                  <c:v>-0.97114754288990235</c:v>
                </c:pt>
                <c:pt idx="19">
                  <c:v>-0.37235299784091719</c:v>
                </c:pt>
                <c:pt idx="20">
                  <c:v>0.11768969334726596</c:v>
                </c:pt>
                <c:pt idx="21">
                  <c:v>-9.9814014374337512E-2</c:v>
                </c:pt>
                <c:pt idx="22">
                  <c:v>-0.91611226714492588</c:v>
                </c:pt>
                <c:pt idx="23">
                  <c:v>-0.15353059249016301</c:v>
                </c:pt>
                <c:pt idx="24">
                  <c:v>-0.37103430021176648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3-4237-B4D4-5D5EF4D2164F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350</c:v>
              </c:pt>
            </c:numLit>
          </c:xVal>
          <c:yVal>
            <c:numLit>
              <c:formatCode>General</c:formatCode>
              <c:ptCount val="1"/>
              <c:pt idx="0">
                <c:v>0.4950244377871949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303-4237-B4D4-5D5EF4D21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00544"/>
        <c:axId val="278315392"/>
      </c:scatterChart>
      <c:valAx>
        <c:axId val="278300544"/>
        <c:scaling>
          <c:orientation val="maxMin"/>
          <c:max val="35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Attendance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78315392"/>
        <c:crosses val="autoZero"/>
        <c:crossBetween val="midCat"/>
      </c:valAx>
      <c:valAx>
        <c:axId val="278315392"/>
        <c:scaling>
          <c:orientation val="minMax"/>
          <c:max val="3"/>
          <c:min val="-1.5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7830054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Wedding cost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3'!$D$94:$D$118</c:f>
              <c:numCache>
                <c:formatCode>0.000</c:formatCode>
                <c:ptCount val="25"/>
                <c:pt idx="0">
                  <c:v>60700</c:v>
                </c:pt>
                <c:pt idx="1">
                  <c:v>52000</c:v>
                </c:pt>
                <c:pt idx="2">
                  <c:v>47000</c:v>
                </c:pt>
                <c:pt idx="3">
                  <c:v>42000</c:v>
                </c:pt>
                <c:pt idx="4">
                  <c:v>34000</c:v>
                </c:pt>
                <c:pt idx="5">
                  <c:v>30500</c:v>
                </c:pt>
                <c:pt idx="6">
                  <c:v>30000</c:v>
                </c:pt>
                <c:pt idx="7">
                  <c:v>30000</c:v>
                </c:pt>
                <c:pt idx="8">
                  <c:v>28000</c:v>
                </c:pt>
                <c:pt idx="9">
                  <c:v>26000</c:v>
                </c:pt>
                <c:pt idx="10">
                  <c:v>25000</c:v>
                </c:pt>
                <c:pt idx="11">
                  <c:v>24000</c:v>
                </c:pt>
                <c:pt idx="12">
                  <c:v>24000</c:v>
                </c:pt>
                <c:pt idx="13">
                  <c:v>22000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19000</c:v>
                </c:pt>
                <c:pt idx="18">
                  <c:v>19000</c:v>
                </c:pt>
                <c:pt idx="19">
                  <c:v>18000</c:v>
                </c:pt>
                <c:pt idx="20">
                  <c:v>16000</c:v>
                </c:pt>
                <c:pt idx="21">
                  <c:v>14000</c:v>
                </c:pt>
                <c:pt idx="22">
                  <c:v>13000</c:v>
                </c:pt>
                <c:pt idx="23">
                  <c:v>7000</c:v>
                </c:pt>
                <c:pt idx="24">
                  <c:v>5000</c:v>
                </c:pt>
              </c:numCache>
            </c:numRef>
          </c:xVal>
          <c:yVal>
            <c:numRef>
              <c:f>'Linear Regression Output 3'!$G$94:$G$118</c:f>
              <c:numCache>
                <c:formatCode>0.000</c:formatCode>
                <c:ptCount val="25"/>
                <c:pt idx="0">
                  <c:v>2.1487119652859565</c:v>
                </c:pt>
                <c:pt idx="1">
                  <c:v>0.4950244377871949</c:v>
                </c:pt>
                <c:pt idx="2">
                  <c:v>2.7814507641223334</c:v>
                </c:pt>
                <c:pt idx="3">
                  <c:v>1.5301450959085376</c:v>
                </c:pt>
                <c:pt idx="4">
                  <c:v>-4.7416133887663484E-2</c:v>
                </c:pt>
                <c:pt idx="5">
                  <c:v>0.98704517541910453</c:v>
                </c:pt>
                <c:pt idx="6">
                  <c:v>-0.48242354933087045</c:v>
                </c:pt>
                <c:pt idx="7">
                  <c:v>-1.1899699482406569</c:v>
                </c:pt>
                <c:pt idx="8">
                  <c:v>-0.69992725705247394</c:v>
                </c:pt>
                <c:pt idx="9">
                  <c:v>-0.20988456586429013</c:v>
                </c:pt>
                <c:pt idx="10">
                  <c:v>0.38890997918469494</c:v>
                </c:pt>
                <c:pt idx="11">
                  <c:v>-0.4273882735858936</c:v>
                </c:pt>
                <c:pt idx="12">
                  <c:v>-0.4273882735858936</c:v>
                </c:pt>
                <c:pt idx="13">
                  <c:v>-0.64489198130749714</c:v>
                </c:pt>
                <c:pt idx="14">
                  <c:v>-0.86239568902910058</c:v>
                </c:pt>
                <c:pt idx="15">
                  <c:v>-0.86239568902910058</c:v>
                </c:pt>
                <c:pt idx="16">
                  <c:v>0.55269710879047296</c:v>
                </c:pt>
                <c:pt idx="17">
                  <c:v>-0.26360114398011547</c:v>
                </c:pt>
                <c:pt idx="18">
                  <c:v>-0.97114754288990235</c:v>
                </c:pt>
                <c:pt idx="19">
                  <c:v>-0.37235299784091719</c:v>
                </c:pt>
                <c:pt idx="20">
                  <c:v>0.11768969334726596</c:v>
                </c:pt>
                <c:pt idx="21">
                  <c:v>-9.9814014374337512E-2</c:v>
                </c:pt>
                <c:pt idx="22">
                  <c:v>-0.91611226714492588</c:v>
                </c:pt>
                <c:pt idx="23">
                  <c:v>-0.15353059249016301</c:v>
                </c:pt>
                <c:pt idx="24">
                  <c:v>-0.37103430021176648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8-451B-A4B1-F08CF8B6238D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52000</c:v>
              </c:pt>
            </c:numLit>
          </c:xVal>
          <c:yVal>
            <c:numLit>
              <c:formatCode>General</c:formatCode>
              <c:ptCount val="1"/>
              <c:pt idx="0">
                <c:v>0.4950244377871949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9F8-451B-A4B1-F08CF8B6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969984"/>
        <c:axId val="280972288"/>
      </c:scatterChart>
      <c:valAx>
        <c:axId val="280969984"/>
        <c:scaling>
          <c:orientation val="maxMin"/>
          <c:max val="7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Wedding cost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0972288"/>
        <c:crosses val="autoZero"/>
        <c:crossBetween val="midCat"/>
      </c:valAx>
      <c:valAx>
        <c:axId val="280972288"/>
        <c:scaling>
          <c:orientation val="minMax"/>
          <c:max val="3"/>
          <c:min val="-1.5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096998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Pred(Wedding cost)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3'!$E$94:$E$118</c:f>
              <c:numCache>
                <c:formatCode>0.000</c:formatCode>
                <c:ptCount val="25"/>
                <c:pt idx="0">
                  <c:v>40942.065868263482</c:v>
                </c:pt>
                <c:pt idx="1">
                  <c:v>47448.128742514979</c:v>
                </c:pt>
                <c:pt idx="2">
                  <c:v>21423.877245508982</c:v>
                </c:pt>
                <c:pt idx="3">
                  <c:v>27929.940119760482</c:v>
                </c:pt>
                <c:pt idx="4">
                  <c:v>34436.002994011986</c:v>
                </c:pt>
                <c:pt idx="5">
                  <c:v>21423.877245508982</c:v>
                </c:pt>
                <c:pt idx="6">
                  <c:v>34436.002994011986</c:v>
                </c:pt>
                <c:pt idx="7">
                  <c:v>40942.065868263482</c:v>
                </c:pt>
                <c:pt idx="8">
                  <c:v>34436.002994011986</c:v>
                </c:pt>
                <c:pt idx="9">
                  <c:v>27929.940119760482</c:v>
                </c:pt>
                <c:pt idx="10">
                  <c:v>21423.877245508982</c:v>
                </c:pt>
                <c:pt idx="11">
                  <c:v>27929.940119760482</c:v>
                </c:pt>
                <c:pt idx="12">
                  <c:v>27929.940119760482</c:v>
                </c:pt>
                <c:pt idx="13">
                  <c:v>27929.940119760482</c:v>
                </c:pt>
                <c:pt idx="14">
                  <c:v>27929.940119760482</c:v>
                </c:pt>
                <c:pt idx="15">
                  <c:v>27929.940119760482</c:v>
                </c:pt>
                <c:pt idx="16">
                  <c:v>14917.814371257484</c:v>
                </c:pt>
                <c:pt idx="17">
                  <c:v>21423.877245508982</c:v>
                </c:pt>
                <c:pt idx="18">
                  <c:v>27929.940119760482</c:v>
                </c:pt>
                <c:pt idx="19">
                  <c:v>21423.877245508982</c:v>
                </c:pt>
                <c:pt idx="20">
                  <c:v>14917.814371257484</c:v>
                </c:pt>
                <c:pt idx="21">
                  <c:v>14917.814371257484</c:v>
                </c:pt>
                <c:pt idx="22">
                  <c:v>21423.877245508982</c:v>
                </c:pt>
                <c:pt idx="23">
                  <c:v>8411.7514970059856</c:v>
                </c:pt>
                <c:pt idx="24">
                  <c:v>8411.7514970059856</c:v>
                </c:pt>
              </c:numCache>
            </c:numRef>
          </c:xVal>
          <c:yVal>
            <c:numRef>
              <c:f>'Linear Regression Output 3'!$G$94:$G$118</c:f>
              <c:numCache>
                <c:formatCode>0.000</c:formatCode>
                <c:ptCount val="25"/>
                <c:pt idx="0">
                  <c:v>2.1487119652859565</c:v>
                </c:pt>
                <c:pt idx="1">
                  <c:v>0.4950244377871949</c:v>
                </c:pt>
                <c:pt idx="2">
                  <c:v>2.7814507641223334</c:v>
                </c:pt>
                <c:pt idx="3">
                  <c:v>1.5301450959085376</c:v>
                </c:pt>
                <c:pt idx="4">
                  <c:v>-4.7416133887663484E-2</c:v>
                </c:pt>
                <c:pt idx="5">
                  <c:v>0.98704517541910453</c:v>
                </c:pt>
                <c:pt idx="6">
                  <c:v>-0.48242354933087045</c:v>
                </c:pt>
                <c:pt idx="7">
                  <c:v>-1.1899699482406569</c:v>
                </c:pt>
                <c:pt idx="8">
                  <c:v>-0.69992725705247394</c:v>
                </c:pt>
                <c:pt idx="9">
                  <c:v>-0.20988456586429013</c:v>
                </c:pt>
                <c:pt idx="10">
                  <c:v>0.38890997918469494</c:v>
                </c:pt>
                <c:pt idx="11">
                  <c:v>-0.4273882735858936</c:v>
                </c:pt>
                <c:pt idx="12">
                  <c:v>-0.4273882735858936</c:v>
                </c:pt>
                <c:pt idx="13">
                  <c:v>-0.64489198130749714</c:v>
                </c:pt>
                <c:pt idx="14">
                  <c:v>-0.86239568902910058</c:v>
                </c:pt>
                <c:pt idx="15">
                  <c:v>-0.86239568902910058</c:v>
                </c:pt>
                <c:pt idx="16">
                  <c:v>0.55269710879047296</c:v>
                </c:pt>
                <c:pt idx="17">
                  <c:v>-0.26360114398011547</c:v>
                </c:pt>
                <c:pt idx="18">
                  <c:v>-0.97114754288990235</c:v>
                </c:pt>
                <c:pt idx="19">
                  <c:v>-0.37235299784091719</c:v>
                </c:pt>
                <c:pt idx="20">
                  <c:v>0.11768969334726596</c:v>
                </c:pt>
                <c:pt idx="21">
                  <c:v>-9.9814014374337512E-2</c:v>
                </c:pt>
                <c:pt idx="22">
                  <c:v>-0.91611226714492588</c:v>
                </c:pt>
                <c:pt idx="23">
                  <c:v>-0.15353059249016301</c:v>
                </c:pt>
                <c:pt idx="24">
                  <c:v>-0.37103430021176648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F-4475-A5F4-239413AD2396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47448.128742514979</c:v>
              </c:pt>
            </c:numLit>
          </c:xVal>
          <c:yVal>
            <c:numLit>
              <c:formatCode>General</c:formatCode>
              <c:ptCount val="1"/>
              <c:pt idx="0">
                <c:v>0.4950244377871949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64F-4475-A5F4-239413AD2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005440"/>
        <c:axId val="281012096"/>
      </c:scatterChart>
      <c:valAx>
        <c:axId val="281005440"/>
        <c:scaling>
          <c:orientation val="maxMin"/>
          <c:max val="50000"/>
          <c:min val="5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Pred(Wedding cost)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012096"/>
        <c:crosses val="autoZero"/>
        <c:crossBetween val="midCat"/>
      </c:valAx>
      <c:valAx>
        <c:axId val="281012096"/>
        <c:scaling>
          <c:orientation val="minMax"/>
          <c:max val="3"/>
          <c:min val="-1.5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0054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Pred(Wedding cost) - Wedding cost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3'!$E$94:$E$118</c:f>
              <c:numCache>
                <c:formatCode>0.000</c:formatCode>
                <c:ptCount val="25"/>
                <c:pt idx="0">
                  <c:v>40942.065868263482</c:v>
                </c:pt>
                <c:pt idx="1">
                  <c:v>47448.128742514979</c:v>
                </c:pt>
                <c:pt idx="2">
                  <c:v>21423.877245508982</c:v>
                </c:pt>
                <c:pt idx="3">
                  <c:v>27929.940119760482</c:v>
                </c:pt>
                <c:pt idx="4">
                  <c:v>34436.002994011986</c:v>
                </c:pt>
                <c:pt idx="5">
                  <c:v>21423.877245508982</c:v>
                </c:pt>
                <c:pt idx="6">
                  <c:v>34436.002994011986</c:v>
                </c:pt>
                <c:pt idx="7">
                  <c:v>40942.065868263482</c:v>
                </c:pt>
                <c:pt idx="8">
                  <c:v>34436.002994011986</c:v>
                </c:pt>
                <c:pt idx="9">
                  <c:v>27929.940119760482</c:v>
                </c:pt>
                <c:pt idx="10">
                  <c:v>21423.877245508982</c:v>
                </c:pt>
                <c:pt idx="11">
                  <c:v>27929.940119760482</c:v>
                </c:pt>
                <c:pt idx="12">
                  <c:v>27929.940119760482</c:v>
                </c:pt>
                <c:pt idx="13">
                  <c:v>27929.940119760482</c:v>
                </c:pt>
                <c:pt idx="14">
                  <c:v>27929.940119760482</c:v>
                </c:pt>
                <c:pt idx="15">
                  <c:v>27929.940119760482</c:v>
                </c:pt>
                <c:pt idx="16">
                  <c:v>14917.814371257484</c:v>
                </c:pt>
                <c:pt idx="17">
                  <c:v>21423.877245508982</c:v>
                </c:pt>
                <c:pt idx="18">
                  <c:v>27929.940119760482</c:v>
                </c:pt>
                <c:pt idx="19">
                  <c:v>21423.877245508982</c:v>
                </c:pt>
                <c:pt idx="20">
                  <c:v>14917.814371257484</c:v>
                </c:pt>
                <c:pt idx="21">
                  <c:v>14917.814371257484</c:v>
                </c:pt>
                <c:pt idx="22">
                  <c:v>21423.877245508982</c:v>
                </c:pt>
                <c:pt idx="23">
                  <c:v>8411.7514970059856</c:v>
                </c:pt>
                <c:pt idx="24">
                  <c:v>8411.7514970059856</c:v>
                </c:pt>
              </c:numCache>
            </c:numRef>
          </c:xVal>
          <c:yVal>
            <c:numRef>
              <c:f>'Linear Regression Output 3'!$D$94:$D$118</c:f>
              <c:numCache>
                <c:formatCode>0.000</c:formatCode>
                <c:ptCount val="25"/>
                <c:pt idx="0">
                  <c:v>60700</c:v>
                </c:pt>
                <c:pt idx="1">
                  <c:v>52000</c:v>
                </c:pt>
                <c:pt idx="2">
                  <c:v>47000</c:v>
                </c:pt>
                <c:pt idx="3">
                  <c:v>42000</c:v>
                </c:pt>
                <c:pt idx="4">
                  <c:v>34000</c:v>
                </c:pt>
                <c:pt idx="5">
                  <c:v>30500</c:v>
                </c:pt>
                <c:pt idx="6">
                  <c:v>30000</c:v>
                </c:pt>
                <c:pt idx="7">
                  <c:v>30000</c:v>
                </c:pt>
                <c:pt idx="8">
                  <c:v>28000</c:v>
                </c:pt>
                <c:pt idx="9">
                  <c:v>26000</c:v>
                </c:pt>
                <c:pt idx="10">
                  <c:v>25000</c:v>
                </c:pt>
                <c:pt idx="11">
                  <c:v>24000</c:v>
                </c:pt>
                <c:pt idx="12">
                  <c:v>24000</c:v>
                </c:pt>
                <c:pt idx="13">
                  <c:v>22000</c:v>
                </c:pt>
                <c:pt idx="14">
                  <c:v>20000</c:v>
                </c:pt>
                <c:pt idx="15">
                  <c:v>20000</c:v>
                </c:pt>
                <c:pt idx="16">
                  <c:v>20000</c:v>
                </c:pt>
                <c:pt idx="17">
                  <c:v>19000</c:v>
                </c:pt>
                <c:pt idx="18">
                  <c:v>19000</c:v>
                </c:pt>
                <c:pt idx="19">
                  <c:v>18000</c:v>
                </c:pt>
                <c:pt idx="20">
                  <c:v>16000</c:v>
                </c:pt>
                <c:pt idx="21">
                  <c:v>14000</c:v>
                </c:pt>
                <c:pt idx="22">
                  <c:v>13000</c:v>
                </c:pt>
                <c:pt idx="23">
                  <c:v>7000</c:v>
                </c:pt>
                <c:pt idx="24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CC-451D-82CD-E3541CB6F81E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47448.128742514979</c:v>
              </c:pt>
            </c:numLit>
          </c:xVal>
          <c:yVal>
            <c:numLit>
              <c:formatCode>General</c:formatCode>
              <c:ptCount val="1"/>
              <c:pt idx="0">
                <c:v>52000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ECC-451D-82CD-E3541CB6F81E}"/>
            </c:ext>
          </c:extLst>
        </c:ser>
        <c:ser>
          <c:idx val="2"/>
          <c:order val="2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Sheet13_HID!xdata5</c:f>
              <c:numCache>
                <c:formatCode>General</c:formatCode>
                <c:ptCount val="70"/>
                <c:pt idx="0">
                  <c:v>6850.2964071856304</c:v>
                </c:pt>
                <c:pt idx="1">
                  <c:v>7576.2015968063897</c:v>
                </c:pt>
                <c:pt idx="2">
                  <c:v>8302.1067864271481</c:v>
                </c:pt>
                <c:pt idx="3">
                  <c:v>9028.0119760479065</c:v>
                </c:pt>
                <c:pt idx="4">
                  <c:v>9753.9171656686667</c:v>
                </c:pt>
                <c:pt idx="5">
                  <c:v>10479.822355289425</c:v>
                </c:pt>
                <c:pt idx="6">
                  <c:v>11205.727544910183</c:v>
                </c:pt>
                <c:pt idx="7">
                  <c:v>11931.632734530944</c:v>
                </c:pt>
                <c:pt idx="8">
                  <c:v>12657.537924151702</c:v>
                </c:pt>
                <c:pt idx="9">
                  <c:v>13383.44311377246</c:v>
                </c:pt>
                <c:pt idx="10">
                  <c:v>14109.348303393221</c:v>
                </c:pt>
                <c:pt idx="11">
                  <c:v>14835.253493013979</c:v>
                </c:pt>
                <c:pt idx="12">
                  <c:v>15561.158682634737</c:v>
                </c:pt>
                <c:pt idx="13">
                  <c:v>16287.063872255498</c:v>
                </c:pt>
                <c:pt idx="14">
                  <c:v>17012.969061876254</c:v>
                </c:pt>
                <c:pt idx="15">
                  <c:v>17738.874251497014</c:v>
                </c:pt>
                <c:pt idx="16">
                  <c:v>18464.779441117775</c:v>
                </c:pt>
                <c:pt idx="17">
                  <c:v>19190.684630738531</c:v>
                </c:pt>
                <c:pt idx="18">
                  <c:v>19916.589820359291</c:v>
                </c:pt>
                <c:pt idx="19">
                  <c:v>20642.495009980052</c:v>
                </c:pt>
                <c:pt idx="20">
                  <c:v>21368.400199600808</c:v>
                </c:pt>
                <c:pt idx="21">
                  <c:v>22094.305389221568</c:v>
                </c:pt>
                <c:pt idx="22">
                  <c:v>22820.210578842329</c:v>
                </c:pt>
                <c:pt idx="23">
                  <c:v>23546.115768463085</c:v>
                </c:pt>
                <c:pt idx="24">
                  <c:v>24272.020958083845</c:v>
                </c:pt>
                <c:pt idx="25">
                  <c:v>24997.926147704602</c:v>
                </c:pt>
                <c:pt idx="26">
                  <c:v>25723.831337325362</c:v>
                </c:pt>
                <c:pt idx="27">
                  <c:v>26449.736526946122</c:v>
                </c:pt>
                <c:pt idx="28">
                  <c:v>27175.641716566879</c:v>
                </c:pt>
                <c:pt idx="29">
                  <c:v>27901.546906187639</c:v>
                </c:pt>
                <c:pt idx="30">
                  <c:v>28627.452095808399</c:v>
                </c:pt>
                <c:pt idx="31">
                  <c:v>29353.357285429156</c:v>
                </c:pt>
                <c:pt idx="32">
                  <c:v>30079.262475049916</c:v>
                </c:pt>
                <c:pt idx="33">
                  <c:v>30805.167664670676</c:v>
                </c:pt>
                <c:pt idx="34">
                  <c:v>31531.072854291433</c:v>
                </c:pt>
                <c:pt idx="35">
                  <c:v>32256.978043912193</c:v>
                </c:pt>
                <c:pt idx="36">
                  <c:v>32982.883233532957</c:v>
                </c:pt>
                <c:pt idx="37">
                  <c:v>33708.78842315371</c:v>
                </c:pt>
                <c:pt idx="38">
                  <c:v>34434.69361277447</c:v>
                </c:pt>
                <c:pt idx="39">
                  <c:v>35160.59880239523</c:v>
                </c:pt>
                <c:pt idx="40">
                  <c:v>35886.503992015991</c:v>
                </c:pt>
                <c:pt idx="41">
                  <c:v>36612.409181636751</c:v>
                </c:pt>
                <c:pt idx="42">
                  <c:v>37338.314371257511</c:v>
                </c:pt>
                <c:pt idx="43">
                  <c:v>38064.219560878264</c:v>
                </c:pt>
                <c:pt idx="44">
                  <c:v>38790.124750499024</c:v>
                </c:pt>
                <c:pt idx="45">
                  <c:v>39516.029940119784</c:v>
                </c:pt>
                <c:pt idx="46">
                  <c:v>40241.935129740545</c:v>
                </c:pt>
                <c:pt idx="47">
                  <c:v>40967.840319361305</c:v>
                </c:pt>
                <c:pt idx="48">
                  <c:v>41693.745508982065</c:v>
                </c:pt>
                <c:pt idx="49">
                  <c:v>42419.650698602825</c:v>
                </c:pt>
                <c:pt idx="50">
                  <c:v>43145.555888223578</c:v>
                </c:pt>
                <c:pt idx="51">
                  <c:v>43871.461077844338</c:v>
                </c:pt>
                <c:pt idx="52">
                  <c:v>44597.366267465099</c:v>
                </c:pt>
                <c:pt idx="53">
                  <c:v>45323.271457085859</c:v>
                </c:pt>
                <c:pt idx="54">
                  <c:v>46049.176646706619</c:v>
                </c:pt>
                <c:pt idx="55">
                  <c:v>46775.081836327379</c:v>
                </c:pt>
                <c:pt idx="56">
                  <c:v>47500.987025948132</c:v>
                </c:pt>
                <c:pt idx="57">
                  <c:v>48226.892215568892</c:v>
                </c:pt>
                <c:pt idx="58">
                  <c:v>48952.797405189653</c:v>
                </c:pt>
                <c:pt idx="59">
                  <c:v>49678.702594810413</c:v>
                </c:pt>
                <c:pt idx="60">
                  <c:v>50404.607784431173</c:v>
                </c:pt>
                <c:pt idx="61">
                  <c:v>51130.512974051933</c:v>
                </c:pt>
                <c:pt idx="62">
                  <c:v>51856.418163672686</c:v>
                </c:pt>
                <c:pt idx="63">
                  <c:v>52582.323353293446</c:v>
                </c:pt>
                <c:pt idx="64">
                  <c:v>53308.228542914207</c:v>
                </c:pt>
                <c:pt idx="65">
                  <c:v>54034.133732534967</c:v>
                </c:pt>
                <c:pt idx="66">
                  <c:v>54760.038922155727</c:v>
                </c:pt>
                <c:pt idx="67">
                  <c:v>55485.94411177648</c:v>
                </c:pt>
                <c:pt idx="68">
                  <c:v>56211.84930139724</c:v>
                </c:pt>
                <c:pt idx="69">
                  <c:v>56937.754491018</c:v>
                </c:pt>
              </c:numCache>
            </c:numRef>
          </c:xVal>
          <c:yVal>
            <c:numRef>
              <c:f>Sheet13_HID!ydata5</c:f>
              <c:numCache>
                <c:formatCode>General</c:formatCode>
                <c:ptCount val="70"/>
                <c:pt idx="0">
                  <c:v>-13983.157992838103</c:v>
                </c:pt>
                <c:pt idx="1">
                  <c:v>-13153.133865012926</c:v>
                </c:pt>
                <c:pt idx="2">
                  <c:v>-12326.67042388459</c:v>
                </c:pt>
                <c:pt idx="3">
                  <c:v>-11503.819986784336</c:v>
                </c:pt>
                <c:pt idx="4">
                  <c:v>-10684.633965968536</c:v>
                </c:pt>
                <c:pt idx="5">
                  <c:v>-9869.1627551376496</c:v>
                </c:pt>
                <c:pt idx="6">
                  <c:v>-9057.4556142453148</c:v>
                </c:pt>
                <c:pt idx="7">
                  <c:v>-8249.5605530784123</c:v>
                </c:pt>
                <c:pt idx="8">
                  <c:v>-7445.5242141266481</c:v>
                </c:pt>
                <c:pt idx="9">
                  <c:v>-6645.3917552951389</c:v>
                </c:pt>
                <c:pt idx="10">
                  <c:v>-5849.2067330451937</c:v>
                </c:pt>
                <c:pt idx="11">
                  <c:v>-5057.0109865763279</c:v>
                </c:pt>
                <c:pt idx="12">
                  <c:v>-4268.8445236853477</c:v>
                </c:pt>
                <c:pt idx="13">
                  <c:v>-3484.7454089566163</c:v>
                </c:pt>
                <c:pt idx="14">
                  <c:v>-2704.749654949268</c:v>
                </c:pt>
                <c:pt idx="15">
                  <c:v>-1928.8911170532083</c:v>
                </c:pt>
                <c:pt idx="16">
                  <c:v>-1157.2013926844338</c:v>
                </c:pt>
                <c:pt idx="17">
                  <c:v>-389.70972548230566</c:v>
                </c:pt>
                <c:pt idx="18">
                  <c:v>373.5570848442112</c:v>
                </c:pt>
                <c:pt idx="19">
                  <c:v>1132.5747663970724</c:v>
                </c:pt>
                <c:pt idx="20">
                  <c:v>1887.3216521027316</c:v>
                </c:pt>
                <c:pt idx="21">
                  <c:v>2637.778749302608</c:v>
                </c:pt>
                <c:pt idx="22">
                  <c:v>3383.9298014088963</c:v>
                </c:pt>
                <c:pt idx="23">
                  <c:v>4125.7613411657658</c:v>
                </c:pt>
                <c:pt idx="24">
                  <c:v>4863.2627351132069</c:v>
                </c:pt>
                <c:pt idx="25">
                  <c:v>5596.426218913537</c:v>
                </c:pt>
                <c:pt idx="26">
                  <c:v>6325.2469232683652</c:v>
                </c:pt>
                <c:pt idx="27">
                  <c:v>7049.7228902247261</c:v>
                </c:pt>
                <c:pt idx="28">
                  <c:v>7769.8550797432399</c:v>
                </c:pt>
                <c:pt idx="29">
                  <c:v>8485.6473664770092</c:v>
                </c:pt>
                <c:pt idx="30">
                  <c:v>9197.1065267863778</c:v>
                </c:pt>
                <c:pt idx="31">
                  <c:v>9904.2422160909664</c:v>
                </c:pt>
                <c:pt idx="32">
                  <c:v>10607.066936735093</c:v>
                </c:pt>
                <c:pt idx="33">
                  <c:v>11305.595996614909</c:v>
                </c:pt>
                <c:pt idx="34">
                  <c:v>11999.847458884607</c:v>
                </c:pt>
                <c:pt idx="35">
                  <c:v>12689.842083123462</c:v>
                </c:pt>
                <c:pt idx="36">
                  <c:v>13375.603258404732</c:v>
                </c:pt>
                <c:pt idx="37">
                  <c:v>14057.156928761116</c:v>
                </c:pt>
                <c:pt idx="38">
                  <c:v>14734.531511588419</c:v>
                </c:pt>
                <c:pt idx="39">
                  <c:v>15407.757809568971</c:v>
                </c:pt>
                <c:pt idx="40">
                  <c:v>16076.868916729694</c:v>
                </c:pt>
                <c:pt idx="41">
                  <c:v>16741.90011927464</c:v>
                </c:pt>
                <c:pt idx="42">
                  <c:v>17402.888791850331</c:v>
                </c:pt>
                <c:pt idx="43">
                  <c:v>18059.874289912375</c:v>
                </c:pt>
                <c:pt idx="44">
                  <c:v>18712.89783886568</c:v>
                </c:pt>
                <c:pt idx="45">
                  <c:v>19362.002420646695</c:v>
                </c:pt>
                <c:pt idx="46">
                  <c:v>20007.232658406574</c:v>
                </c:pt>
                <c:pt idx="47">
                  <c:v>20648.63469993796</c:v>
                </c:pt>
                <c:pt idx="48">
                  <c:v>21286.256100466693</c:v>
                </c:pt>
                <c:pt idx="49">
                  <c:v>21920.145705403724</c:v>
                </c:pt>
                <c:pt idx="50">
                  <c:v>22550.353533621957</c:v>
                </c:pt>
                <c:pt idx="51">
                  <c:v>23176.930661788814</c:v>
                </c:pt>
                <c:pt idx="52">
                  <c:v>23799.929110248533</c:v>
                </c:pt>
                <c:pt idx="53">
                  <c:v>24419.401730909252</c:v>
                </c:pt>
                <c:pt idx="54">
                  <c:v>25035.402097549126</c:v>
                </c:pt>
                <c:pt idx="55">
                  <c:v>25647.984398914414</c:v>
                </c:pt>
                <c:pt idx="56">
                  <c:v>26257.203334940325</c:v>
                </c:pt>
                <c:pt idx="57">
                  <c:v>26863.114016383639</c:v>
                </c:pt>
                <c:pt idx="58">
                  <c:v>27465.771868114902</c:v>
                </c:pt>
                <c:pt idx="59">
                  <c:v>28065.232536277756</c:v>
                </c:pt>
                <c:pt idx="60">
                  <c:v>28661.551799484194</c:v>
                </c:pt>
                <c:pt idx="61">
                  <c:v>29254.78548417733</c:v>
                </c:pt>
                <c:pt idx="62">
                  <c:v>29844.989384258166</c:v>
                </c:pt>
                <c:pt idx="63">
                  <c:v>30432.219185039834</c:v>
                </c:pt>
                <c:pt idx="64">
                  <c:v>31016.530391561984</c:v>
                </c:pt>
                <c:pt idx="65">
                  <c:v>31597.978261269851</c:v>
                </c:pt>
                <c:pt idx="66">
                  <c:v>32176.617741036487</c:v>
                </c:pt>
                <c:pt idx="67">
                  <c:v>32752.503408483535</c:v>
                </c:pt>
                <c:pt idx="68">
                  <c:v>33325.689417534828</c:v>
                </c:pt>
                <c:pt idx="69">
                  <c:v>33896.229448118684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CC-451D-82CD-E3541CB6F81E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Sheet13_HID!xdata6</c:f>
              <c:numCache>
                <c:formatCode>General</c:formatCode>
                <c:ptCount val="70"/>
                <c:pt idx="0">
                  <c:v>6729.4011976047896</c:v>
                </c:pt>
                <c:pt idx="1">
                  <c:v>7457.0584917122269</c:v>
                </c:pt>
                <c:pt idx="2">
                  <c:v>8184.7157858196633</c:v>
                </c:pt>
                <c:pt idx="3">
                  <c:v>8912.3730799270998</c:v>
                </c:pt>
                <c:pt idx="4">
                  <c:v>9640.0303740345371</c:v>
                </c:pt>
                <c:pt idx="5">
                  <c:v>10367.687668141974</c:v>
                </c:pt>
                <c:pt idx="6">
                  <c:v>11095.344962249412</c:v>
                </c:pt>
                <c:pt idx="7">
                  <c:v>11823.002256356849</c:v>
                </c:pt>
                <c:pt idx="8">
                  <c:v>12550.659550464286</c:v>
                </c:pt>
                <c:pt idx="9">
                  <c:v>13278.316844571724</c:v>
                </c:pt>
                <c:pt idx="10">
                  <c:v>14005.974138679159</c:v>
                </c:pt>
                <c:pt idx="11">
                  <c:v>14733.631432786597</c:v>
                </c:pt>
                <c:pt idx="12">
                  <c:v>15461.288726894034</c:v>
                </c:pt>
                <c:pt idx="13">
                  <c:v>16188.946021001471</c:v>
                </c:pt>
                <c:pt idx="14">
                  <c:v>16916.603315108907</c:v>
                </c:pt>
                <c:pt idx="15">
                  <c:v>17644.260609216344</c:v>
                </c:pt>
                <c:pt idx="16">
                  <c:v>18371.917903323782</c:v>
                </c:pt>
                <c:pt idx="17">
                  <c:v>19099.575197431219</c:v>
                </c:pt>
                <c:pt idx="18">
                  <c:v>19827.232491538656</c:v>
                </c:pt>
                <c:pt idx="19">
                  <c:v>20554.88978564609</c:v>
                </c:pt>
                <c:pt idx="20">
                  <c:v>21282.547079753531</c:v>
                </c:pt>
                <c:pt idx="21">
                  <c:v>22010.204373860965</c:v>
                </c:pt>
                <c:pt idx="22">
                  <c:v>22737.861667968406</c:v>
                </c:pt>
                <c:pt idx="23">
                  <c:v>23465.518962075839</c:v>
                </c:pt>
                <c:pt idx="24">
                  <c:v>24193.17625618328</c:v>
                </c:pt>
                <c:pt idx="25">
                  <c:v>24920.833550290714</c:v>
                </c:pt>
                <c:pt idx="26">
                  <c:v>25648.490844398155</c:v>
                </c:pt>
                <c:pt idx="27">
                  <c:v>26376.148138505589</c:v>
                </c:pt>
                <c:pt idx="28">
                  <c:v>27103.805432613022</c:v>
                </c:pt>
                <c:pt idx="29">
                  <c:v>27831.462726720463</c:v>
                </c:pt>
                <c:pt idx="30">
                  <c:v>28559.120020827897</c:v>
                </c:pt>
                <c:pt idx="31">
                  <c:v>29286.777314935338</c:v>
                </c:pt>
                <c:pt idx="32">
                  <c:v>30014.434609042772</c:v>
                </c:pt>
                <c:pt idx="33">
                  <c:v>30742.091903150213</c:v>
                </c:pt>
                <c:pt idx="34">
                  <c:v>31469.749197257646</c:v>
                </c:pt>
                <c:pt idx="35">
                  <c:v>32197.406491365087</c:v>
                </c:pt>
                <c:pt idx="36">
                  <c:v>32925.063785472521</c:v>
                </c:pt>
                <c:pt idx="37">
                  <c:v>33652.721079579962</c:v>
                </c:pt>
                <c:pt idx="38">
                  <c:v>34380.378373687396</c:v>
                </c:pt>
                <c:pt idx="39">
                  <c:v>35108.035667794829</c:v>
                </c:pt>
                <c:pt idx="40">
                  <c:v>35835.69296190227</c:v>
                </c:pt>
                <c:pt idx="41">
                  <c:v>36563.350256009704</c:v>
                </c:pt>
                <c:pt idx="42">
                  <c:v>37291.007550117145</c:v>
                </c:pt>
                <c:pt idx="43">
                  <c:v>38018.664844224579</c:v>
                </c:pt>
                <c:pt idx="44">
                  <c:v>38746.32213833202</c:v>
                </c:pt>
                <c:pt idx="45">
                  <c:v>39473.979432439453</c:v>
                </c:pt>
                <c:pt idx="46">
                  <c:v>40201.636726546894</c:v>
                </c:pt>
                <c:pt idx="47">
                  <c:v>40929.294020654328</c:v>
                </c:pt>
                <c:pt idx="48">
                  <c:v>41656.951314761769</c:v>
                </c:pt>
                <c:pt idx="49">
                  <c:v>42384.608608869203</c:v>
                </c:pt>
                <c:pt idx="50">
                  <c:v>43112.265902976644</c:v>
                </c:pt>
                <c:pt idx="51">
                  <c:v>43839.923197084077</c:v>
                </c:pt>
                <c:pt idx="52">
                  <c:v>44567.580491191518</c:v>
                </c:pt>
                <c:pt idx="53">
                  <c:v>45295.237785298952</c:v>
                </c:pt>
                <c:pt idx="54">
                  <c:v>46022.895079406386</c:v>
                </c:pt>
                <c:pt idx="55">
                  <c:v>46750.552373513827</c:v>
                </c:pt>
                <c:pt idx="56">
                  <c:v>47478.20966762126</c:v>
                </c:pt>
                <c:pt idx="57">
                  <c:v>48205.866961728701</c:v>
                </c:pt>
                <c:pt idx="58">
                  <c:v>48933.524255836135</c:v>
                </c:pt>
                <c:pt idx="59">
                  <c:v>49661.181549943576</c:v>
                </c:pt>
                <c:pt idx="60">
                  <c:v>50388.83884405101</c:v>
                </c:pt>
                <c:pt idx="61">
                  <c:v>51116.496138158451</c:v>
                </c:pt>
                <c:pt idx="62">
                  <c:v>51844.153432265884</c:v>
                </c:pt>
                <c:pt idx="63">
                  <c:v>52571.810726373325</c:v>
                </c:pt>
                <c:pt idx="64">
                  <c:v>53299.468020480759</c:v>
                </c:pt>
                <c:pt idx="65">
                  <c:v>54027.125314588193</c:v>
                </c:pt>
                <c:pt idx="66">
                  <c:v>54754.782608695634</c:v>
                </c:pt>
                <c:pt idx="67">
                  <c:v>55482.439902803068</c:v>
                </c:pt>
                <c:pt idx="68">
                  <c:v>56210.097196910509</c:v>
                </c:pt>
                <c:pt idx="69">
                  <c:v>56937.754491017942</c:v>
                </c:pt>
              </c:numCache>
            </c:numRef>
          </c:xVal>
          <c:yVal>
            <c:numRef>
              <c:f>Sheet13_HID!ydata6</c:f>
              <c:numCache>
                <c:formatCode>General</c:formatCode>
                <c:ptCount val="70"/>
                <c:pt idx="0">
                  <c:v>27580.538161639466</c:v>
                </c:pt>
                <c:pt idx="1">
                  <c:v>28203.240192363926</c:v>
                </c:pt>
                <c:pt idx="2">
                  <c:v>28829.511411442589</c:v>
                </c:pt>
                <c:pt idx="3">
                  <c:v>29459.404653728365</c:v>
                </c:pt>
                <c:pt idx="4">
                  <c:v>30092.971858564222</c:v>
                </c:pt>
                <c:pt idx="5">
                  <c:v>30730.263955246875</c:v>
                </c:pt>
                <c:pt idx="6">
                  <c:v>31371.33074668171</c:v>
                </c:pt>
                <c:pt idx="7">
                  <c:v>32016.220791711658</c:v>
                </c:pt>
                <c:pt idx="8">
                  <c:v>32664.981286641614</c:v>
                </c:pt>
                <c:pt idx="9">
                  <c:v>33317.65794651609</c:v>
                </c:pt>
                <c:pt idx="10">
                  <c:v>33974.294886740587</c:v>
                </c:pt>
                <c:pt idx="11">
                  <c:v>34634.934505666184</c:v>
                </c:pt>
                <c:pt idx="12">
                  <c:v>35299.617368781051</c:v>
                </c:pt>
                <c:pt idx="13">
                  <c:v>35968.382095171677</c:v>
                </c:pt>
                <c:pt idx="14">
                  <c:v>36641.265246929659</c:v>
                </c:pt>
                <c:pt idx="15">
                  <c:v>37318.301222186885</c:v>
                </c:pt>
                <c:pt idx="16">
                  <c:v>37999.522152461592</c:v>
                </c:pt>
                <c:pt idx="17">
                  <c:v>38684.957804990685</c:v>
                </c:pt>
                <c:pt idx="18">
                  <c:v>39374.63549070905</c:v>
                </c:pt>
                <c:pt idx="19">
                  <c:v>40068.579978513793</c:v>
                </c:pt>
                <c:pt idx="20">
                  <c:v>40766.813416421908</c:v>
                </c:pt>
                <c:pt idx="21">
                  <c:v>41469.355260192016</c:v>
                </c:pt>
                <c:pt idx="22">
                  <c:v>42176.222209936212</c:v>
                </c:pt>
                <c:pt idx="23">
                  <c:v>42887.428155196532</c:v>
                </c:pt>
                <c:pt idx="24">
                  <c:v>43602.984128902768</c:v>
                </c:pt>
                <c:pt idx="25">
                  <c:v>44322.898270564765</c:v>
                </c:pt>
                <c:pt idx="26">
                  <c:v>45047.175798984259</c:v>
                </c:pt>
                <c:pt idx="27">
                  <c:v>45775.818994698733</c:v>
                </c:pt>
                <c:pt idx="28">
                  <c:v>46508.827192295139</c:v>
                </c:pt>
                <c:pt idx="29">
                  <c:v>47246.196782653496</c:v>
                </c:pt>
                <c:pt idx="30">
                  <c:v>47987.921225102895</c:v>
                </c:pt>
                <c:pt idx="31">
                  <c:v>48733.991069394659</c:v>
                </c:pt>
                <c:pt idx="32">
                  <c:v>49484.393987320596</c:v>
                </c:pt>
                <c:pt idx="33">
                  <c:v>50239.114813730877</c:v>
                </c:pt>
                <c:pt idx="34">
                  <c:v>50998.13559663506</c:v>
                </c:pt>
                <c:pt idx="35">
                  <c:v>51761.435656003756</c:v>
                </c:pt>
                <c:pt idx="36">
                  <c:v>52528.991650827433</c:v>
                </c:pt>
                <c:pt idx="37">
                  <c:v>53300.777653933757</c:v>
                </c:pt>
                <c:pt idx="38">
                  <c:v>54076.765234016333</c:v>
                </c:pt>
                <c:pt idx="39">
                  <c:v>54856.923544286299</c:v>
                </c:pt>
                <c:pt idx="40">
                  <c:v>55641.219417123997</c:v>
                </c:pt>
                <c:pt idx="41">
                  <c:v>56429.617464081428</c:v>
                </c:pt>
                <c:pt idx="42">
                  <c:v>57222.080180567486</c:v>
                </c:pt>
                <c:pt idx="43">
                  <c:v>58018.56805453611</c:v>
                </c:pt>
                <c:pt idx="44">
                  <c:v>58819.03967849422</c:v>
                </c:pt>
                <c:pt idx="45">
                  <c:v>59623.451864148505</c:v>
                </c:pt>
                <c:pt idx="46">
                  <c:v>60431.759759020853</c:v>
                </c:pt>
                <c:pt idx="47">
                  <c:v>61243.916964377058</c:v>
                </c:pt>
                <c:pt idx="48">
                  <c:v>62059.875653835843</c:v>
                </c:pt>
                <c:pt idx="49">
                  <c:v>62879.586692050914</c:v>
                </c:pt>
                <c:pt idx="50">
                  <c:v>63702.999752890268</c:v>
                </c:pt>
                <c:pt idx="51">
                  <c:v>64530.063436570636</c:v>
                </c:pt>
                <c:pt idx="52">
                  <c:v>65360.72538524316</c:v>
                </c:pt>
                <c:pt idx="53">
                  <c:v>66194.932396565244</c:v>
                </c:pt>
                <c:pt idx="54">
                  <c:v>67032.630534835684</c:v>
                </c:pt>
                <c:pt idx="55">
                  <c:v>67873.765239311833</c:v>
                </c:pt>
                <c:pt idx="56">
                  <c:v>68718.281429370778</c:v>
                </c:pt>
                <c:pt idx="57">
                  <c:v>69566.123606218855</c:v>
                </c:pt>
                <c:pt idx="58">
                  <c:v>70417.235950896298</c:v>
                </c:pt>
                <c:pt idx="59">
                  <c:v>71271.562418364352</c:v>
                </c:pt>
                <c:pt idx="60">
                  <c:v>72129.046827502112</c:v>
                </c:pt>
                <c:pt idx="61">
                  <c:v>72989.632946878352</c:v>
                </c:pt>
                <c:pt idx="62">
                  <c:v>73853.264576199115</c:v>
                </c:pt>
                <c:pt idx="63">
                  <c:v>74719.885623366004</c:v>
                </c:pt>
                <c:pt idx="64">
                  <c:v>75589.440177110984</c:v>
                </c:pt>
                <c:pt idx="65">
                  <c:v>76461.872575203073</c:v>
                </c:pt>
                <c:pt idx="66">
                  <c:v>77337.127468247869</c:v>
                </c:pt>
                <c:pt idx="67">
                  <c:v>78215.149879125442</c:v>
                </c:pt>
                <c:pt idx="68">
                  <c:v>79095.885258132912</c:v>
                </c:pt>
                <c:pt idx="69">
                  <c:v>79979.279533917244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CC-451D-82CD-E3541CB6F81E}"/>
            </c:ext>
          </c:extLst>
        </c:ser>
        <c:ser>
          <c:idx val="4"/>
          <c:order val="4"/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-20000</c:v>
              </c:pt>
              <c:pt idx="1">
                <c:v>80000</c:v>
              </c:pt>
            </c:numLit>
          </c:xVal>
          <c:yVal>
            <c:numLit>
              <c:formatCode>General</c:formatCode>
              <c:ptCount val="2"/>
              <c:pt idx="0">
                <c:v>-20000</c:v>
              </c:pt>
              <c:pt idx="1">
                <c:v>80000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ECC-451D-82CD-E3541CB6F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064576"/>
        <c:axId val="281066496"/>
      </c:scatterChart>
      <c:valAx>
        <c:axId val="281064576"/>
        <c:scaling>
          <c:orientation val="maxMin"/>
          <c:max val="80000"/>
          <c:min val="-200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Pred(Wedding cost)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066496"/>
        <c:crosses val="autoZero"/>
        <c:crossBetween val="midCat"/>
      </c:valAx>
      <c:valAx>
        <c:axId val="281066496"/>
        <c:scaling>
          <c:orientation val="minMax"/>
          <c:max val="80000"/>
          <c:min val="-2000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Wedding cost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0645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Wedding cost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3'!$A$94:$A$118</c:f>
              <c:strCache>
                <c:ptCount val="25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</c:strCache>
            </c:strRef>
          </c:cat>
          <c:val>
            <c:numRef>
              <c:f>'Linear Regression Output 3'!$G$94:$G$118</c:f>
              <c:numCache>
                <c:formatCode>0.000</c:formatCode>
                <c:ptCount val="25"/>
                <c:pt idx="0">
                  <c:v>2.1487119652859565</c:v>
                </c:pt>
                <c:pt idx="1">
                  <c:v>0.4950244377871949</c:v>
                </c:pt>
                <c:pt idx="2">
                  <c:v>2.7814507641223334</c:v>
                </c:pt>
                <c:pt idx="3">
                  <c:v>1.5301450959085376</c:v>
                </c:pt>
                <c:pt idx="4">
                  <c:v>-4.7416133887663484E-2</c:v>
                </c:pt>
                <c:pt idx="5">
                  <c:v>0.98704517541910453</c:v>
                </c:pt>
                <c:pt idx="6">
                  <c:v>-0.48242354933087045</c:v>
                </c:pt>
                <c:pt idx="7">
                  <c:v>-1.1899699482406569</c:v>
                </c:pt>
                <c:pt idx="8">
                  <c:v>-0.69992725705247394</c:v>
                </c:pt>
                <c:pt idx="9">
                  <c:v>-0.20988456586429013</c:v>
                </c:pt>
                <c:pt idx="10">
                  <c:v>0.38890997918469494</c:v>
                </c:pt>
                <c:pt idx="11">
                  <c:v>-0.4273882735858936</c:v>
                </c:pt>
                <c:pt idx="12">
                  <c:v>-0.4273882735858936</c:v>
                </c:pt>
                <c:pt idx="13">
                  <c:v>-0.64489198130749714</c:v>
                </c:pt>
                <c:pt idx="14">
                  <c:v>-0.86239568902910058</c:v>
                </c:pt>
                <c:pt idx="15">
                  <c:v>-0.86239568902910058</c:v>
                </c:pt>
                <c:pt idx="16">
                  <c:v>0.55269710879047296</c:v>
                </c:pt>
                <c:pt idx="17">
                  <c:v>-0.26360114398011547</c:v>
                </c:pt>
                <c:pt idx="18">
                  <c:v>-0.97114754288990235</c:v>
                </c:pt>
                <c:pt idx="19">
                  <c:v>-0.37235299784091719</c:v>
                </c:pt>
                <c:pt idx="20">
                  <c:v>0.11768969334726596</c:v>
                </c:pt>
                <c:pt idx="21">
                  <c:v>-9.9814014374337512E-2</c:v>
                </c:pt>
                <c:pt idx="22">
                  <c:v>-0.91611226714492588</c:v>
                </c:pt>
                <c:pt idx="23">
                  <c:v>-0.15353059249016301</c:v>
                </c:pt>
                <c:pt idx="24">
                  <c:v>-0.37103430021176648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A-4F09-9435-3AA059015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81078784"/>
        <c:axId val="281154688"/>
      </c:barChart>
      <c:catAx>
        <c:axId val="2810787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154688"/>
        <c:crosses val="autoZero"/>
        <c:auto val="1"/>
        <c:lblAlgn val="ctr"/>
        <c:lblOffset val="100"/>
        <c:noMultiLvlLbl val="0"/>
      </c:catAx>
      <c:valAx>
        <c:axId val="281154688"/>
        <c:scaling>
          <c:orientation val="maxMin"/>
          <c:max val="3"/>
          <c:min val="-3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078784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 plot (Actual Pile Length (ft.) vs Estimated Pile Length (ft.))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2A7498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Sheet10_HID!$A$1:$A$311</c:f>
              <c:numCache>
                <c:formatCode>General</c:formatCode>
                <c:ptCount val="311"/>
                <c:pt idx="0">
                  <c:v>10.58</c:v>
                </c:pt>
                <c:pt idx="1">
                  <c:v>10.58</c:v>
                </c:pt>
                <c:pt idx="2">
                  <c:v>10.58</c:v>
                </c:pt>
                <c:pt idx="3">
                  <c:v>10.58</c:v>
                </c:pt>
                <c:pt idx="4">
                  <c:v>10.58</c:v>
                </c:pt>
                <c:pt idx="5">
                  <c:v>10.58</c:v>
                </c:pt>
                <c:pt idx="6">
                  <c:v>10.58</c:v>
                </c:pt>
                <c:pt idx="7">
                  <c:v>10.58</c:v>
                </c:pt>
                <c:pt idx="8">
                  <c:v>10.58</c:v>
                </c:pt>
                <c:pt idx="9">
                  <c:v>10.58</c:v>
                </c:pt>
                <c:pt idx="10">
                  <c:v>10.58</c:v>
                </c:pt>
                <c:pt idx="11">
                  <c:v>5.83</c:v>
                </c:pt>
                <c:pt idx="12">
                  <c:v>5.83</c:v>
                </c:pt>
                <c:pt idx="13">
                  <c:v>5.83</c:v>
                </c:pt>
                <c:pt idx="14">
                  <c:v>5.83</c:v>
                </c:pt>
                <c:pt idx="15">
                  <c:v>10.83</c:v>
                </c:pt>
                <c:pt idx="16">
                  <c:v>10.83</c:v>
                </c:pt>
                <c:pt idx="17">
                  <c:v>10.83</c:v>
                </c:pt>
                <c:pt idx="18">
                  <c:v>10.83</c:v>
                </c:pt>
                <c:pt idx="19">
                  <c:v>21.33</c:v>
                </c:pt>
                <c:pt idx="20">
                  <c:v>16.329999999999998</c:v>
                </c:pt>
                <c:pt idx="21">
                  <c:v>21.33</c:v>
                </c:pt>
                <c:pt idx="22">
                  <c:v>21.33</c:v>
                </c:pt>
                <c:pt idx="23">
                  <c:v>21.33</c:v>
                </c:pt>
                <c:pt idx="24">
                  <c:v>31.33</c:v>
                </c:pt>
                <c:pt idx="25">
                  <c:v>41.08</c:v>
                </c:pt>
                <c:pt idx="26">
                  <c:v>41.08</c:v>
                </c:pt>
                <c:pt idx="27">
                  <c:v>41.08</c:v>
                </c:pt>
                <c:pt idx="28">
                  <c:v>46.33</c:v>
                </c:pt>
                <c:pt idx="29">
                  <c:v>61.33</c:v>
                </c:pt>
                <c:pt idx="30">
                  <c:v>61.33</c:v>
                </c:pt>
                <c:pt idx="31">
                  <c:v>61.33</c:v>
                </c:pt>
                <c:pt idx="32">
                  <c:v>61.33</c:v>
                </c:pt>
                <c:pt idx="33">
                  <c:v>61.33</c:v>
                </c:pt>
                <c:pt idx="34">
                  <c:v>61.33</c:v>
                </c:pt>
                <c:pt idx="35">
                  <c:v>61.33</c:v>
                </c:pt>
                <c:pt idx="36">
                  <c:v>61.33</c:v>
                </c:pt>
                <c:pt idx="37">
                  <c:v>61.33</c:v>
                </c:pt>
                <c:pt idx="38">
                  <c:v>11.33</c:v>
                </c:pt>
                <c:pt idx="39">
                  <c:v>5.83</c:v>
                </c:pt>
                <c:pt idx="40">
                  <c:v>5.83</c:v>
                </c:pt>
                <c:pt idx="41">
                  <c:v>5.83</c:v>
                </c:pt>
                <c:pt idx="42">
                  <c:v>5.83</c:v>
                </c:pt>
                <c:pt idx="43">
                  <c:v>15.83</c:v>
                </c:pt>
                <c:pt idx="44">
                  <c:v>15.83</c:v>
                </c:pt>
                <c:pt idx="45">
                  <c:v>15.83</c:v>
                </c:pt>
                <c:pt idx="46">
                  <c:v>15.83</c:v>
                </c:pt>
                <c:pt idx="47">
                  <c:v>11.33</c:v>
                </c:pt>
                <c:pt idx="48">
                  <c:v>21.08</c:v>
                </c:pt>
                <c:pt idx="49">
                  <c:v>21.08</c:v>
                </c:pt>
                <c:pt idx="50">
                  <c:v>21.08</c:v>
                </c:pt>
                <c:pt idx="51">
                  <c:v>21.08</c:v>
                </c:pt>
                <c:pt idx="52">
                  <c:v>21.08</c:v>
                </c:pt>
                <c:pt idx="53">
                  <c:v>41.08</c:v>
                </c:pt>
                <c:pt idx="54">
                  <c:v>41.08</c:v>
                </c:pt>
                <c:pt idx="55">
                  <c:v>41.08</c:v>
                </c:pt>
                <c:pt idx="56">
                  <c:v>41.08</c:v>
                </c:pt>
                <c:pt idx="57">
                  <c:v>41.08</c:v>
                </c:pt>
                <c:pt idx="58">
                  <c:v>61.08</c:v>
                </c:pt>
                <c:pt idx="59">
                  <c:v>61.08</c:v>
                </c:pt>
                <c:pt idx="60">
                  <c:v>61.08</c:v>
                </c:pt>
                <c:pt idx="61">
                  <c:v>61.08</c:v>
                </c:pt>
                <c:pt idx="62">
                  <c:v>61.33</c:v>
                </c:pt>
                <c:pt idx="63">
                  <c:v>61.33</c:v>
                </c:pt>
                <c:pt idx="64">
                  <c:v>11.33</c:v>
                </c:pt>
                <c:pt idx="65">
                  <c:v>20.079999999999998</c:v>
                </c:pt>
                <c:pt idx="66">
                  <c:v>20.079999999999998</c:v>
                </c:pt>
                <c:pt idx="67">
                  <c:v>20.079999999999998</c:v>
                </c:pt>
                <c:pt idx="68">
                  <c:v>20.079999999999998</c:v>
                </c:pt>
                <c:pt idx="69">
                  <c:v>20.079999999999998</c:v>
                </c:pt>
                <c:pt idx="70">
                  <c:v>20.05</c:v>
                </c:pt>
                <c:pt idx="71">
                  <c:v>40.08</c:v>
                </c:pt>
                <c:pt idx="72">
                  <c:v>40.08</c:v>
                </c:pt>
                <c:pt idx="73">
                  <c:v>40.08</c:v>
                </c:pt>
                <c:pt idx="74">
                  <c:v>40.08</c:v>
                </c:pt>
                <c:pt idx="75">
                  <c:v>40.08</c:v>
                </c:pt>
                <c:pt idx="76">
                  <c:v>40.08</c:v>
                </c:pt>
                <c:pt idx="77">
                  <c:v>60.08</c:v>
                </c:pt>
                <c:pt idx="78">
                  <c:v>60.08</c:v>
                </c:pt>
                <c:pt idx="79">
                  <c:v>60.08</c:v>
                </c:pt>
                <c:pt idx="80">
                  <c:v>60.08</c:v>
                </c:pt>
                <c:pt idx="81">
                  <c:v>61.33</c:v>
                </c:pt>
                <c:pt idx="82">
                  <c:v>8.42</c:v>
                </c:pt>
                <c:pt idx="83">
                  <c:v>20.58</c:v>
                </c:pt>
                <c:pt idx="84">
                  <c:v>20.58</c:v>
                </c:pt>
                <c:pt idx="85">
                  <c:v>20.55</c:v>
                </c:pt>
                <c:pt idx="86">
                  <c:v>20.58</c:v>
                </c:pt>
                <c:pt idx="87">
                  <c:v>20.58</c:v>
                </c:pt>
                <c:pt idx="88">
                  <c:v>20.55</c:v>
                </c:pt>
                <c:pt idx="89">
                  <c:v>23.5</c:v>
                </c:pt>
                <c:pt idx="90">
                  <c:v>20.52</c:v>
                </c:pt>
                <c:pt idx="91">
                  <c:v>20.52</c:v>
                </c:pt>
                <c:pt idx="92">
                  <c:v>20.52</c:v>
                </c:pt>
                <c:pt idx="93">
                  <c:v>20.52</c:v>
                </c:pt>
                <c:pt idx="94">
                  <c:v>20.52</c:v>
                </c:pt>
                <c:pt idx="95">
                  <c:v>20.52</c:v>
                </c:pt>
                <c:pt idx="96">
                  <c:v>38.42</c:v>
                </c:pt>
                <c:pt idx="97">
                  <c:v>35.83</c:v>
                </c:pt>
                <c:pt idx="98">
                  <c:v>35.83</c:v>
                </c:pt>
                <c:pt idx="99">
                  <c:v>35.83</c:v>
                </c:pt>
                <c:pt idx="100">
                  <c:v>35.83</c:v>
                </c:pt>
                <c:pt idx="101">
                  <c:v>35.83</c:v>
                </c:pt>
                <c:pt idx="102">
                  <c:v>34.75</c:v>
                </c:pt>
                <c:pt idx="103">
                  <c:v>34.75</c:v>
                </c:pt>
                <c:pt idx="104">
                  <c:v>4.75</c:v>
                </c:pt>
                <c:pt idx="105">
                  <c:v>19.75</c:v>
                </c:pt>
                <c:pt idx="106">
                  <c:v>34.75</c:v>
                </c:pt>
                <c:pt idx="107">
                  <c:v>34.75</c:v>
                </c:pt>
                <c:pt idx="108">
                  <c:v>4.75</c:v>
                </c:pt>
                <c:pt idx="109">
                  <c:v>17.25</c:v>
                </c:pt>
                <c:pt idx="110">
                  <c:v>17.25</c:v>
                </c:pt>
                <c:pt idx="111">
                  <c:v>17.25</c:v>
                </c:pt>
                <c:pt idx="112">
                  <c:v>17.25</c:v>
                </c:pt>
                <c:pt idx="113">
                  <c:v>17.25</c:v>
                </c:pt>
                <c:pt idx="114">
                  <c:v>17.25</c:v>
                </c:pt>
                <c:pt idx="115">
                  <c:v>19.75</c:v>
                </c:pt>
                <c:pt idx="116">
                  <c:v>28.42</c:v>
                </c:pt>
                <c:pt idx="117">
                  <c:v>28.42</c:v>
                </c:pt>
                <c:pt idx="118">
                  <c:v>28.42</c:v>
                </c:pt>
                <c:pt idx="119">
                  <c:v>28.42</c:v>
                </c:pt>
                <c:pt idx="120">
                  <c:v>28.42</c:v>
                </c:pt>
                <c:pt idx="121">
                  <c:v>28.42</c:v>
                </c:pt>
                <c:pt idx="122">
                  <c:v>35.92</c:v>
                </c:pt>
                <c:pt idx="123">
                  <c:v>40.53</c:v>
                </c:pt>
                <c:pt idx="124">
                  <c:v>40.83</c:v>
                </c:pt>
                <c:pt idx="125">
                  <c:v>40.83</c:v>
                </c:pt>
                <c:pt idx="126">
                  <c:v>40.83</c:v>
                </c:pt>
                <c:pt idx="127">
                  <c:v>40.83</c:v>
                </c:pt>
                <c:pt idx="128">
                  <c:v>53.42</c:v>
                </c:pt>
                <c:pt idx="129">
                  <c:v>50.83</c:v>
                </c:pt>
                <c:pt idx="130">
                  <c:v>50.83</c:v>
                </c:pt>
                <c:pt idx="131">
                  <c:v>50.83</c:v>
                </c:pt>
                <c:pt idx="132">
                  <c:v>50.83</c:v>
                </c:pt>
                <c:pt idx="133">
                  <c:v>53.42</c:v>
                </c:pt>
                <c:pt idx="134">
                  <c:v>53.42</c:v>
                </c:pt>
                <c:pt idx="135">
                  <c:v>5.58</c:v>
                </c:pt>
                <c:pt idx="136">
                  <c:v>5.58</c:v>
                </c:pt>
                <c:pt idx="137">
                  <c:v>5.58</c:v>
                </c:pt>
                <c:pt idx="138">
                  <c:v>6.58</c:v>
                </c:pt>
                <c:pt idx="139">
                  <c:v>5.58</c:v>
                </c:pt>
                <c:pt idx="140">
                  <c:v>5.58</c:v>
                </c:pt>
                <c:pt idx="141">
                  <c:v>20.58</c:v>
                </c:pt>
                <c:pt idx="142">
                  <c:v>20.58</c:v>
                </c:pt>
                <c:pt idx="143">
                  <c:v>20.55</c:v>
                </c:pt>
                <c:pt idx="144">
                  <c:v>20.58</c:v>
                </c:pt>
                <c:pt idx="145">
                  <c:v>20.58</c:v>
                </c:pt>
                <c:pt idx="146">
                  <c:v>20.58</c:v>
                </c:pt>
                <c:pt idx="147">
                  <c:v>28.75</c:v>
                </c:pt>
                <c:pt idx="148">
                  <c:v>28.75</c:v>
                </c:pt>
                <c:pt idx="149">
                  <c:v>28.75</c:v>
                </c:pt>
                <c:pt idx="150">
                  <c:v>28.75</c:v>
                </c:pt>
                <c:pt idx="151">
                  <c:v>28.75</c:v>
                </c:pt>
                <c:pt idx="152">
                  <c:v>28.75</c:v>
                </c:pt>
                <c:pt idx="153">
                  <c:v>39.25</c:v>
                </c:pt>
                <c:pt idx="154">
                  <c:v>39.25</c:v>
                </c:pt>
                <c:pt idx="155">
                  <c:v>39.25</c:v>
                </c:pt>
                <c:pt idx="156">
                  <c:v>39.25</c:v>
                </c:pt>
                <c:pt idx="157">
                  <c:v>39.25</c:v>
                </c:pt>
                <c:pt idx="158">
                  <c:v>49.75</c:v>
                </c:pt>
                <c:pt idx="159">
                  <c:v>49.75</c:v>
                </c:pt>
                <c:pt idx="160">
                  <c:v>49.75</c:v>
                </c:pt>
                <c:pt idx="161">
                  <c:v>49.75</c:v>
                </c:pt>
                <c:pt idx="162">
                  <c:v>53.42</c:v>
                </c:pt>
                <c:pt idx="163">
                  <c:v>13.42</c:v>
                </c:pt>
                <c:pt idx="164">
                  <c:v>6.97</c:v>
                </c:pt>
                <c:pt idx="165">
                  <c:v>6.97</c:v>
                </c:pt>
                <c:pt idx="166">
                  <c:v>6.97</c:v>
                </c:pt>
                <c:pt idx="167">
                  <c:v>8.42</c:v>
                </c:pt>
                <c:pt idx="168">
                  <c:v>21.67</c:v>
                </c:pt>
                <c:pt idx="169">
                  <c:v>21.67</c:v>
                </c:pt>
                <c:pt idx="170">
                  <c:v>21.67</c:v>
                </c:pt>
                <c:pt idx="171">
                  <c:v>28.42</c:v>
                </c:pt>
                <c:pt idx="172">
                  <c:v>31.67</c:v>
                </c:pt>
                <c:pt idx="173">
                  <c:v>31.67</c:v>
                </c:pt>
                <c:pt idx="174">
                  <c:v>31.67</c:v>
                </c:pt>
                <c:pt idx="175">
                  <c:v>38.42</c:v>
                </c:pt>
                <c:pt idx="176">
                  <c:v>41.67</c:v>
                </c:pt>
                <c:pt idx="177">
                  <c:v>41.67</c:v>
                </c:pt>
                <c:pt idx="178">
                  <c:v>41.67</c:v>
                </c:pt>
                <c:pt idx="179">
                  <c:v>53.42</c:v>
                </c:pt>
                <c:pt idx="180">
                  <c:v>13.42</c:v>
                </c:pt>
                <c:pt idx="181">
                  <c:v>13.42</c:v>
                </c:pt>
                <c:pt idx="182">
                  <c:v>10.83</c:v>
                </c:pt>
                <c:pt idx="183">
                  <c:v>10.83</c:v>
                </c:pt>
                <c:pt idx="184">
                  <c:v>10.83</c:v>
                </c:pt>
                <c:pt idx="185">
                  <c:v>10.83</c:v>
                </c:pt>
                <c:pt idx="186">
                  <c:v>10.83</c:v>
                </c:pt>
                <c:pt idx="187">
                  <c:v>15.42</c:v>
                </c:pt>
                <c:pt idx="188">
                  <c:v>15.42</c:v>
                </c:pt>
                <c:pt idx="189">
                  <c:v>15.42</c:v>
                </c:pt>
                <c:pt idx="190">
                  <c:v>15.42</c:v>
                </c:pt>
                <c:pt idx="191">
                  <c:v>9.42</c:v>
                </c:pt>
                <c:pt idx="192">
                  <c:v>9.42</c:v>
                </c:pt>
                <c:pt idx="193">
                  <c:v>9.42</c:v>
                </c:pt>
                <c:pt idx="194">
                  <c:v>9.42</c:v>
                </c:pt>
                <c:pt idx="195">
                  <c:v>9.42</c:v>
                </c:pt>
                <c:pt idx="196">
                  <c:v>10.58</c:v>
                </c:pt>
                <c:pt idx="197">
                  <c:v>10.58</c:v>
                </c:pt>
                <c:pt idx="198">
                  <c:v>10.55</c:v>
                </c:pt>
                <c:pt idx="199">
                  <c:v>10.58</c:v>
                </c:pt>
                <c:pt idx="200">
                  <c:v>10.58</c:v>
                </c:pt>
                <c:pt idx="201">
                  <c:v>10.55</c:v>
                </c:pt>
                <c:pt idx="202">
                  <c:v>20.55</c:v>
                </c:pt>
                <c:pt idx="203">
                  <c:v>20.55</c:v>
                </c:pt>
                <c:pt idx="204">
                  <c:v>20.58</c:v>
                </c:pt>
                <c:pt idx="205">
                  <c:v>20.55</c:v>
                </c:pt>
                <c:pt idx="206">
                  <c:v>20.58</c:v>
                </c:pt>
                <c:pt idx="207">
                  <c:v>20.55</c:v>
                </c:pt>
                <c:pt idx="208">
                  <c:v>30.58</c:v>
                </c:pt>
                <c:pt idx="209">
                  <c:v>30.55</c:v>
                </c:pt>
                <c:pt idx="210">
                  <c:v>30.58</c:v>
                </c:pt>
                <c:pt idx="211">
                  <c:v>30.58</c:v>
                </c:pt>
                <c:pt idx="212">
                  <c:v>30.58</c:v>
                </c:pt>
                <c:pt idx="213">
                  <c:v>30.55</c:v>
                </c:pt>
                <c:pt idx="214">
                  <c:v>40.83</c:v>
                </c:pt>
                <c:pt idx="215">
                  <c:v>40.83</c:v>
                </c:pt>
                <c:pt idx="216">
                  <c:v>40.83</c:v>
                </c:pt>
                <c:pt idx="217">
                  <c:v>40.83</c:v>
                </c:pt>
                <c:pt idx="218">
                  <c:v>40.83</c:v>
                </c:pt>
                <c:pt idx="219">
                  <c:v>50.83</c:v>
                </c:pt>
                <c:pt idx="220">
                  <c:v>50.83</c:v>
                </c:pt>
                <c:pt idx="221">
                  <c:v>50.83</c:v>
                </c:pt>
                <c:pt idx="222">
                  <c:v>50.83</c:v>
                </c:pt>
                <c:pt idx="223">
                  <c:v>63.42</c:v>
                </c:pt>
                <c:pt idx="224">
                  <c:v>53.42</c:v>
                </c:pt>
                <c:pt idx="225">
                  <c:v>22.58</c:v>
                </c:pt>
                <c:pt idx="226">
                  <c:v>22.58</c:v>
                </c:pt>
                <c:pt idx="227">
                  <c:v>20.83</c:v>
                </c:pt>
                <c:pt idx="228">
                  <c:v>20.83</c:v>
                </c:pt>
                <c:pt idx="229">
                  <c:v>20.83</c:v>
                </c:pt>
                <c:pt idx="230">
                  <c:v>20.83</c:v>
                </c:pt>
                <c:pt idx="231">
                  <c:v>22.68</c:v>
                </c:pt>
                <c:pt idx="232">
                  <c:v>20.83</c:v>
                </c:pt>
                <c:pt idx="233">
                  <c:v>20.83</c:v>
                </c:pt>
                <c:pt idx="234">
                  <c:v>20.83</c:v>
                </c:pt>
                <c:pt idx="235">
                  <c:v>20.83</c:v>
                </c:pt>
                <c:pt idx="236">
                  <c:v>24.83</c:v>
                </c:pt>
                <c:pt idx="237">
                  <c:v>24.83</c:v>
                </c:pt>
                <c:pt idx="238">
                  <c:v>24.83</c:v>
                </c:pt>
                <c:pt idx="239">
                  <c:v>24.83</c:v>
                </c:pt>
                <c:pt idx="240">
                  <c:v>10.83</c:v>
                </c:pt>
                <c:pt idx="241">
                  <c:v>10.83</c:v>
                </c:pt>
                <c:pt idx="242">
                  <c:v>10.83</c:v>
                </c:pt>
                <c:pt idx="243">
                  <c:v>10.83</c:v>
                </c:pt>
                <c:pt idx="244">
                  <c:v>11.67</c:v>
                </c:pt>
                <c:pt idx="245">
                  <c:v>11.67</c:v>
                </c:pt>
                <c:pt idx="246">
                  <c:v>11.67</c:v>
                </c:pt>
                <c:pt idx="247">
                  <c:v>11.67</c:v>
                </c:pt>
                <c:pt idx="248">
                  <c:v>20.83</c:v>
                </c:pt>
                <c:pt idx="249">
                  <c:v>20.83</c:v>
                </c:pt>
                <c:pt idx="250">
                  <c:v>20.83</c:v>
                </c:pt>
                <c:pt idx="251">
                  <c:v>20.83</c:v>
                </c:pt>
                <c:pt idx="252">
                  <c:v>25.83</c:v>
                </c:pt>
                <c:pt idx="253">
                  <c:v>25.83</c:v>
                </c:pt>
                <c:pt idx="254">
                  <c:v>25.83</c:v>
                </c:pt>
                <c:pt idx="255">
                  <c:v>25.83</c:v>
                </c:pt>
                <c:pt idx="256">
                  <c:v>30.83</c:v>
                </c:pt>
                <c:pt idx="257">
                  <c:v>30.83</c:v>
                </c:pt>
                <c:pt idx="258">
                  <c:v>30.83</c:v>
                </c:pt>
                <c:pt idx="259">
                  <c:v>30.83</c:v>
                </c:pt>
                <c:pt idx="260">
                  <c:v>40.83</c:v>
                </c:pt>
                <c:pt idx="261">
                  <c:v>40.83</c:v>
                </c:pt>
                <c:pt idx="262">
                  <c:v>40.83</c:v>
                </c:pt>
                <c:pt idx="263">
                  <c:v>40.53</c:v>
                </c:pt>
                <c:pt idx="264">
                  <c:v>50.83</c:v>
                </c:pt>
                <c:pt idx="265">
                  <c:v>50.83</c:v>
                </c:pt>
                <c:pt idx="266">
                  <c:v>50.83</c:v>
                </c:pt>
                <c:pt idx="267">
                  <c:v>50.83</c:v>
                </c:pt>
                <c:pt idx="268">
                  <c:v>53.42</c:v>
                </c:pt>
                <c:pt idx="269">
                  <c:v>53.42</c:v>
                </c:pt>
                <c:pt idx="270">
                  <c:v>53.42</c:v>
                </c:pt>
                <c:pt idx="271">
                  <c:v>22.58</c:v>
                </c:pt>
                <c:pt idx="272">
                  <c:v>22.58</c:v>
                </c:pt>
                <c:pt idx="273">
                  <c:v>22.58</c:v>
                </c:pt>
                <c:pt idx="274">
                  <c:v>20.83</c:v>
                </c:pt>
                <c:pt idx="275">
                  <c:v>20.83</c:v>
                </c:pt>
                <c:pt idx="276">
                  <c:v>20.83</c:v>
                </c:pt>
                <c:pt idx="277">
                  <c:v>25.42</c:v>
                </c:pt>
                <c:pt idx="278">
                  <c:v>26.67</c:v>
                </c:pt>
                <c:pt idx="279">
                  <c:v>26.67</c:v>
                </c:pt>
                <c:pt idx="280">
                  <c:v>26.67</c:v>
                </c:pt>
                <c:pt idx="281">
                  <c:v>23.42</c:v>
                </c:pt>
                <c:pt idx="282">
                  <c:v>11.67</c:v>
                </c:pt>
                <c:pt idx="283">
                  <c:v>11.67</c:v>
                </c:pt>
                <c:pt idx="284">
                  <c:v>11.67</c:v>
                </c:pt>
                <c:pt idx="285">
                  <c:v>13.42</c:v>
                </c:pt>
                <c:pt idx="286">
                  <c:v>11.67</c:v>
                </c:pt>
                <c:pt idx="287">
                  <c:v>11.67</c:v>
                </c:pt>
                <c:pt idx="288">
                  <c:v>11.67</c:v>
                </c:pt>
                <c:pt idx="289">
                  <c:v>13.42</c:v>
                </c:pt>
                <c:pt idx="290">
                  <c:v>21.67</c:v>
                </c:pt>
                <c:pt idx="291">
                  <c:v>21.67</c:v>
                </c:pt>
                <c:pt idx="292">
                  <c:v>21.67</c:v>
                </c:pt>
                <c:pt idx="293">
                  <c:v>28.42</c:v>
                </c:pt>
                <c:pt idx="294">
                  <c:v>26.67</c:v>
                </c:pt>
                <c:pt idx="295">
                  <c:v>26.67</c:v>
                </c:pt>
                <c:pt idx="296">
                  <c:v>26.67</c:v>
                </c:pt>
                <c:pt idx="297">
                  <c:v>28.42</c:v>
                </c:pt>
                <c:pt idx="298">
                  <c:v>31.67</c:v>
                </c:pt>
                <c:pt idx="299">
                  <c:v>31.67</c:v>
                </c:pt>
                <c:pt idx="300">
                  <c:v>31.67</c:v>
                </c:pt>
                <c:pt idx="301">
                  <c:v>38.42</c:v>
                </c:pt>
                <c:pt idx="302">
                  <c:v>41.67</c:v>
                </c:pt>
                <c:pt idx="303">
                  <c:v>41.67</c:v>
                </c:pt>
                <c:pt idx="304">
                  <c:v>41.67</c:v>
                </c:pt>
                <c:pt idx="305">
                  <c:v>53.42</c:v>
                </c:pt>
                <c:pt idx="306">
                  <c:v>51.67</c:v>
                </c:pt>
                <c:pt idx="307">
                  <c:v>51.67</c:v>
                </c:pt>
                <c:pt idx="308">
                  <c:v>51.67</c:v>
                </c:pt>
                <c:pt idx="309">
                  <c:v>53.42</c:v>
                </c:pt>
                <c:pt idx="310">
                  <c:v>53.42</c:v>
                </c:pt>
              </c:numCache>
            </c:numRef>
          </c:xVal>
          <c:yVal>
            <c:numRef>
              <c:f>Sheet10_HID!$B$1:$B$311</c:f>
              <c:numCache>
                <c:formatCode>General</c:formatCode>
                <c:ptCount val="311"/>
                <c:pt idx="0">
                  <c:v>18.579999999999998</c:v>
                </c:pt>
                <c:pt idx="1">
                  <c:v>18.579999999999998</c:v>
                </c:pt>
                <c:pt idx="2">
                  <c:v>18.579999999999998</c:v>
                </c:pt>
                <c:pt idx="3">
                  <c:v>18.579999999999998</c:v>
                </c:pt>
                <c:pt idx="4">
                  <c:v>28.58</c:v>
                </c:pt>
                <c:pt idx="5">
                  <c:v>26.58</c:v>
                </c:pt>
                <c:pt idx="6">
                  <c:v>17.579999999999998</c:v>
                </c:pt>
                <c:pt idx="7">
                  <c:v>27.58</c:v>
                </c:pt>
                <c:pt idx="8">
                  <c:v>27.58</c:v>
                </c:pt>
                <c:pt idx="9">
                  <c:v>37.58</c:v>
                </c:pt>
                <c:pt idx="10">
                  <c:v>28.58</c:v>
                </c:pt>
                <c:pt idx="11">
                  <c:v>1.83</c:v>
                </c:pt>
                <c:pt idx="12">
                  <c:v>8.83</c:v>
                </c:pt>
                <c:pt idx="13">
                  <c:v>8.83</c:v>
                </c:pt>
                <c:pt idx="14">
                  <c:v>8.83</c:v>
                </c:pt>
                <c:pt idx="15">
                  <c:v>16.829999999999998</c:v>
                </c:pt>
                <c:pt idx="16">
                  <c:v>19.829999999999998</c:v>
                </c:pt>
                <c:pt idx="17">
                  <c:v>18.329999999999998</c:v>
                </c:pt>
                <c:pt idx="18">
                  <c:v>14.83</c:v>
                </c:pt>
                <c:pt idx="19">
                  <c:v>12</c:v>
                </c:pt>
                <c:pt idx="20">
                  <c:v>27</c:v>
                </c:pt>
                <c:pt idx="21">
                  <c:v>42</c:v>
                </c:pt>
                <c:pt idx="22">
                  <c:v>46</c:v>
                </c:pt>
                <c:pt idx="23">
                  <c:v>46</c:v>
                </c:pt>
                <c:pt idx="24">
                  <c:v>57</c:v>
                </c:pt>
                <c:pt idx="25">
                  <c:v>55.75</c:v>
                </c:pt>
                <c:pt idx="26">
                  <c:v>55.75</c:v>
                </c:pt>
                <c:pt idx="27">
                  <c:v>55.75</c:v>
                </c:pt>
                <c:pt idx="28">
                  <c:v>57</c:v>
                </c:pt>
                <c:pt idx="29">
                  <c:v>77</c:v>
                </c:pt>
                <c:pt idx="30">
                  <c:v>76</c:v>
                </c:pt>
                <c:pt idx="31">
                  <c:v>75</c:v>
                </c:pt>
                <c:pt idx="32">
                  <c:v>75</c:v>
                </c:pt>
                <c:pt idx="33">
                  <c:v>36</c:v>
                </c:pt>
                <c:pt idx="34">
                  <c:v>56.42</c:v>
                </c:pt>
                <c:pt idx="35">
                  <c:v>45</c:v>
                </c:pt>
                <c:pt idx="36">
                  <c:v>45.42</c:v>
                </c:pt>
                <c:pt idx="37">
                  <c:v>37</c:v>
                </c:pt>
                <c:pt idx="38">
                  <c:v>8</c:v>
                </c:pt>
                <c:pt idx="39">
                  <c:v>2.83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14.83</c:v>
                </c:pt>
                <c:pt idx="44">
                  <c:v>16.829999999999998</c:v>
                </c:pt>
                <c:pt idx="45">
                  <c:v>16.829999999999998</c:v>
                </c:pt>
                <c:pt idx="46">
                  <c:v>16.829999999999998</c:v>
                </c:pt>
                <c:pt idx="47">
                  <c:v>11</c:v>
                </c:pt>
                <c:pt idx="48">
                  <c:v>42.75</c:v>
                </c:pt>
                <c:pt idx="49">
                  <c:v>43.17</c:v>
                </c:pt>
                <c:pt idx="50">
                  <c:v>43.17</c:v>
                </c:pt>
                <c:pt idx="51">
                  <c:v>42.75</c:v>
                </c:pt>
                <c:pt idx="52">
                  <c:v>42.75</c:v>
                </c:pt>
                <c:pt idx="53">
                  <c:v>31.75</c:v>
                </c:pt>
                <c:pt idx="54">
                  <c:v>31.75</c:v>
                </c:pt>
                <c:pt idx="55">
                  <c:v>31.75</c:v>
                </c:pt>
                <c:pt idx="56">
                  <c:v>36.75</c:v>
                </c:pt>
                <c:pt idx="57">
                  <c:v>44.75</c:v>
                </c:pt>
                <c:pt idx="58">
                  <c:v>36.75</c:v>
                </c:pt>
                <c:pt idx="59">
                  <c:v>55.75</c:v>
                </c:pt>
                <c:pt idx="60">
                  <c:v>40.17</c:v>
                </c:pt>
                <c:pt idx="61">
                  <c:v>56.75</c:v>
                </c:pt>
                <c:pt idx="62">
                  <c:v>26.42</c:v>
                </c:pt>
                <c:pt idx="63">
                  <c:v>66</c:v>
                </c:pt>
                <c:pt idx="64">
                  <c:v>13.33</c:v>
                </c:pt>
                <c:pt idx="65">
                  <c:v>38.75</c:v>
                </c:pt>
                <c:pt idx="66">
                  <c:v>38.75</c:v>
                </c:pt>
                <c:pt idx="67">
                  <c:v>38.75</c:v>
                </c:pt>
                <c:pt idx="68">
                  <c:v>38.75</c:v>
                </c:pt>
                <c:pt idx="69">
                  <c:v>38.75</c:v>
                </c:pt>
                <c:pt idx="70">
                  <c:v>38.75</c:v>
                </c:pt>
                <c:pt idx="71">
                  <c:v>54.75</c:v>
                </c:pt>
                <c:pt idx="72">
                  <c:v>25.75</c:v>
                </c:pt>
                <c:pt idx="73">
                  <c:v>25.75</c:v>
                </c:pt>
                <c:pt idx="74">
                  <c:v>54.75</c:v>
                </c:pt>
                <c:pt idx="75">
                  <c:v>23.75</c:v>
                </c:pt>
                <c:pt idx="76">
                  <c:v>73.08</c:v>
                </c:pt>
                <c:pt idx="77">
                  <c:v>57.75</c:v>
                </c:pt>
                <c:pt idx="78">
                  <c:v>56.75</c:v>
                </c:pt>
                <c:pt idx="79">
                  <c:v>57.75</c:v>
                </c:pt>
                <c:pt idx="80">
                  <c:v>58.17</c:v>
                </c:pt>
                <c:pt idx="81">
                  <c:v>62</c:v>
                </c:pt>
                <c:pt idx="82">
                  <c:v>9.09</c:v>
                </c:pt>
                <c:pt idx="83">
                  <c:v>16.25</c:v>
                </c:pt>
                <c:pt idx="84">
                  <c:v>16.25</c:v>
                </c:pt>
                <c:pt idx="85">
                  <c:v>16.25</c:v>
                </c:pt>
                <c:pt idx="86">
                  <c:v>16.25</c:v>
                </c:pt>
                <c:pt idx="87">
                  <c:v>16.25</c:v>
                </c:pt>
                <c:pt idx="88">
                  <c:v>16.25</c:v>
                </c:pt>
                <c:pt idx="89">
                  <c:v>29.17</c:v>
                </c:pt>
                <c:pt idx="90">
                  <c:v>21.19</c:v>
                </c:pt>
                <c:pt idx="91">
                  <c:v>20.190000000000001</c:v>
                </c:pt>
                <c:pt idx="92">
                  <c:v>20.190000000000001</c:v>
                </c:pt>
                <c:pt idx="93">
                  <c:v>36.19</c:v>
                </c:pt>
                <c:pt idx="94">
                  <c:v>26.19</c:v>
                </c:pt>
                <c:pt idx="95">
                  <c:v>22.19</c:v>
                </c:pt>
                <c:pt idx="96">
                  <c:v>29.51</c:v>
                </c:pt>
                <c:pt idx="97">
                  <c:v>26.51</c:v>
                </c:pt>
                <c:pt idx="98">
                  <c:v>27.09</c:v>
                </c:pt>
                <c:pt idx="99">
                  <c:v>34.51</c:v>
                </c:pt>
                <c:pt idx="100">
                  <c:v>37.090000000000003</c:v>
                </c:pt>
                <c:pt idx="101">
                  <c:v>31.51</c:v>
                </c:pt>
                <c:pt idx="102">
                  <c:v>55.42</c:v>
                </c:pt>
                <c:pt idx="103">
                  <c:v>28.84</c:v>
                </c:pt>
                <c:pt idx="104">
                  <c:v>14.42</c:v>
                </c:pt>
                <c:pt idx="105">
                  <c:v>22.42</c:v>
                </c:pt>
                <c:pt idx="106">
                  <c:v>42.42</c:v>
                </c:pt>
                <c:pt idx="107">
                  <c:v>55.42</c:v>
                </c:pt>
                <c:pt idx="108">
                  <c:v>14.42</c:v>
                </c:pt>
                <c:pt idx="109">
                  <c:v>21.92</c:v>
                </c:pt>
                <c:pt idx="110">
                  <c:v>21.92</c:v>
                </c:pt>
                <c:pt idx="111">
                  <c:v>21.92</c:v>
                </c:pt>
                <c:pt idx="112">
                  <c:v>21.92</c:v>
                </c:pt>
                <c:pt idx="113">
                  <c:v>21.92</c:v>
                </c:pt>
                <c:pt idx="114">
                  <c:v>21.92</c:v>
                </c:pt>
                <c:pt idx="115">
                  <c:v>22.42</c:v>
                </c:pt>
                <c:pt idx="116">
                  <c:v>32.090000000000003</c:v>
                </c:pt>
                <c:pt idx="117">
                  <c:v>32.090000000000003</c:v>
                </c:pt>
                <c:pt idx="118">
                  <c:v>32.090000000000003</c:v>
                </c:pt>
                <c:pt idx="119">
                  <c:v>32.090000000000003</c:v>
                </c:pt>
                <c:pt idx="120">
                  <c:v>32.090000000000003</c:v>
                </c:pt>
                <c:pt idx="121">
                  <c:v>32.090000000000003</c:v>
                </c:pt>
                <c:pt idx="122">
                  <c:v>46.59</c:v>
                </c:pt>
                <c:pt idx="123">
                  <c:v>55.51</c:v>
                </c:pt>
                <c:pt idx="124">
                  <c:v>56.51</c:v>
                </c:pt>
                <c:pt idx="125">
                  <c:v>67.09</c:v>
                </c:pt>
                <c:pt idx="126">
                  <c:v>57.09</c:v>
                </c:pt>
                <c:pt idx="127">
                  <c:v>67.09</c:v>
                </c:pt>
                <c:pt idx="128">
                  <c:v>55.09</c:v>
                </c:pt>
                <c:pt idx="129">
                  <c:v>50.34</c:v>
                </c:pt>
                <c:pt idx="130">
                  <c:v>50.34</c:v>
                </c:pt>
                <c:pt idx="131">
                  <c:v>45.34</c:v>
                </c:pt>
                <c:pt idx="132">
                  <c:v>47.76</c:v>
                </c:pt>
                <c:pt idx="133">
                  <c:v>41.51</c:v>
                </c:pt>
                <c:pt idx="134">
                  <c:v>41.09</c:v>
                </c:pt>
                <c:pt idx="135">
                  <c:v>19.25</c:v>
                </c:pt>
                <c:pt idx="136">
                  <c:v>19.25</c:v>
                </c:pt>
                <c:pt idx="137">
                  <c:v>19.25</c:v>
                </c:pt>
                <c:pt idx="138">
                  <c:v>19.25</c:v>
                </c:pt>
                <c:pt idx="139">
                  <c:v>19.25</c:v>
                </c:pt>
                <c:pt idx="140">
                  <c:v>19.25</c:v>
                </c:pt>
                <c:pt idx="141">
                  <c:v>28.25</c:v>
                </c:pt>
                <c:pt idx="142">
                  <c:v>28.25</c:v>
                </c:pt>
                <c:pt idx="143">
                  <c:v>28.25</c:v>
                </c:pt>
                <c:pt idx="144">
                  <c:v>28.25</c:v>
                </c:pt>
                <c:pt idx="145">
                  <c:v>28.25</c:v>
                </c:pt>
                <c:pt idx="146">
                  <c:v>28.25</c:v>
                </c:pt>
                <c:pt idx="147">
                  <c:v>32.42</c:v>
                </c:pt>
                <c:pt idx="148">
                  <c:v>32.42</c:v>
                </c:pt>
                <c:pt idx="149">
                  <c:v>32.42</c:v>
                </c:pt>
                <c:pt idx="150">
                  <c:v>32.42</c:v>
                </c:pt>
                <c:pt idx="151">
                  <c:v>32.42</c:v>
                </c:pt>
                <c:pt idx="152">
                  <c:v>32.42</c:v>
                </c:pt>
                <c:pt idx="153">
                  <c:v>56.92</c:v>
                </c:pt>
                <c:pt idx="154">
                  <c:v>60.92</c:v>
                </c:pt>
                <c:pt idx="155">
                  <c:v>59.92</c:v>
                </c:pt>
                <c:pt idx="156">
                  <c:v>59.34</c:v>
                </c:pt>
                <c:pt idx="157">
                  <c:v>57.92</c:v>
                </c:pt>
                <c:pt idx="158">
                  <c:v>47.42</c:v>
                </c:pt>
                <c:pt idx="159">
                  <c:v>48.42</c:v>
                </c:pt>
                <c:pt idx="160">
                  <c:v>48.42</c:v>
                </c:pt>
                <c:pt idx="161">
                  <c:v>48.42</c:v>
                </c:pt>
                <c:pt idx="162">
                  <c:v>45.09</c:v>
                </c:pt>
                <c:pt idx="163">
                  <c:v>22.09</c:v>
                </c:pt>
                <c:pt idx="164">
                  <c:v>26.64</c:v>
                </c:pt>
                <c:pt idx="165">
                  <c:v>26.64</c:v>
                </c:pt>
                <c:pt idx="166">
                  <c:v>26.64</c:v>
                </c:pt>
                <c:pt idx="167">
                  <c:v>22.09</c:v>
                </c:pt>
                <c:pt idx="168">
                  <c:v>29.34</c:v>
                </c:pt>
                <c:pt idx="169">
                  <c:v>29.34</c:v>
                </c:pt>
                <c:pt idx="170">
                  <c:v>29.34</c:v>
                </c:pt>
                <c:pt idx="171">
                  <c:v>37.090000000000003</c:v>
                </c:pt>
                <c:pt idx="172">
                  <c:v>34.340000000000003</c:v>
                </c:pt>
                <c:pt idx="173">
                  <c:v>35.340000000000003</c:v>
                </c:pt>
                <c:pt idx="174">
                  <c:v>29.34</c:v>
                </c:pt>
                <c:pt idx="175">
                  <c:v>59.09</c:v>
                </c:pt>
                <c:pt idx="176">
                  <c:v>61.34</c:v>
                </c:pt>
                <c:pt idx="177">
                  <c:v>60.34</c:v>
                </c:pt>
                <c:pt idx="178">
                  <c:v>61.34</c:v>
                </c:pt>
                <c:pt idx="179">
                  <c:v>49.09</c:v>
                </c:pt>
                <c:pt idx="180">
                  <c:v>11.59</c:v>
                </c:pt>
                <c:pt idx="181">
                  <c:v>14.09</c:v>
                </c:pt>
                <c:pt idx="182">
                  <c:v>26.5</c:v>
                </c:pt>
                <c:pt idx="183">
                  <c:v>24.5</c:v>
                </c:pt>
                <c:pt idx="184">
                  <c:v>33.92</c:v>
                </c:pt>
                <c:pt idx="185">
                  <c:v>32.92</c:v>
                </c:pt>
                <c:pt idx="186">
                  <c:v>16.09</c:v>
                </c:pt>
                <c:pt idx="187">
                  <c:v>18.510000000000002</c:v>
                </c:pt>
                <c:pt idx="188">
                  <c:v>28.09</c:v>
                </c:pt>
                <c:pt idx="189">
                  <c:v>29.09</c:v>
                </c:pt>
                <c:pt idx="190">
                  <c:v>29.09</c:v>
                </c:pt>
                <c:pt idx="191">
                  <c:v>14.09</c:v>
                </c:pt>
                <c:pt idx="192">
                  <c:v>14.09</c:v>
                </c:pt>
                <c:pt idx="193">
                  <c:v>14.09</c:v>
                </c:pt>
                <c:pt idx="194">
                  <c:v>14.09</c:v>
                </c:pt>
                <c:pt idx="195">
                  <c:v>14.09</c:v>
                </c:pt>
                <c:pt idx="196">
                  <c:v>23.25</c:v>
                </c:pt>
                <c:pt idx="197">
                  <c:v>23.25</c:v>
                </c:pt>
                <c:pt idx="198">
                  <c:v>23.25</c:v>
                </c:pt>
                <c:pt idx="199">
                  <c:v>23.25</c:v>
                </c:pt>
                <c:pt idx="200">
                  <c:v>23.25</c:v>
                </c:pt>
                <c:pt idx="201">
                  <c:v>26.25</c:v>
                </c:pt>
                <c:pt idx="202">
                  <c:v>29.25</c:v>
                </c:pt>
                <c:pt idx="203">
                  <c:v>31.25</c:v>
                </c:pt>
                <c:pt idx="204">
                  <c:v>30.25</c:v>
                </c:pt>
                <c:pt idx="205">
                  <c:v>31.25</c:v>
                </c:pt>
                <c:pt idx="206">
                  <c:v>31.25</c:v>
                </c:pt>
                <c:pt idx="207">
                  <c:v>32.25</c:v>
                </c:pt>
                <c:pt idx="208">
                  <c:v>31.25</c:v>
                </c:pt>
                <c:pt idx="209">
                  <c:v>32.25</c:v>
                </c:pt>
                <c:pt idx="210">
                  <c:v>31.25</c:v>
                </c:pt>
                <c:pt idx="211">
                  <c:v>32.25</c:v>
                </c:pt>
                <c:pt idx="212">
                  <c:v>31.25</c:v>
                </c:pt>
                <c:pt idx="213">
                  <c:v>29.25</c:v>
                </c:pt>
                <c:pt idx="214">
                  <c:v>61.5</c:v>
                </c:pt>
                <c:pt idx="215">
                  <c:v>61.5</c:v>
                </c:pt>
                <c:pt idx="216">
                  <c:v>58.5</c:v>
                </c:pt>
                <c:pt idx="217">
                  <c:v>57.92</c:v>
                </c:pt>
                <c:pt idx="218">
                  <c:v>57.5</c:v>
                </c:pt>
                <c:pt idx="219">
                  <c:v>51.5</c:v>
                </c:pt>
                <c:pt idx="220">
                  <c:v>51.5</c:v>
                </c:pt>
                <c:pt idx="221">
                  <c:v>49.5</c:v>
                </c:pt>
                <c:pt idx="222">
                  <c:v>48.5</c:v>
                </c:pt>
                <c:pt idx="223">
                  <c:v>49.09</c:v>
                </c:pt>
                <c:pt idx="224">
                  <c:v>52.09</c:v>
                </c:pt>
                <c:pt idx="225">
                  <c:v>23.25</c:v>
                </c:pt>
                <c:pt idx="226">
                  <c:v>21.25</c:v>
                </c:pt>
                <c:pt idx="227">
                  <c:v>22.5</c:v>
                </c:pt>
                <c:pt idx="228">
                  <c:v>22.5</c:v>
                </c:pt>
                <c:pt idx="229">
                  <c:v>27.5</c:v>
                </c:pt>
                <c:pt idx="230">
                  <c:v>25.92</c:v>
                </c:pt>
                <c:pt idx="231">
                  <c:v>37.25</c:v>
                </c:pt>
                <c:pt idx="232">
                  <c:v>22.92</c:v>
                </c:pt>
                <c:pt idx="233">
                  <c:v>26.92</c:v>
                </c:pt>
                <c:pt idx="234">
                  <c:v>21.5</c:v>
                </c:pt>
                <c:pt idx="235">
                  <c:v>22.5</c:v>
                </c:pt>
                <c:pt idx="236">
                  <c:v>33.5</c:v>
                </c:pt>
                <c:pt idx="237">
                  <c:v>33.5</c:v>
                </c:pt>
                <c:pt idx="238">
                  <c:v>31.5</c:v>
                </c:pt>
                <c:pt idx="239">
                  <c:v>32.5</c:v>
                </c:pt>
                <c:pt idx="240">
                  <c:v>14.5</c:v>
                </c:pt>
                <c:pt idx="241">
                  <c:v>17.5</c:v>
                </c:pt>
                <c:pt idx="242">
                  <c:v>14.5</c:v>
                </c:pt>
                <c:pt idx="243">
                  <c:v>14.5</c:v>
                </c:pt>
                <c:pt idx="244">
                  <c:v>17.5</c:v>
                </c:pt>
                <c:pt idx="245">
                  <c:v>17.5</c:v>
                </c:pt>
                <c:pt idx="246">
                  <c:v>17.5</c:v>
                </c:pt>
                <c:pt idx="247">
                  <c:v>17.5</c:v>
                </c:pt>
                <c:pt idx="248">
                  <c:v>26.5</c:v>
                </c:pt>
                <c:pt idx="249">
                  <c:v>31.5</c:v>
                </c:pt>
                <c:pt idx="250">
                  <c:v>28.5</c:v>
                </c:pt>
                <c:pt idx="251">
                  <c:v>26.5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29.92</c:v>
                </c:pt>
                <c:pt idx="257">
                  <c:v>30.92</c:v>
                </c:pt>
                <c:pt idx="258">
                  <c:v>31.5</c:v>
                </c:pt>
                <c:pt idx="259">
                  <c:v>34.5</c:v>
                </c:pt>
                <c:pt idx="260">
                  <c:v>66.5</c:v>
                </c:pt>
                <c:pt idx="261">
                  <c:v>69.5</c:v>
                </c:pt>
                <c:pt idx="262">
                  <c:v>68.5</c:v>
                </c:pt>
                <c:pt idx="263">
                  <c:v>66.5</c:v>
                </c:pt>
                <c:pt idx="264">
                  <c:v>53.34</c:v>
                </c:pt>
                <c:pt idx="265">
                  <c:v>54.34</c:v>
                </c:pt>
                <c:pt idx="266">
                  <c:v>61.76</c:v>
                </c:pt>
                <c:pt idx="267">
                  <c:v>51.34</c:v>
                </c:pt>
                <c:pt idx="268">
                  <c:v>52.09</c:v>
                </c:pt>
                <c:pt idx="269">
                  <c:v>52.09</c:v>
                </c:pt>
                <c:pt idx="270">
                  <c:v>52.09</c:v>
                </c:pt>
                <c:pt idx="271">
                  <c:v>38.25</c:v>
                </c:pt>
                <c:pt idx="272">
                  <c:v>43.25</c:v>
                </c:pt>
                <c:pt idx="273">
                  <c:v>50.25</c:v>
                </c:pt>
                <c:pt idx="274">
                  <c:v>29.5</c:v>
                </c:pt>
                <c:pt idx="275">
                  <c:v>29.5</c:v>
                </c:pt>
                <c:pt idx="276">
                  <c:v>38</c:v>
                </c:pt>
                <c:pt idx="277">
                  <c:v>31.69</c:v>
                </c:pt>
                <c:pt idx="278">
                  <c:v>27.34</c:v>
                </c:pt>
                <c:pt idx="279">
                  <c:v>32.340000000000003</c:v>
                </c:pt>
                <c:pt idx="280">
                  <c:v>26.76</c:v>
                </c:pt>
                <c:pt idx="281">
                  <c:v>10.51</c:v>
                </c:pt>
                <c:pt idx="282">
                  <c:v>18.34</c:v>
                </c:pt>
                <c:pt idx="283">
                  <c:v>18.34</c:v>
                </c:pt>
                <c:pt idx="284">
                  <c:v>18.34</c:v>
                </c:pt>
                <c:pt idx="285">
                  <c:v>8.09</c:v>
                </c:pt>
                <c:pt idx="286">
                  <c:v>22.34</c:v>
                </c:pt>
                <c:pt idx="287">
                  <c:v>21.34</c:v>
                </c:pt>
                <c:pt idx="288">
                  <c:v>21.34</c:v>
                </c:pt>
                <c:pt idx="289">
                  <c:v>16.09</c:v>
                </c:pt>
                <c:pt idx="290">
                  <c:v>29.34</c:v>
                </c:pt>
                <c:pt idx="291">
                  <c:v>30.34</c:v>
                </c:pt>
                <c:pt idx="292">
                  <c:v>30.34</c:v>
                </c:pt>
                <c:pt idx="293">
                  <c:v>31.09</c:v>
                </c:pt>
                <c:pt idx="294">
                  <c:v>24.34</c:v>
                </c:pt>
                <c:pt idx="295">
                  <c:v>35.340000000000003</c:v>
                </c:pt>
                <c:pt idx="296">
                  <c:v>35.340000000000003</c:v>
                </c:pt>
                <c:pt idx="297">
                  <c:v>37.090000000000003</c:v>
                </c:pt>
                <c:pt idx="298">
                  <c:v>37.340000000000003</c:v>
                </c:pt>
                <c:pt idx="299">
                  <c:v>37.340000000000003</c:v>
                </c:pt>
                <c:pt idx="300">
                  <c:v>39.76</c:v>
                </c:pt>
                <c:pt idx="301">
                  <c:v>63.09</c:v>
                </c:pt>
                <c:pt idx="302">
                  <c:v>67.34</c:v>
                </c:pt>
                <c:pt idx="303">
                  <c:v>67.34</c:v>
                </c:pt>
                <c:pt idx="304">
                  <c:v>67.34</c:v>
                </c:pt>
                <c:pt idx="305">
                  <c:v>64.09</c:v>
                </c:pt>
                <c:pt idx="306">
                  <c:v>51.34</c:v>
                </c:pt>
                <c:pt idx="307">
                  <c:v>50.76</c:v>
                </c:pt>
                <c:pt idx="308">
                  <c:v>46.34</c:v>
                </c:pt>
                <c:pt idx="309">
                  <c:v>50.09</c:v>
                </c:pt>
                <c:pt idx="310">
                  <c:v>49.09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D-4820-9118-9A13002E7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51488"/>
        <c:axId val="220979200"/>
      </c:scatterChart>
      <c:valAx>
        <c:axId val="141551488"/>
        <c:scaling>
          <c:orientation val="maxMin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Estimated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20979200"/>
        <c:crosses val="autoZero"/>
        <c:crossBetween val="midCat"/>
      </c:valAx>
      <c:valAx>
        <c:axId val="220979200"/>
        <c:scaling>
          <c:orientation val="minMax"/>
          <c:max val="8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155148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Actual Pile Length (ft.) / Standardized coefficients
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3E2-4DBC-AF45-2333C11529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6.7618143029185784E-2</c:v>
                </c:pt>
              </c:numLit>
            </c:plus>
            <c:minus>
              <c:numLit>
                <c:formatCode>General</c:formatCode>
                <c:ptCount val="1"/>
                <c:pt idx="0">
                  <c:v>6.7618143029185784E-2</c:v>
                </c:pt>
              </c:numLit>
            </c:minus>
          </c:errBars>
          <c:cat>
            <c:strRef>
              <c:f>'Linear Regression Output 4'!$A$68</c:f>
              <c:strCache>
                <c:ptCount val="1"/>
                <c:pt idx="0">
                  <c:v>Estimated Pile Length (ft.)</c:v>
                </c:pt>
              </c:strCache>
            </c:strRef>
          </c:cat>
          <c:val>
            <c:numRef>
              <c:f>'Linear Regression Output 4'!$B$68</c:f>
              <c:numCache>
                <c:formatCode>0.000</c:formatCode>
                <c:ptCount val="1"/>
                <c:pt idx="0">
                  <c:v>0.79692835975604703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E2-4DBC-AF45-2333C1152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67631872"/>
        <c:axId val="167634048"/>
      </c:barChart>
      <c:catAx>
        <c:axId val="167631872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67634048"/>
        <c:crosses val="autoZero"/>
        <c:auto val="1"/>
        <c:lblAlgn val="ctr"/>
        <c:lblOffset val="100"/>
        <c:noMultiLvlLbl val="0"/>
      </c:catAx>
      <c:valAx>
        <c:axId val="16763404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67631872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Regression of Actual Pile Length (ft.) by Estimated Pile Length (ft.) (R²=0.635)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4'!$C$94:$C$404</c:f>
              <c:numCache>
                <c:formatCode>0.000</c:formatCode>
                <c:ptCount val="311"/>
                <c:pt idx="0">
                  <c:v>10.58</c:v>
                </c:pt>
                <c:pt idx="1">
                  <c:v>10.58</c:v>
                </c:pt>
                <c:pt idx="2">
                  <c:v>10.58</c:v>
                </c:pt>
                <c:pt idx="3">
                  <c:v>10.58</c:v>
                </c:pt>
                <c:pt idx="4">
                  <c:v>10.58</c:v>
                </c:pt>
                <c:pt idx="5">
                  <c:v>10.58</c:v>
                </c:pt>
                <c:pt idx="6">
                  <c:v>10.58</c:v>
                </c:pt>
                <c:pt idx="7">
                  <c:v>10.58</c:v>
                </c:pt>
                <c:pt idx="8">
                  <c:v>10.58</c:v>
                </c:pt>
                <c:pt idx="9">
                  <c:v>10.58</c:v>
                </c:pt>
                <c:pt idx="10">
                  <c:v>10.58</c:v>
                </c:pt>
                <c:pt idx="11">
                  <c:v>5.83</c:v>
                </c:pt>
                <c:pt idx="12">
                  <c:v>5.83</c:v>
                </c:pt>
                <c:pt idx="13">
                  <c:v>5.83</c:v>
                </c:pt>
                <c:pt idx="14">
                  <c:v>5.83</c:v>
                </c:pt>
                <c:pt idx="15">
                  <c:v>10.83</c:v>
                </c:pt>
                <c:pt idx="16">
                  <c:v>10.83</c:v>
                </c:pt>
                <c:pt idx="17">
                  <c:v>10.83</c:v>
                </c:pt>
                <c:pt idx="18">
                  <c:v>10.83</c:v>
                </c:pt>
                <c:pt idx="19">
                  <c:v>21.33</c:v>
                </c:pt>
                <c:pt idx="20">
                  <c:v>16.329999999999998</c:v>
                </c:pt>
                <c:pt idx="21">
                  <c:v>21.33</c:v>
                </c:pt>
                <c:pt idx="22">
                  <c:v>21.33</c:v>
                </c:pt>
                <c:pt idx="23">
                  <c:v>21.33</c:v>
                </c:pt>
                <c:pt idx="24">
                  <c:v>31.33</c:v>
                </c:pt>
                <c:pt idx="25">
                  <c:v>41.08</c:v>
                </c:pt>
                <c:pt idx="26">
                  <c:v>41.08</c:v>
                </c:pt>
                <c:pt idx="27">
                  <c:v>41.08</c:v>
                </c:pt>
                <c:pt idx="28">
                  <c:v>46.33</c:v>
                </c:pt>
                <c:pt idx="29">
                  <c:v>61.33</c:v>
                </c:pt>
                <c:pt idx="30">
                  <c:v>61.33</c:v>
                </c:pt>
                <c:pt idx="31">
                  <c:v>61.33</c:v>
                </c:pt>
                <c:pt idx="32">
                  <c:v>61.33</c:v>
                </c:pt>
                <c:pt idx="33">
                  <c:v>61.33</c:v>
                </c:pt>
                <c:pt idx="34">
                  <c:v>61.33</c:v>
                </c:pt>
                <c:pt idx="35">
                  <c:v>61.33</c:v>
                </c:pt>
                <c:pt idx="36">
                  <c:v>61.33</c:v>
                </c:pt>
                <c:pt idx="37">
                  <c:v>61.33</c:v>
                </c:pt>
                <c:pt idx="38">
                  <c:v>11.33</c:v>
                </c:pt>
                <c:pt idx="39">
                  <c:v>5.83</c:v>
                </c:pt>
                <c:pt idx="40">
                  <c:v>5.83</c:v>
                </c:pt>
                <c:pt idx="41">
                  <c:v>5.83</c:v>
                </c:pt>
                <c:pt idx="42">
                  <c:v>5.83</c:v>
                </c:pt>
                <c:pt idx="43">
                  <c:v>15.83</c:v>
                </c:pt>
                <c:pt idx="44">
                  <c:v>15.83</c:v>
                </c:pt>
                <c:pt idx="45">
                  <c:v>15.83</c:v>
                </c:pt>
                <c:pt idx="46">
                  <c:v>15.83</c:v>
                </c:pt>
                <c:pt idx="47">
                  <c:v>11.33</c:v>
                </c:pt>
                <c:pt idx="48">
                  <c:v>21.08</c:v>
                </c:pt>
                <c:pt idx="49">
                  <c:v>21.08</c:v>
                </c:pt>
                <c:pt idx="50">
                  <c:v>21.08</c:v>
                </c:pt>
                <c:pt idx="51">
                  <c:v>21.08</c:v>
                </c:pt>
                <c:pt idx="52">
                  <c:v>21.08</c:v>
                </c:pt>
                <c:pt idx="53">
                  <c:v>41.08</c:v>
                </c:pt>
                <c:pt idx="54">
                  <c:v>41.08</c:v>
                </c:pt>
                <c:pt idx="55">
                  <c:v>41.08</c:v>
                </c:pt>
                <c:pt idx="56">
                  <c:v>41.08</c:v>
                </c:pt>
                <c:pt idx="57">
                  <c:v>41.08</c:v>
                </c:pt>
                <c:pt idx="58">
                  <c:v>61.08</c:v>
                </c:pt>
                <c:pt idx="59">
                  <c:v>61.08</c:v>
                </c:pt>
                <c:pt idx="60">
                  <c:v>61.08</c:v>
                </c:pt>
                <c:pt idx="61">
                  <c:v>61.08</c:v>
                </c:pt>
                <c:pt idx="62">
                  <c:v>61.33</c:v>
                </c:pt>
                <c:pt idx="63">
                  <c:v>61.33</c:v>
                </c:pt>
                <c:pt idx="64">
                  <c:v>11.33</c:v>
                </c:pt>
                <c:pt idx="65">
                  <c:v>20.079999999999998</c:v>
                </c:pt>
                <c:pt idx="66">
                  <c:v>20.079999999999998</c:v>
                </c:pt>
                <c:pt idx="67">
                  <c:v>20.079999999999998</c:v>
                </c:pt>
                <c:pt idx="68">
                  <c:v>20.079999999999998</c:v>
                </c:pt>
                <c:pt idx="69">
                  <c:v>20.079999999999998</c:v>
                </c:pt>
                <c:pt idx="70">
                  <c:v>20.05</c:v>
                </c:pt>
                <c:pt idx="71">
                  <c:v>40.08</c:v>
                </c:pt>
                <c:pt idx="72">
                  <c:v>40.08</c:v>
                </c:pt>
                <c:pt idx="73">
                  <c:v>40.08</c:v>
                </c:pt>
                <c:pt idx="74">
                  <c:v>40.08</c:v>
                </c:pt>
                <c:pt idx="75">
                  <c:v>40.08</c:v>
                </c:pt>
                <c:pt idx="76">
                  <c:v>40.08</c:v>
                </c:pt>
                <c:pt idx="77">
                  <c:v>60.08</c:v>
                </c:pt>
                <c:pt idx="78">
                  <c:v>60.08</c:v>
                </c:pt>
                <c:pt idx="79">
                  <c:v>60.08</c:v>
                </c:pt>
                <c:pt idx="80">
                  <c:v>60.08</c:v>
                </c:pt>
                <c:pt idx="81">
                  <c:v>61.33</c:v>
                </c:pt>
                <c:pt idx="82">
                  <c:v>8.42</c:v>
                </c:pt>
                <c:pt idx="83">
                  <c:v>20.58</c:v>
                </c:pt>
                <c:pt idx="84">
                  <c:v>20.58</c:v>
                </c:pt>
                <c:pt idx="85">
                  <c:v>20.55</c:v>
                </c:pt>
                <c:pt idx="86">
                  <c:v>20.58</c:v>
                </c:pt>
                <c:pt idx="87">
                  <c:v>20.58</c:v>
                </c:pt>
                <c:pt idx="88">
                  <c:v>20.55</c:v>
                </c:pt>
                <c:pt idx="89">
                  <c:v>23.5</c:v>
                </c:pt>
                <c:pt idx="90">
                  <c:v>20.52</c:v>
                </c:pt>
                <c:pt idx="91">
                  <c:v>20.52</c:v>
                </c:pt>
                <c:pt idx="92">
                  <c:v>20.52</c:v>
                </c:pt>
                <c:pt idx="93">
                  <c:v>20.52</c:v>
                </c:pt>
                <c:pt idx="94">
                  <c:v>20.52</c:v>
                </c:pt>
                <c:pt idx="95">
                  <c:v>20.52</c:v>
                </c:pt>
                <c:pt idx="96">
                  <c:v>38.42</c:v>
                </c:pt>
                <c:pt idx="97">
                  <c:v>35.83</c:v>
                </c:pt>
                <c:pt idx="98">
                  <c:v>35.83</c:v>
                </c:pt>
                <c:pt idx="99">
                  <c:v>35.83</c:v>
                </c:pt>
                <c:pt idx="100">
                  <c:v>35.83</c:v>
                </c:pt>
                <c:pt idx="101">
                  <c:v>35.83</c:v>
                </c:pt>
                <c:pt idx="102">
                  <c:v>34.75</c:v>
                </c:pt>
                <c:pt idx="103">
                  <c:v>34.75</c:v>
                </c:pt>
                <c:pt idx="104">
                  <c:v>4.75</c:v>
                </c:pt>
                <c:pt idx="105">
                  <c:v>19.75</c:v>
                </c:pt>
                <c:pt idx="106">
                  <c:v>34.75</c:v>
                </c:pt>
                <c:pt idx="107">
                  <c:v>34.75</c:v>
                </c:pt>
                <c:pt idx="108">
                  <c:v>4.75</c:v>
                </c:pt>
                <c:pt idx="109">
                  <c:v>17.25</c:v>
                </c:pt>
                <c:pt idx="110">
                  <c:v>17.25</c:v>
                </c:pt>
                <c:pt idx="111">
                  <c:v>17.25</c:v>
                </c:pt>
                <c:pt idx="112">
                  <c:v>17.25</c:v>
                </c:pt>
                <c:pt idx="113">
                  <c:v>17.25</c:v>
                </c:pt>
                <c:pt idx="114">
                  <c:v>17.25</c:v>
                </c:pt>
                <c:pt idx="115">
                  <c:v>19.75</c:v>
                </c:pt>
                <c:pt idx="116">
                  <c:v>28.42</c:v>
                </c:pt>
                <c:pt idx="117">
                  <c:v>28.42</c:v>
                </c:pt>
                <c:pt idx="118">
                  <c:v>28.42</c:v>
                </c:pt>
                <c:pt idx="119">
                  <c:v>28.42</c:v>
                </c:pt>
                <c:pt idx="120">
                  <c:v>28.42</c:v>
                </c:pt>
                <c:pt idx="121">
                  <c:v>28.42</c:v>
                </c:pt>
                <c:pt idx="122">
                  <c:v>35.92</c:v>
                </c:pt>
                <c:pt idx="123">
                  <c:v>40.53</c:v>
                </c:pt>
                <c:pt idx="124">
                  <c:v>40.83</c:v>
                </c:pt>
                <c:pt idx="125">
                  <c:v>40.83</c:v>
                </c:pt>
                <c:pt idx="126">
                  <c:v>40.83</c:v>
                </c:pt>
                <c:pt idx="127">
                  <c:v>40.83</c:v>
                </c:pt>
                <c:pt idx="128">
                  <c:v>53.42</c:v>
                </c:pt>
                <c:pt idx="129">
                  <c:v>50.83</c:v>
                </c:pt>
                <c:pt idx="130">
                  <c:v>50.83</c:v>
                </c:pt>
                <c:pt idx="131">
                  <c:v>50.83</c:v>
                </c:pt>
                <c:pt idx="132">
                  <c:v>50.83</c:v>
                </c:pt>
                <c:pt idx="133">
                  <c:v>53.42</c:v>
                </c:pt>
                <c:pt idx="134">
                  <c:v>53.42</c:v>
                </c:pt>
                <c:pt idx="135">
                  <c:v>5.58</c:v>
                </c:pt>
                <c:pt idx="136">
                  <c:v>5.58</c:v>
                </c:pt>
                <c:pt idx="137">
                  <c:v>5.58</c:v>
                </c:pt>
                <c:pt idx="138">
                  <c:v>6.58</c:v>
                </c:pt>
                <c:pt idx="139">
                  <c:v>5.58</c:v>
                </c:pt>
                <c:pt idx="140">
                  <c:v>5.58</c:v>
                </c:pt>
                <c:pt idx="141">
                  <c:v>20.58</c:v>
                </c:pt>
                <c:pt idx="142">
                  <c:v>20.58</c:v>
                </c:pt>
                <c:pt idx="143">
                  <c:v>20.55</c:v>
                </c:pt>
                <c:pt idx="144">
                  <c:v>20.58</c:v>
                </c:pt>
                <c:pt idx="145">
                  <c:v>20.58</c:v>
                </c:pt>
                <c:pt idx="146">
                  <c:v>20.58</c:v>
                </c:pt>
                <c:pt idx="147">
                  <c:v>28.75</c:v>
                </c:pt>
                <c:pt idx="148">
                  <c:v>28.75</c:v>
                </c:pt>
                <c:pt idx="149">
                  <c:v>28.75</c:v>
                </c:pt>
                <c:pt idx="150">
                  <c:v>28.75</c:v>
                </c:pt>
                <c:pt idx="151">
                  <c:v>28.75</c:v>
                </c:pt>
                <c:pt idx="152">
                  <c:v>28.75</c:v>
                </c:pt>
                <c:pt idx="153">
                  <c:v>39.25</c:v>
                </c:pt>
                <c:pt idx="154">
                  <c:v>39.25</c:v>
                </c:pt>
                <c:pt idx="155">
                  <c:v>39.25</c:v>
                </c:pt>
                <c:pt idx="156">
                  <c:v>39.25</c:v>
                </c:pt>
                <c:pt idx="157">
                  <c:v>39.25</c:v>
                </c:pt>
                <c:pt idx="158">
                  <c:v>49.75</c:v>
                </c:pt>
                <c:pt idx="159">
                  <c:v>49.75</c:v>
                </c:pt>
                <c:pt idx="160">
                  <c:v>49.75</c:v>
                </c:pt>
                <c:pt idx="161">
                  <c:v>49.75</c:v>
                </c:pt>
                <c:pt idx="162">
                  <c:v>53.42</c:v>
                </c:pt>
                <c:pt idx="163">
                  <c:v>13.42</c:v>
                </c:pt>
                <c:pt idx="164">
                  <c:v>6.97</c:v>
                </c:pt>
                <c:pt idx="165">
                  <c:v>6.97</c:v>
                </c:pt>
                <c:pt idx="166">
                  <c:v>6.97</c:v>
                </c:pt>
                <c:pt idx="167">
                  <c:v>8.42</c:v>
                </c:pt>
                <c:pt idx="168">
                  <c:v>21.67</c:v>
                </c:pt>
                <c:pt idx="169">
                  <c:v>21.67</c:v>
                </c:pt>
                <c:pt idx="170">
                  <c:v>21.67</c:v>
                </c:pt>
                <c:pt idx="171">
                  <c:v>28.42</c:v>
                </c:pt>
                <c:pt idx="172">
                  <c:v>31.67</c:v>
                </c:pt>
                <c:pt idx="173">
                  <c:v>31.67</c:v>
                </c:pt>
                <c:pt idx="174">
                  <c:v>31.67</c:v>
                </c:pt>
                <c:pt idx="175">
                  <c:v>38.42</c:v>
                </c:pt>
                <c:pt idx="176">
                  <c:v>41.67</c:v>
                </c:pt>
                <c:pt idx="177">
                  <c:v>41.67</c:v>
                </c:pt>
                <c:pt idx="178">
                  <c:v>41.67</c:v>
                </c:pt>
                <c:pt idx="179">
                  <c:v>53.42</c:v>
                </c:pt>
                <c:pt idx="180">
                  <c:v>13.42</c:v>
                </c:pt>
                <c:pt idx="181">
                  <c:v>13.42</c:v>
                </c:pt>
                <c:pt idx="182">
                  <c:v>10.83</c:v>
                </c:pt>
                <c:pt idx="183">
                  <c:v>10.83</c:v>
                </c:pt>
                <c:pt idx="184">
                  <c:v>10.83</c:v>
                </c:pt>
                <c:pt idx="185">
                  <c:v>10.83</c:v>
                </c:pt>
                <c:pt idx="186">
                  <c:v>10.83</c:v>
                </c:pt>
                <c:pt idx="187">
                  <c:v>15.42</c:v>
                </c:pt>
                <c:pt idx="188">
                  <c:v>15.42</c:v>
                </c:pt>
                <c:pt idx="189">
                  <c:v>15.42</c:v>
                </c:pt>
                <c:pt idx="190">
                  <c:v>15.42</c:v>
                </c:pt>
                <c:pt idx="191">
                  <c:v>9.42</c:v>
                </c:pt>
                <c:pt idx="192">
                  <c:v>9.42</c:v>
                </c:pt>
                <c:pt idx="193">
                  <c:v>9.42</c:v>
                </c:pt>
                <c:pt idx="194">
                  <c:v>9.42</c:v>
                </c:pt>
                <c:pt idx="195">
                  <c:v>9.42</c:v>
                </c:pt>
                <c:pt idx="196">
                  <c:v>10.58</c:v>
                </c:pt>
                <c:pt idx="197">
                  <c:v>10.58</c:v>
                </c:pt>
                <c:pt idx="198">
                  <c:v>10.55</c:v>
                </c:pt>
                <c:pt idx="199">
                  <c:v>10.58</c:v>
                </c:pt>
                <c:pt idx="200">
                  <c:v>10.58</c:v>
                </c:pt>
                <c:pt idx="201">
                  <c:v>10.55</c:v>
                </c:pt>
                <c:pt idx="202">
                  <c:v>20.55</c:v>
                </c:pt>
                <c:pt idx="203">
                  <c:v>20.55</c:v>
                </c:pt>
                <c:pt idx="204">
                  <c:v>20.58</c:v>
                </c:pt>
                <c:pt idx="205">
                  <c:v>20.55</c:v>
                </c:pt>
                <c:pt idx="206">
                  <c:v>20.58</c:v>
                </c:pt>
                <c:pt idx="207">
                  <c:v>20.55</c:v>
                </c:pt>
                <c:pt idx="208">
                  <c:v>30.58</c:v>
                </c:pt>
                <c:pt idx="209">
                  <c:v>30.55</c:v>
                </c:pt>
                <c:pt idx="210">
                  <c:v>30.58</c:v>
                </c:pt>
                <c:pt idx="211">
                  <c:v>30.58</c:v>
                </c:pt>
                <c:pt idx="212">
                  <c:v>30.58</c:v>
                </c:pt>
                <c:pt idx="213">
                  <c:v>30.55</c:v>
                </c:pt>
                <c:pt idx="214">
                  <c:v>40.83</c:v>
                </c:pt>
                <c:pt idx="215">
                  <c:v>40.83</c:v>
                </c:pt>
                <c:pt idx="216">
                  <c:v>40.83</c:v>
                </c:pt>
                <c:pt idx="217">
                  <c:v>40.83</c:v>
                </c:pt>
                <c:pt idx="218">
                  <c:v>40.83</c:v>
                </c:pt>
                <c:pt idx="219">
                  <c:v>50.83</c:v>
                </c:pt>
                <c:pt idx="220">
                  <c:v>50.83</c:v>
                </c:pt>
                <c:pt idx="221">
                  <c:v>50.83</c:v>
                </c:pt>
                <c:pt idx="222">
                  <c:v>50.83</c:v>
                </c:pt>
                <c:pt idx="223">
                  <c:v>63.42</c:v>
                </c:pt>
                <c:pt idx="224">
                  <c:v>53.42</c:v>
                </c:pt>
                <c:pt idx="225">
                  <c:v>22.58</c:v>
                </c:pt>
                <c:pt idx="226">
                  <c:v>22.58</c:v>
                </c:pt>
                <c:pt idx="227">
                  <c:v>20.83</c:v>
                </c:pt>
                <c:pt idx="228">
                  <c:v>20.83</c:v>
                </c:pt>
                <c:pt idx="229">
                  <c:v>20.83</c:v>
                </c:pt>
                <c:pt idx="230">
                  <c:v>20.83</c:v>
                </c:pt>
                <c:pt idx="231">
                  <c:v>22.68</c:v>
                </c:pt>
                <c:pt idx="232">
                  <c:v>20.83</c:v>
                </c:pt>
                <c:pt idx="233">
                  <c:v>20.83</c:v>
                </c:pt>
                <c:pt idx="234">
                  <c:v>20.83</c:v>
                </c:pt>
                <c:pt idx="235">
                  <c:v>20.83</c:v>
                </c:pt>
                <c:pt idx="236">
                  <c:v>24.83</c:v>
                </c:pt>
                <c:pt idx="237">
                  <c:v>24.83</c:v>
                </c:pt>
                <c:pt idx="238">
                  <c:v>24.83</c:v>
                </c:pt>
                <c:pt idx="239">
                  <c:v>24.83</c:v>
                </c:pt>
                <c:pt idx="240">
                  <c:v>10.83</c:v>
                </c:pt>
                <c:pt idx="241">
                  <c:v>10.83</c:v>
                </c:pt>
                <c:pt idx="242">
                  <c:v>10.83</c:v>
                </c:pt>
                <c:pt idx="243">
                  <c:v>10.83</c:v>
                </c:pt>
                <c:pt idx="244">
                  <c:v>11.67</c:v>
                </c:pt>
                <c:pt idx="245">
                  <c:v>11.67</c:v>
                </c:pt>
                <c:pt idx="246">
                  <c:v>11.67</c:v>
                </c:pt>
                <c:pt idx="247">
                  <c:v>11.67</c:v>
                </c:pt>
                <c:pt idx="248">
                  <c:v>20.83</c:v>
                </c:pt>
                <c:pt idx="249">
                  <c:v>20.83</c:v>
                </c:pt>
                <c:pt idx="250">
                  <c:v>20.83</c:v>
                </c:pt>
                <c:pt idx="251">
                  <c:v>20.83</c:v>
                </c:pt>
                <c:pt idx="252">
                  <c:v>25.83</c:v>
                </c:pt>
                <c:pt idx="253">
                  <c:v>25.83</c:v>
                </c:pt>
                <c:pt idx="254">
                  <c:v>25.83</c:v>
                </c:pt>
                <c:pt idx="255">
                  <c:v>25.83</c:v>
                </c:pt>
                <c:pt idx="256">
                  <c:v>30.83</c:v>
                </c:pt>
                <c:pt idx="257">
                  <c:v>30.83</c:v>
                </c:pt>
                <c:pt idx="258">
                  <c:v>30.83</c:v>
                </c:pt>
                <c:pt idx="259">
                  <c:v>30.83</c:v>
                </c:pt>
                <c:pt idx="260">
                  <c:v>40.83</c:v>
                </c:pt>
                <c:pt idx="261">
                  <c:v>40.83</c:v>
                </c:pt>
                <c:pt idx="262">
                  <c:v>40.83</c:v>
                </c:pt>
                <c:pt idx="263">
                  <c:v>40.53</c:v>
                </c:pt>
                <c:pt idx="264">
                  <c:v>50.83</c:v>
                </c:pt>
                <c:pt idx="265">
                  <c:v>50.83</c:v>
                </c:pt>
                <c:pt idx="266">
                  <c:v>50.83</c:v>
                </c:pt>
                <c:pt idx="267">
                  <c:v>50.83</c:v>
                </c:pt>
                <c:pt idx="268">
                  <c:v>53.42</c:v>
                </c:pt>
                <c:pt idx="269">
                  <c:v>53.42</c:v>
                </c:pt>
                <c:pt idx="270">
                  <c:v>53.42</c:v>
                </c:pt>
                <c:pt idx="271">
                  <c:v>22.58</c:v>
                </c:pt>
                <c:pt idx="272">
                  <c:v>22.58</c:v>
                </c:pt>
                <c:pt idx="273">
                  <c:v>22.58</c:v>
                </c:pt>
                <c:pt idx="274">
                  <c:v>20.83</c:v>
                </c:pt>
                <c:pt idx="275">
                  <c:v>20.83</c:v>
                </c:pt>
                <c:pt idx="276">
                  <c:v>20.83</c:v>
                </c:pt>
                <c:pt idx="277">
                  <c:v>25.42</c:v>
                </c:pt>
                <c:pt idx="278">
                  <c:v>26.67</c:v>
                </c:pt>
                <c:pt idx="279">
                  <c:v>26.67</c:v>
                </c:pt>
                <c:pt idx="280">
                  <c:v>26.67</c:v>
                </c:pt>
                <c:pt idx="281">
                  <c:v>23.42</c:v>
                </c:pt>
                <c:pt idx="282">
                  <c:v>11.67</c:v>
                </c:pt>
                <c:pt idx="283">
                  <c:v>11.67</c:v>
                </c:pt>
                <c:pt idx="284">
                  <c:v>11.67</c:v>
                </c:pt>
                <c:pt idx="285">
                  <c:v>13.42</c:v>
                </c:pt>
                <c:pt idx="286">
                  <c:v>11.67</c:v>
                </c:pt>
                <c:pt idx="287">
                  <c:v>11.67</c:v>
                </c:pt>
                <c:pt idx="288">
                  <c:v>11.67</c:v>
                </c:pt>
                <c:pt idx="289">
                  <c:v>13.42</c:v>
                </c:pt>
                <c:pt idx="290">
                  <c:v>21.67</c:v>
                </c:pt>
                <c:pt idx="291">
                  <c:v>21.67</c:v>
                </c:pt>
                <c:pt idx="292">
                  <c:v>21.67</c:v>
                </c:pt>
                <c:pt idx="293">
                  <c:v>28.42</c:v>
                </c:pt>
                <c:pt idx="294">
                  <c:v>26.67</c:v>
                </c:pt>
                <c:pt idx="295">
                  <c:v>26.67</c:v>
                </c:pt>
                <c:pt idx="296">
                  <c:v>26.67</c:v>
                </c:pt>
                <c:pt idx="297">
                  <c:v>28.42</c:v>
                </c:pt>
                <c:pt idx="298">
                  <c:v>31.67</c:v>
                </c:pt>
                <c:pt idx="299">
                  <c:v>31.67</c:v>
                </c:pt>
                <c:pt idx="300">
                  <c:v>31.67</c:v>
                </c:pt>
                <c:pt idx="301">
                  <c:v>38.42</c:v>
                </c:pt>
                <c:pt idx="302">
                  <c:v>41.67</c:v>
                </c:pt>
                <c:pt idx="303">
                  <c:v>41.67</c:v>
                </c:pt>
                <c:pt idx="304">
                  <c:v>41.67</c:v>
                </c:pt>
                <c:pt idx="305">
                  <c:v>53.42</c:v>
                </c:pt>
                <c:pt idx="306">
                  <c:v>51.67</c:v>
                </c:pt>
                <c:pt idx="307">
                  <c:v>51.67</c:v>
                </c:pt>
                <c:pt idx="308">
                  <c:v>51.67</c:v>
                </c:pt>
                <c:pt idx="309">
                  <c:v>53.42</c:v>
                </c:pt>
                <c:pt idx="310">
                  <c:v>53.42</c:v>
                </c:pt>
              </c:numCache>
            </c:numRef>
          </c:xVal>
          <c:yVal>
            <c:numRef>
              <c:f>'Linear Regression Output 4'!$D$94:$D$404</c:f>
              <c:numCache>
                <c:formatCode>0.000</c:formatCode>
                <c:ptCount val="311"/>
                <c:pt idx="0">
                  <c:v>18.579999999999998</c:v>
                </c:pt>
                <c:pt idx="1">
                  <c:v>18.579999999999998</c:v>
                </c:pt>
                <c:pt idx="2">
                  <c:v>18.579999999999998</c:v>
                </c:pt>
                <c:pt idx="3">
                  <c:v>18.579999999999998</c:v>
                </c:pt>
                <c:pt idx="4">
                  <c:v>28.58</c:v>
                </c:pt>
                <c:pt idx="5">
                  <c:v>26.58</c:v>
                </c:pt>
                <c:pt idx="6">
                  <c:v>17.579999999999998</c:v>
                </c:pt>
                <c:pt idx="7">
                  <c:v>27.58</c:v>
                </c:pt>
                <c:pt idx="8">
                  <c:v>27.58</c:v>
                </c:pt>
                <c:pt idx="9">
                  <c:v>37.58</c:v>
                </c:pt>
                <c:pt idx="10">
                  <c:v>28.58</c:v>
                </c:pt>
                <c:pt idx="11">
                  <c:v>1.83</c:v>
                </c:pt>
                <c:pt idx="12">
                  <c:v>8.83</c:v>
                </c:pt>
                <c:pt idx="13">
                  <c:v>8.83</c:v>
                </c:pt>
                <c:pt idx="14">
                  <c:v>8.83</c:v>
                </c:pt>
                <c:pt idx="15">
                  <c:v>16.829999999999998</c:v>
                </c:pt>
                <c:pt idx="16">
                  <c:v>19.829999999999998</c:v>
                </c:pt>
                <c:pt idx="17">
                  <c:v>18.329999999999998</c:v>
                </c:pt>
                <c:pt idx="18">
                  <c:v>14.83</c:v>
                </c:pt>
                <c:pt idx="19">
                  <c:v>12</c:v>
                </c:pt>
                <c:pt idx="20">
                  <c:v>27</c:v>
                </c:pt>
                <c:pt idx="21">
                  <c:v>42</c:v>
                </c:pt>
                <c:pt idx="22">
                  <c:v>46</c:v>
                </c:pt>
                <c:pt idx="23">
                  <c:v>46</c:v>
                </c:pt>
                <c:pt idx="24">
                  <c:v>57</c:v>
                </c:pt>
                <c:pt idx="25">
                  <c:v>55.75</c:v>
                </c:pt>
                <c:pt idx="26">
                  <c:v>55.75</c:v>
                </c:pt>
                <c:pt idx="27">
                  <c:v>55.75</c:v>
                </c:pt>
                <c:pt idx="28">
                  <c:v>57</c:v>
                </c:pt>
                <c:pt idx="29">
                  <c:v>77</c:v>
                </c:pt>
                <c:pt idx="30">
                  <c:v>76</c:v>
                </c:pt>
                <c:pt idx="31">
                  <c:v>75</c:v>
                </c:pt>
                <c:pt idx="32">
                  <c:v>75</c:v>
                </c:pt>
                <c:pt idx="33">
                  <c:v>36</c:v>
                </c:pt>
                <c:pt idx="34">
                  <c:v>56.42</c:v>
                </c:pt>
                <c:pt idx="35">
                  <c:v>45</c:v>
                </c:pt>
                <c:pt idx="36">
                  <c:v>45.42</c:v>
                </c:pt>
                <c:pt idx="37">
                  <c:v>37</c:v>
                </c:pt>
                <c:pt idx="38">
                  <c:v>8</c:v>
                </c:pt>
                <c:pt idx="39">
                  <c:v>2.83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14.83</c:v>
                </c:pt>
                <c:pt idx="44">
                  <c:v>16.829999999999998</c:v>
                </c:pt>
                <c:pt idx="45">
                  <c:v>16.829999999999998</c:v>
                </c:pt>
                <c:pt idx="46">
                  <c:v>16.829999999999998</c:v>
                </c:pt>
                <c:pt idx="47">
                  <c:v>11</c:v>
                </c:pt>
                <c:pt idx="48">
                  <c:v>42.75</c:v>
                </c:pt>
                <c:pt idx="49">
                  <c:v>43.17</c:v>
                </c:pt>
                <c:pt idx="50">
                  <c:v>43.17</c:v>
                </c:pt>
                <c:pt idx="51">
                  <c:v>42.75</c:v>
                </c:pt>
                <c:pt idx="52">
                  <c:v>42.75</c:v>
                </c:pt>
                <c:pt idx="53">
                  <c:v>31.75</c:v>
                </c:pt>
                <c:pt idx="54">
                  <c:v>31.75</c:v>
                </c:pt>
                <c:pt idx="55">
                  <c:v>31.75</c:v>
                </c:pt>
                <c:pt idx="56">
                  <c:v>36.75</c:v>
                </c:pt>
                <c:pt idx="57">
                  <c:v>44.75</c:v>
                </c:pt>
                <c:pt idx="58">
                  <c:v>36.75</c:v>
                </c:pt>
                <c:pt idx="59">
                  <c:v>55.75</c:v>
                </c:pt>
                <c:pt idx="60">
                  <c:v>40.17</c:v>
                </c:pt>
                <c:pt idx="61">
                  <c:v>56.75</c:v>
                </c:pt>
                <c:pt idx="62">
                  <c:v>26.42</c:v>
                </c:pt>
                <c:pt idx="63">
                  <c:v>66</c:v>
                </c:pt>
                <c:pt idx="64">
                  <c:v>13.33</c:v>
                </c:pt>
                <c:pt idx="65">
                  <c:v>38.75</c:v>
                </c:pt>
                <c:pt idx="66">
                  <c:v>38.75</c:v>
                </c:pt>
                <c:pt idx="67">
                  <c:v>38.75</c:v>
                </c:pt>
                <c:pt idx="68">
                  <c:v>38.75</c:v>
                </c:pt>
                <c:pt idx="69">
                  <c:v>38.75</c:v>
                </c:pt>
                <c:pt idx="70">
                  <c:v>38.75</c:v>
                </c:pt>
                <c:pt idx="71">
                  <c:v>54.75</c:v>
                </c:pt>
                <c:pt idx="72">
                  <c:v>25.75</c:v>
                </c:pt>
                <c:pt idx="73">
                  <c:v>25.75</c:v>
                </c:pt>
                <c:pt idx="74">
                  <c:v>54.75</c:v>
                </c:pt>
                <c:pt idx="75">
                  <c:v>23.75</c:v>
                </c:pt>
                <c:pt idx="76">
                  <c:v>73.08</c:v>
                </c:pt>
                <c:pt idx="77">
                  <c:v>57.75</c:v>
                </c:pt>
                <c:pt idx="78">
                  <c:v>56.75</c:v>
                </c:pt>
                <c:pt idx="79">
                  <c:v>57.75</c:v>
                </c:pt>
                <c:pt idx="80">
                  <c:v>58.17</c:v>
                </c:pt>
                <c:pt idx="81">
                  <c:v>62</c:v>
                </c:pt>
                <c:pt idx="82">
                  <c:v>9.09</c:v>
                </c:pt>
                <c:pt idx="83">
                  <c:v>16.25</c:v>
                </c:pt>
                <c:pt idx="84">
                  <c:v>16.25</c:v>
                </c:pt>
                <c:pt idx="85">
                  <c:v>16.25</c:v>
                </c:pt>
                <c:pt idx="86">
                  <c:v>16.25</c:v>
                </c:pt>
                <c:pt idx="87">
                  <c:v>16.25</c:v>
                </c:pt>
                <c:pt idx="88">
                  <c:v>16.25</c:v>
                </c:pt>
                <c:pt idx="89">
                  <c:v>29.17</c:v>
                </c:pt>
                <c:pt idx="90">
                  <c:v>21.19</c:v>
                </c:pt>
                <c:pt idx="91">
                  <c:v>20.190000000000001</c:v>
                </c:pt>
                <c:pt idx="92">
                  <c:v>20.190000000000001</c:v>
                </c:pt>
                <c:pt idx="93">
                  <c:v>36.19</c:v>
                </c:pt>
                <c:pt idx="94">
                  <c:v>26.19</c:v>
                </c:pt>
                <c:pt idx="95">
                  <c:v>22.19</c:v>
                </c:pt>
                <c:pt idx="96">
                  <c:v>29.51</c:v>
                </c:pt>
                <c:pt idx="97">
                  <c:v>26.51</c:v>
                </c:pt>
                <c:pt idx="98">
                  <c:v>27.09</c:v>
                </c:pt>
                <c:pt idx="99">
                  <c:v>34.51</c:v>
                </c:pt>
                <c:pt idx="100">
                  <c:v>37.090000000000003</c:v>
                </c:pt>
                <c:pt idx="101">
                  <c:v>31.51</c:v>
                </c:pt>
                <c:pt idx="102">
                  <c:v>55.42</c:v>
                </c:pt>
                <c:pt idx="103">
                  <c:v>28.84</c:v>
                </c:pt>
                <c:pt idx="104">
                  <c:v>14.42</c:v>
                </c:pt>
                <c:pt idx="105">
                  <c:v>22.42</c:v>
                </c:pt>
                <c:pt idx="106">
                  <c:v>42.42</c:v>
                </c:pt>
                <c:pt idx="107">
                  <c:v>55.42</c:v>
                </c:pt>
                <c:pt idx="108">
                  <c:v>14.42</c:v>
                </c:pt>
                <c:pt idx="109">
                  <c:v>21.92</c:v>
                </c:pt>
                <c:pt idx="110">
                  <c:v>21.92</c:v>
                </c:pt>
                <c:pt idx="111">
                  <c:v>21.92</c:v>
                </c:pt>
                <c:pt idx="112">
                  <c:v>21.92</c:v>
                </c:pt>
                <c:pt idx="113">
                  <c:v>21.92</c:v>
                </c:pt>
                <c:pt idx="114">
                  <c:v>21.92</c:v>
                </c:pt>
                <c:pt idx="115">
                  <c:v>22.42</c:v>
                </c:pt>
                <c:pt idx="116">
                  <c:v>32.090000000000003</c:v>
                </c:pt>
                <c:pt idx="117">
                  <c:v>32.090000000000003</c:v>
                </c:pt>
                <c:pt idx="118">
                  <c:v>32.090000000000003</c:v>
                </c:pt>
                <c:pt idx="119">
                  <c:v>32.090000000000003</c:v>
                </c:pt>
                <c:pt idx="120">
                  <c:v>32.090000000000003</c:v>
                </c:pt>
                <c:pt idx="121">
                  <c:v>32.090000000000003</c:v>
                </c:pt>
                <c:pt idx="122">
                  <c:v>46.59</c:v>
                </c:pt>
                <c:pt idx="123">
                  <c:v>55.51</c:v>
                </c:pt>
                <c:pt idx="124">
                  <c:v>56.51</c:v>
                </c:pt>
                <c:pt idx="125">
                  <c:v>67.09</c:v>
                </c:pt>
                <c:pt idx="126">
                  <c:v>57.09</c:v>
                </c:pt>
                <c:pt idx="127">
                  <c:v>67.09</c:v>
                </c:pt>
                <c:pt idx="128">
                  <c:v>55.09</c:v>
                </c:pt>
                <c:pt idx="129">
                  <c:v>50.34</c:v>
                </c:pt>
                <c:pt idx="130">
                  <c:v>50.34</c:v>
                </c:pt>
                <c:pt idx="131">
                  <c:v>45.34</c:v>
                </c:pt>
                <c:pt idx="132">
                  <c:v>47.76</c:v>
                </c:pt>
                <c:pt idx="133">
                  <c:v>41.51</c:v>
                </c:pt>
                <c:pt idx="134">
                  <c:v>41.09</c:v>
                </c:pt>
                <c:pt idx="135">
                  <c:v>19.25</c:v>
                </c:pt>
                <c:pt idx="136">
                  <c:v>19.25</c:v>
                </c:pt>
                <c:pt idx="137">
                  <c:v>19.25</c:v>
                </c:pt>
                <c:pt idx="138">
                  <c:v>19.25</c:v>
                </c:pt>
                <c:pt idx="139">
                  <c:v>19.25</c:v>
                </c:pt>
                <c:pt idx="140">
                  <c:v>19.25</c:v>
                </c:pt>
                <c:pt idx="141">
                  <c:v>28.25</c:v>
                </c:pt>
                <c:pt idx="142">
                  <c:v>28.25</c:v>
                </c:pt>
                <c:pt idx="143">
                  <c:v>28.25</c:v>
                </c:pt>
                <c:pt idx="144">
                  <c:v>28.25</c:v>
                </c:pt>
                <c:pt idx="145">
                  <c:v>28.25</c:v>
                </c:pt>
                <c:pt idx="146">
                  <c:v>28.25</c:v>
                </c:pt>
                <c:pt idx="147">
                  <c:v>32.42</c:v>
                </c:pt>
                <c:pt idx="148">
                  <c:v>32.42</c:v>
                </c:pt>
                <c:pt idx="149">
                  <c:v>32.42</c:v>
                </c:pt>
                <c:pt idx="150">
                  <c:v>32.42</c:v>
                </c:pt>
                <c:pt idx="151">
                  <c:v>32.42</c:v>
                </c:pt>
                <c:pt idx="152">
                  <c:v>32.42</c:v>
                </c:pt>
                <c:pt idx="153">
                  <c:v>56.92</c:v>
                </c:pt>
                <c:pt idx="154">
                  <c:v>60.92</c:v>
                </c:pt>
                <c:pt idx="155">
                  <c:v>59.92</c:v>
                </c:pt>
                <c:pt idx="156">
                  <c:v>59.34</c:v>
                </c:pt>
                <c:pt idx="157">
                  <c:v>57.92</c:v>
                </c:pt>
                <c:pt idx="158">
                  <c:v>47.42</c:v>
                </c:pt>
                <c:pt idx="159">
                  <c:v>48.42</c:v>
                </c:pt>
                <c:pt idx="160">
                  <c:v>48.42</c:v>
                </c:pt>
                <c:pt idx="161">
                  <c:v>48.42</c:v>
                </c:pt>
                <c:pt idx="162">
                  <c:v>45.09</c:v>
                </c:pt>
                <c:pt idx="163">
                  <c:v>22.09</c:v>
                </c:pt>
                <c:pt idx="164">
                  <c:v>26.64</c:v>
                </c:pt>
                <c:pt idx="165">
                  <c:v>26.64</c:v>
                </c:pt>
                <c:pt idx="166">
                  <c:v>26.64</c:v>
                </c:pt>
                <c:pt idx="167">
                  <c:v>22.09</c:v>
                </c:pt>
                <c:pt idx="168">
                  <c:v>29.34</c:v>
                </c:pt>
                <c:pt idx="169">
                  <c:v>29.34</c:v>
                </c:pt>
                <c:pt idx="170">
                  <c:v>29.34</c:v>
                </c:pt>
                <c:pt idx="171">
                  <c:v>37.090000000000003</c:v>
                </c:pt>
                <c:pt idx="172">
                  <c:v>34.340000000000003</c:v>
                </c:pt>
                <c:pt idx="173">
                  <c:v>35.340000000000003</c:v>
                </c:pt>
                <c:pt idx="174">
                  <c:v>29.34</c:v>
                </c:pt>
                <c:pt idx="175">
                  <c:v>59.09</c:v>
                </c:pt>
                <c:pt idx="176">
                  <c:v>61.34</c:v>
                </c:pt>
                <c:pt idx="177">
                  <c:v>60.34</c:v>
                </c:pt>
                <c:pt idx="178">
                  <c:v>61.34</c:v>
                </c:pt>
                <c:pt idx="179">
                  <c:v>49.09</c:v>
                </c:pt>
                <c:pt idx="180">
                  <c:v>11.59</c:v>
                </c:pt>
                <c:pt idx="181">
                  <c:v>14.09</c:v>
                </c:pt>
                <c:pt idx="182">
                  <c:v>26.5</c:v>
                </c:pt>
                <c:pt idx="183">
                  <c:v>24.5</c:v>
                </c:pt>
                <c:pt idx="184">
                  <c:v>33.92</c:v>
                </c:pt>
                <c:pt idx="185">
                  <c:v>32.92</c:v>
                </c:pt>
                <c:pt idx="186">
                  <c:v>16.09</c:v>
                </c:pt>
                <c:pt idx="187">
                  <c:v>18.510000000000002</c:v>
                </c:pt>
                <c:pt idx="188">
                  <c:v>28.09</c:v>
                </c:pt>
                <c:pt idx="189">
                  <c:v>29.09</c:v>
                </c:pt>
                <c:pt idx="190">
                  <c:v>29.09</c:v>
                </c:pt>
                <c:pt idx="191">
                  <c:v>14.09</c:v>
                </c:pt>
                <c:pt idx="192">
                  <c:v>14.09</c:v>
                </c:pt>
                <c:pt idx="193">
                  <c:v>14.09</c:v>
                </c:pt>
                <c:pt idx="194">
                  <c:v>14.09</c:v>
                </c:pt>
                <c:pt idx="195">
                  <c:v>14.09</c:v>
                </c:pt>
                <c:pt idx="196">
                  <c:v>23.25</c:v>
                </c:pt>
                <c:pt idx="197">
                  <c:v>23.25</c:v>
                </c:pt>
                <c:pt idx="198">
                  <c:v>23.25</c:v>
                </c:pt>
                <c:pt idx="199">
                  <c:v>23.25</c:v>
                </c:pt>
                <c:pt idx="200">
                  <c:v>23.25</c:v>
                </c:pt>
                <c:pt idx="201">
                  <c:v>26.25</c:v>
                </c:pt>
                <c:pt idx="202">
                  <c:v>29.25</c:v>
                </c:pt>
                <c:pt idx="203">
                  <c:v>31.25</c:v>
                </c:pt>
                <c:pt idx="204">
                  <c:v>30.25</c:v>
                </c:pt>
                <c:pt idx="205">
                  <c:v>31.25</c:v>
                </c:pt>
                <c:pt idx="206">
                  <c:v>31.25</c:v>
                </c:pt>
                <c:pt idx="207">
                  <c:v>32.25</c:v>
                </c:pt>
                <c:pt idx="208">
                  <c:v>31.25</c:v>
                </c:pt>
                <c:pt idx="209">
                  <c:v>32.25</c:v>
                </c:pt>
                <c:pt idx="210">
                  <c:v>31.25</c:v>
                </c:pt>
                <c:pt idx="211">
                  <c:v>32.25</c:v>
                </c:pt>
                <c:pt idx="212">
                  <c:v>31.25</c:v>
                </c:pt>
                <c:pt idx="213">
                  <c:v>29.25</c:v>
                </c:pt>
                <c:pt idx="214">
                  <c:v>61.5</c:v>
                </c:pt>
                <c:pt idx="215">
                  <c:v>61.5</c:v>
                </c:pt>
                <c:pt idx="216">
                  <c:v>58.5</c:v>
                </c:pt>
                <c:pt idx="217">
                  <c:v>57.92</c:v>
                </c:pt>
                <c:pt idx="218">
                  <c:v>57.5</c:v>
                </c:pt>
                <c:pt idx="219">
                  <c:v>51.5</c:v>
                </c:pt>
                <c:pt idx="220">
                  <c:v>51.5</c:v>
                </c:pt>
                <c:pt idx="221">
                  <c:v>49.5</c:v>
                </c:pt>
                <c:pt idx="222">
                  <c:v>48.5</c:v>
                </c:pt>
                <c:pt idx="223">
                  <c:v>49.09</c:v>
                </c:pt>
                <c:pt idx="224">
                  <c:v>52.09</c:v>
                </c:pt>
                <c:pt idx="225">
                  <c:v>23.25</c:v>
                </c:pt>
                <c:pt idx="226">
                  <c:v>21.25</c:v>
                </c:pt>
                <c:pt idx="227">
                  <c:v>22.5</c:v>
                </c:pt>
                <c:pt idx="228">
                  <c:v>22.5</c:v>
                </c:pt>
                <c:pt idx="229">
                  <c:v>27.5</c:v>
                </c:pt>
                <c:pt idx="230">
                  <c:v>25.92</c:v>
                </c:pt>
                <c:pt idx="231">
                  <c:v>37.25</c:v>
                </c:pt>
                <c:pt idx="232">
                  <c:v>22.92</c:v>
                </c:pt>
                <c:pt idx="233">
                  <c:v>26.92</c:v>
                </c:pt>
                <c:pt idx="234">
                  <c:v>21.5</c:v>
                </c:pt>
                <c:pt idx="235">
                  <c:v>22.5</c:v>
                </c:pt>
                <c:pt idx="236">
                  <c:v>33.5</c:v>
                </c:pt>
                <c:pt idx="237">
                  <c:v>33.5</c:v>
                </c:pt>
                <c:pt idx="238">
                  <c:v>31.5</c:v>
                </c:pt>
                <c:pt idx="239">
                  <c:v>32.5</c:v>
                </c:pt>
                <c:pt idx="240">
                  <c:v>14.5</c:v>
                </c:pt>
                <c:pt idx="241">
                  <c:v>17.5</c:v>
                </c:pt>
                <c:pt idx="242">
                  <c:v>14.5</c:v>
                </c:pt>
                <c:pt idx="243">
                  <c:v>14.5</c:v>
                </c:pt>
                <c:pt idx="244">
                  <c:v>17.5</c:v>
                </c:pt>
                <c:pt idx="245">
                  <c:v>17.5</c:v>
                </c:pt>
                <c:pt idx="246">
                  <c:v>17.5</c:v>
                </c:pt>
                <c:pt idx="247">
                  <c:v>17.5</c:v>
                </c:pt>
                <c:pt idx="248">
                  <c:v>26.5</c:v>
                </c:pt>
                <c:pt idx="249">
                  <c:v>31.5</c:v>
                </c:pt>
                <c:pt idx="250">
                  <c:v>28.5</c:v>
                </c:pt>
                <c:pt idx="251">
                  <c:v>26.5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29.92</c:v>
                </c:pt>
                <c:pt idx="257">
                  <c:v>30.92</c:v>
                </c:pt>
                <c:pt idx="258">
                  <c:v>31.5</c:v>
                </c:pt>
                <c:pt idx="259">
                  <c:v>34.5</c:v>
                </c:pt>
                <c:pt idx="260">
                  <c:v>66.5</c:v>
                </c:pt>
                <c:pt idx="261">
                  <c:v>69.5</c:v>
                </c:pt>
                <c:pt idx="262">
                  <c:v>68.5</c:v>
                </c:pt>
                <c:pt idx="263">
                  <c:v>66.5</c:v>
                </c:pt>
                <c:pt idx="264">
                  <c:v>53.34</c:v>
                </c:pt>
                <c:pt idx="265">
                  <c:v>54.34</c:v>
                </c:pt>
                <c:pt idx="266">
                  <c:v>61.76</c:v>
                </c:pt>
                <c:pt idx="267">
                  <c:v>51.34</c:v>
                </c:pt>
                <c:pt idx="268">
                  <c:v>52.09</c:v>
                </c:pt>
                <c:pt idx="269">
                  <c:v>52.09</c:v>
                </c:pt>
                <c:pt idx="270">
                  <c:v>52.09</c:v>
                </c:pt>
                <c:pt idx="271">
                  <c:v>38.25</c:v>
                </c:pt>
                <c:pt idx="272">
                  <c:v>43.25</c:v>
                </c:pt>
                <c:pt idx="273">
                  <c:v>50.25</c:v>
                </c:pt>
                <c:pt idx="274">
                  <c:v>29.5</c:v>
                </c:pt>
                <c:pt idx="275">
                  <c:v>29.5</c:v>
                </c:pt>
                <c:pt idx="276">
                  <c:v>38</c:v>
                </c:pt>
                <c:pt idx="277">
                  <c:v>31.69</c:v>
                </c:pt>
                <c:pt idx="278">
                  <c:v>27.34</c:v>
                </c:pt>
                <c:pt idx="279">
                  <c:v>32.340000000000003</c:v>
                </c:pt>
                <c:pt idx="280">
                  <c:v>26.76</c:v>
                </c:pt>
                <c:pt idx="281">
                  <c:v>10.51</c:v>
                </c:pt>
                <c:pt idx="282">
                  <c:v>18.34</c:v>
                </c:pt>
                <c:pt idx="283">
                  <c:v>18.34</c:v>
                </c:pt>
                <c:pt idx="284">
                  <c:v>18.34</c:v>
                </c:pt>
                <c:pt idx="285">
                  <c:v>8.09</c:v>
                </c:pt>
                <c:pt idx="286">
                  <c:v>22.34</c:v>
                </c:pt>
                <c:pt idx="287">
                  <c:v>21.34</c:v>
                </c:pt>
                <c:pt idx="288">
                  <c:v>21.34</c:v>
                </c:pt>
                <c:pt idx="289">
                  <c:v>16.09</c:v>
                </c:pt>
                <c:pt idx="290">
                  <c:v>29.34</c:v>
                </c:pt>
                <c:pt idx="291">
                  <c:v>30.34</c:v>
                </c:pt>
                <c:pt idx="292">
                  <c:v>30.34</c:v>
                </c:pt>
                <c:pt idx="293">
                  <c:v>31.09</c:v>
                </c:pt>
                <c:pt idx="294">
                  <c:v>24.34</c:v>
                </c:pt>
                <c:pt idx="295">
                  <c:v>35.340000000000003</c:v>
                </c:pt>
                <c:pt idx="296">
                  <c:v>35.340000000000003</c:v>
                </c:pt>
                <c:pt idx="297">
                  <c:v>37.090000000000003</c:v>
                </c:pt>
                <c:pt idx="298">
                  <c:v>37.340000000000003</c:v>
                </c:pt>
                <c:pt idx="299">
                  <c:v>37.340000000000003</c:v>
                </c:pt>
                <c:pt idx="300">
                  <c:v>39.76</c:v>
                </c:pt>
                <c:pt idx="301">
                  <c:v>63.09</c:v>
                </c:pt>
                <c:pt idx="302">
                  <c:v>67.34</c:v>
                </c:pt>
                <c:pt idx="303">
                  <c:v>67.34</c:v>
                </c:pt>
                <c:pt idx="304">
                  <c:v>67.34</c:v>
                </c:pt>
                <c:pt idx="305">
                  <c:v>64.09</c:v>
                </c:pt>
                <c:pt idx="306">
                  <c:v>51.34</c:v>
                </c:pt>
                <c:pt idx="307">
                  <c:v>50.76</c:v>
                </c:pt>
                <c:pt idx="308">
                  <c:v>46.34</c:v>
                </c:pt>
                <c:pt idx="309">
                  <c:v>50.09</c:v>
                </c:pt>
                <c:pt idx="310">
                  <c:v>49.09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C8-4D90-8012-C83ED2653F65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10.58</c:v>
              </c:pt>
            </c:numLit>
          </c:xVal>
          <c:yVal>
            <c:numLit>
              <c:formatCode>General</c:formatCode>
              <c:ptCount val="1"/>
              <c:pt idx="0">
                <c:v>18.579999999999998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9C8-4D90-8012-C83ED2653F65}"/>
            </c:ext>
          </c:extLst>
        </c:ser>
        <c:ser>
          <c:idx val="2"/>
          <c:order val="2"/>
          <c:tx>
            <c:v>Model</c:v>
          </c:tx>
          <c:spPr>
            <a:ln w="127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-1.1170000000000009</c:v>
              </c:pt>
              <c:pt idx="1">
                <c:v>69.287000000000006</c:v>
              </c:pt>
            </c:numLit>
          </c:xVal>
          <c:yVal>
            <c:numLit>
              <c:formatCode>General</c:formatCode>
              <c:ptCount val="2"/>
              <c:pt idx="0">
                <c:v>10.704927772208736</c:v>
              </c:pt>
              <c:pt idx="1">
                <c:v>68.027101411572659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9C8-4D90-8012-C83ED2653F65}"/>
            </c:ext>
          </c:extLst>
        </c:ser>
        <c:ser>
          <c:idx val="3"/>
          <c:order val="3"/>
          <c:tx>
            <c:v>Conf. interval (Mean 95%)</c:v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Sheet12_HID!xdata1</c:f>
              <c:numCache>
                <c:formatCode>General</c:formatCode>
                <c:ptCount val="70"/>
                <c:pt idx="0">
                  <c:v>-1.117</c:v>
                </c:pt>
                <c:pt idx="1">
                  <c:v>-9.6652173913039929E-2</c:v>
                </c:pt>
                <c:pt idx="2">
                  <c:v>0.92369565217392013</c:v>
                </c:pt>
                <c:pt idx="3">
                  <c:v>1.9440434782608804</c:v>
                </c:pt>
                <c:pt idx="4">
                  <c:v>2.9643913043478403</c:v>
                </c:pt>
                <c:pt idx="5">
                  <c:v>3.9847391304348001</c:v>
                </c:pt>
                <c:pt idx="6">
                  <c:v>5.0050869565217608</c:v>
                </c:pt>
                <c:pt idx="7">
                  <c:v>6.0254347826087207</c:v>
                </c:pt>
                <c:pt idx="8">
                  <c:v>7.0457826086956805</c:v>
                </c:pt>
                <c:pt idx="9">
                  <c:v>8.0661304347826395</c:v>
                </c:pt>
                <c:pt idx="10">
                  <c:v>9.0864782608696011</c:v>
                </c:pt>
                <c:pt idx="11">
                  <c:v>10.106826086956559</c:v>
                </c:pt>
                <c:pt idx="12">
                  <c:v>11.127173913043521</c:v>
                </c:pt>
                <c:pt idx="13">
                  <c:v>12.147521739130482</c:v>
                </c:pt>
                <c:pt idx="14">
                  <c:v>13.16786956521744</c:v>
                </c:pt>
                <c:pt idx="15">
                  <c:v>14.188217391304402</c:v>
                </c:pt>
                <c:pt idx="16">
                  <c:v>15.20856521739136</c:v>
                </c:pt>
                <c:pt idx="17">
                  <c:v>16.228913043478322</c:v>
                </c:pt>
                <c:pt idx="18">
                  <c:v>17.24926086956528</c:v>
                </c:pt>
                <c:pt idx="19">
                  <c:v>18.269608695652241</c:v>
                </c:pt>
                <c:pt idx="20">
                  <c:v>19.2899565217392</c:v>
                </c:pt>
                <c:pt idx="21">
                  <c:v>20.310304347826161</c:v>
                </c:pt>
                <c:pt idx="22">
                  <c:v>21.330652173913119</c:v>
                </c:pt>
                <c:pt idx="23">
                  <c:v>22.351000000000081</c:v>
                </c:pt>
                <c:pt idx="24">
                  <c:v>23.371347826087042</c:v>
                </c:pt>
                <c:pt idx="25">
                  <c:v>24.391695652174</c:v>
                </c:pt>
                <c:pt idx="26">
                  <c:v>25.412043478260962</c:v>
                </c:pt>
                <c:pt idx="27">
                  <c:v>26.43239130434792</c:v>
                </c:pt>
                <c:pt idx="28">
                  <c:v>27.452739130434882</c:v>
                </c:pt>
                <c:pt idx="29">
                  <c:v>28.47308695652184</c:v>
                </c:pt>
                <c:pt idx="30">
                  <c:v>29.493434782608801</c:v>
                </c:pt>
                <c:pt idx="31">
                  <c:v>30.51378260869576</c:v>
                </c:pt>
                <c:pt idx="32">
                  <c:v>31.534130434782721</c:v>
                </c:pt>
                <c:pt idx="33">
                  <c:v>32.554478260869686</c:v>
                </c:pt>
                <c:pt idx="34">
                  <c:v>33.574826086956648</c:v>
                </c:pt>
                <c:pt idx="35">
                  <c:v>34.595173913043602</c:v>
                </c:pt>
                <c:pt idx="36">
                  <c:v>35.615521739130564</c:v>
                </c:pt>
                <c:pt idx="37">
                  <c:v>36.635869565217526</c:v>
                </c:pt>
                <c:pt idx="38">
                  <c:v>37.656217391304487</c:v>
                </c:pt>
                <c:pt idx="39">
                  <c:v>38.676565217391442</c:v>
                </c:pt>
                <c:pt idx="40">
                  <c:v>39.696913043478403</c:v>
                </c:pt>
                <c:pt idx="41">
                  <c:v>40.717260869565365</c:v>
                </c:pt>
                <c:pt idx="42">
                  <c:v>41.737608695652327</c:v>
                </c:pt>
                <c:pt idx="43">
                  <c:v>42.757956521739288</c:v>
                </c:pt>
                <c:pt idx="44">
                  <c:v>43.778304347826243</c:v>
                </c:pt>
                <c:pt idx="45">
                  <c:v>44.798652173913204</c:v>
                </c:pt>
                <c:pt idx="46">
                  <c:v>45.819000000000166</c:v>
                </c:pt>
                <c:pt idx="47">
                  <c:v>46.839347826087128</c:v>
                </c:pt>
                <c:pt idx="48">
                  <c:v>47.859695652174089</c:v>
                </c:pt>
                <c:pt idx="49">
                  <c:v>48.880043478261044</c:v>
                </c:pt>
                <c:pt idx="50">
                  <c:v>49.900391304348005</c:v>
                </c:pt>
                <c:pt idx="51">
                  <c:v>50.920739130434967</c:v>
                </c:pt>
                <c:pt idx="52">
                  <c:v>51.941086956521929</c:v>
                </c:pt>
                <c:pt idx="53">
                  <c:v>52.961434782608883</c:v>
                </c:pt>
                <c:pt idx="54">
                  <c:v>53.981782608695845</c:v>
                </c:pt>
                <c:pt idx="55">
                  <c:v>55.002130434782806</c:v>
                </c:pt>
                <c:pt idx="56">
                  <c:v>56.022478260869768</c:v>
                </c:pt>
                <c:pt idx="57">
                  <c:v>57.04282608695673</c:v>
                </c:pt>
                <c:pt idx="58">
                  <c:v>58.063173913043684</c:v>
                </c:pt>
                <c:pt idx="59">
                  <c:v>59.083521739130646</c:v>
                </c:pt>
                <c:pt idx="60">
                  <c:v>60.103869565217607</c:v>
                </c:pt>
                <c:pt idx="61">
                  <c:v>61.124217391304569</c:v>
                </c:pt>
                <c:pt idx="62">
                  <c:v>62.144565217391524</c:v>
                </c:pt>
                <c:pt idx="63">
                  <c:v>63.164913043478485</c:v>
                </c:pt>
                <c:pt idx="64">
                  <c:v>64.18526086956544</c:v>
                </c:pt>
                <c:pt idx="65">
                  <c:v>65.205608695652401</c:v>
                </c:pt>
                <c:pt idx="66">
                  <c:v>66.225956521739363</c:v>
                </c:pt>
                <c:pt idx="67">
                  <c:v>67.246304347826324</c:v>
                </c:pt>
                <c:pt idx="68">
                  <c:v>68.266652173913286</c:v>
                </c:pt>
                <c:pt idx="69">
                  <c:v>69.287000000000234</c:v>
                </c:pt>
              </c:numCache>
            </c:numRef>
          </c:xVal>
          <c:yVal>
            <c:numRef>
              <c:f>Sheet12_HID!ydata1</c:f>
              <c:numCache>
                <c:formatCode>General</c:formatCode>
                <c:ptCount val="70"/>
                <c:pt idx="0">
                  <c:v>8.4000506237205421</c:v>
                </c:pt>
                <c:pt idx="1">
                  <c:v>9.2924438429060991</c:v>
                </c:pt>
                <c:pt idx="2">
                  <c:v>10.184301062541675</c:v>
                </c:pt>
                <c:pt idx="3">
                  <c:v>11.075575972960021</c:v>
                </c:pt>
                <c:pt idx="4">
                  <c:v>11.966217295394983</c:v>
                </c:pt>
                <c:pt idx="5">
                  <c:v>12.85616818743846</c:v>
                </c:pt>
                <c:pt idx="6">
                  <c:v>13.745365580514704</c:v>
                </c:pt>
                <c:pt idx="7">
                  <c:v>14.633739445451473</c:v>
                </c:pt>
                <c:pt idx="8">
                  <c:v>15.521211984013577</c:v>
                </c:pt>
                <c:pt idx="9">
                  <c:v>16.407696747182605</c:v>
                </c:pt>
                <c:pt idx="10">
                  <c:v>17.293097685453166</c:v>
                </c:pt>
                <c:pt idx="11">
                  <c:v>18.177308143021442</c:v>
                </c:pt>
                <c:pt idx="12">
                  <c:v>19.060209817130342</c:v>
                </c:pt>
                <c:pt idx="13">
                  <c:v>19.94167171675641</c:v>
                </c:pt>
                <c:pt idx="14">
                  <c:v>20.821549172038218</c:v>
                </c:pt>
                <c:pt idx="15">
                  <c:v>21.699682967966623</c:v>
                </c:pt>
                <c:pt idx="16">
                  <c:v>22.575898703073538</c:v>
                </c:pt>
                <c:pt idx="17">
                  <c:v>23.450006505492688</c:v>
                </c:pt>
                <c:pt idx="18">
                  <c:v>24.321801272656131</c:v>
                </c:pt>
                <c:pt idx="19">
                  <c:v>25.191063632600219</c:v>
                </c:pt>
                <c:pt idx="20">
                  <c:v>26.057561846904417</c:v>
                </c:pt>
                <c:pt idx="21">
                  <c:v>26.921054876733223</c:v>
                </c:pt>
                <c:pt idx="22">
                  <c:v>27.78129680042462</c:v>
                </c:pt>
                <c:pt idx="23">
                  <c:v>28.638042689050138</c:v>
                </c:pt>
                <c:pt idx="24">
                  <c:v>29.491055904874287</c:v>
                </c:pt>
                <c:pt idx="25">
                  <c:v>30.34011658718401</c:v>
                </c:pt>
                <c:pt idx="26">
                  <c:v>31.185030849614733</c:v>
                </c:pt>
                <c:pt idx="27">
                  <c:v>32.02563997486115</c:v>
                </c:pt>
                <c:pt idx="28">
                  <c:v>32.861828717654689</c:v>
                </c:pt>
                <c:pt idx="29">
                  <c:v>33.693531780150636</c:v>
                </c:pt>
                <c:pt idx="30">
                  <c:v>34.520737649890087</c:v>
                </c:pt>
                <c:pt idx="31">
                  <c:v>35.34348928923054</c:v>
                </c:pt>
                <c:pt idx="32">
                  <c:v>36.161881582058847</c:v>
                </c:pt>
                <c:pt idx="33">
                  <c:v>36.976055883003916</c:v>
                </c:pt>
                <c:pt idx="34">
                  <c:v>37.786192372413112</c:v>
                </c:pt>
                <c:pt idx="35">
                  <c:v>38.59250112219965</c:v>
                </c:pt>
                <c:pt idx="36">
                  <c:v>39.395212800307498</c:v>
                </c:pt>
                <c:pt idx="37">
                  <c:v>40.194569813145307</c:v>
                </c:pt>
                <c:pt idx="38">
                  <c:v>40.990818465555456</c:v>
                </c:pt>
                <c:pt idx="39">
                  <c:v>41.784202471998661</c:v>
                </c:pt>
                <c:pt idx="40">
                  <c:v>42.574957931782656</c:v>
                </c:pt>
                <c:pt idx="41">
                  <c:v>43.363309713885322</c:v>
                </c:pt>
                <c:pt idx="42">
                  <c:v>44.149469090701274</c:v>
                </c:pt>
                <c:pt idx="43">
                  <c:v>44.933632408073542</c:v>
                </c:pt>
                <c:pt idx="44">
                  <c:v>45.71598056771878</c:v>
                </c:pt>
                <c:pt idx="45">
                  <c:v>46.496679113066271</c:v>
                </c:pt>
                <c:pt idx="46">
                  <c:v>47.275878738284902</c:v>
                </c:pt>
                <c:pt idx="47">
                  <c:v>48.053716073946021</c:v>
                </c:pt>
                <c:pt idx="48">
                  <c:v>48.830314635730559</c:v>
                </c:pt>
                <c:pt idx="49">
                  <c:v>49.605785851817117</c:v>
                </c:pt>
                <c:pt idx="50">
                  <c:v>50.380230108867202</c:v>
                </c:pt>
                <c:pt idx="51">
                  <c:v>51.153737775743892</c:v>
                </c:pt>
                <c:pt idx="52">
                  <c:v>51.926390178739148</c:v>
                </c:pt>
                <c:pt idx="53">
                  <c:v>52.69826051286482</c:v>
                </c:pt>
                <c:pt idx="54">
                  <c:v>53.469414681452022</c:v>
                </c:pt>
                <c:pt idx="55">
                  <c:v>54.239912061607711</c:v>
                </c:pt>
                <c:pt idx="56">
                  <c:v>55.00980619659579</c:v>
                </c:pt>
                <c:pt idx="57">
                  <c:v>55.779145418426168</c:v>
                </c:pt>
                <c:pt idx="58">
                  <c:v>56.547973405224404</c:v>
                </c:pt>
                <c:pt idx="59">
                  <c:v>57.316329678600951</c:v>
                </c:pt>
                <c:pt idx="60">
                  <c:v>58.084250046451693</c:v>
                </c:pt>
                <c:pt idx="61">
                  <c:v>58.85176699655208</c:v>
                </c:pt>
                <c:pt idx="62">
                  <c:v>59.6189100460631</c:v>
                </c:pt>
                <c:pt idx="63">
                  <c:v>60.385706051723481</c:v>
                </c:pt>
                <c:pt idx="64">
                  <c:v>61.152179485109137</c:v>
                </c:pt>
                <c:pt idx="65">
                  <c:v>61.918352676933097</c:v>
                </c:pt>
                <c:pt idx="66">
                  <c:v>62.68424603395647</c:v>
                </c:pt>
                <c:pt idx="67">
                  <c:v>63.449878231699266</c:v>
                </c:pt>
                <c:pt idx="68">
                  <c:v>64.215266385783337</c:v>
                </c:pt>
                <c:pt idx="69">
                  <c:v>64.980426204415352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C8-4D90-8012-C83ED2653F65}"/>
            </c:ext>
          </c:extLst>
        </c:ser>
        <c:ser>
          <c:idx val="4"/>
          <c:order val="4"/>
          <c:tx>
            <c:v/>
          </c:tx>
          <c:spPr>
            <a:ln w="12700">
              <a:solidFill>
                <a:srgbClr val="C0C0C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Sheet12_HID!xdata2</c:f>
              <c:numCache>
                <c:formatCode>General</c:formatCode>
                <c:ptCount val="70"/>
                <c:pt idx="0">
                  <c:v>-1.117</c:v>
                </c:pt>
                <c:pt idx="1">
                  <c:v>-9.6652173913039929E-2</c:v>
                </c:pt>
                <c:pt idx="2">
                  <c:v>0.92369565217392013</c:v>
                </c:pt>
                <c:pt idx="3">
                  <c:v>1.9440434782608804</c:v>
                </c:pt>
                <c:pt idx="4">
                  <c:v>2.9643913043478403</c:v>
                </c:pt>
                <c:pt idx="5">
                  <c:v>3.9847391304348001</c:v>
                </c:pt>
                <c:pt idx="6">
                  <c:v>5.0050869565217608</c:v>
                </c:pt>
                <c:pt idx="7">
                  <c:v>6.0254347826087207</c:v>
                </c:pt>
                <c:pt idx="8">
                  <c:v>7.0457826086956805</c:v>
                </c:pt>
                <c:pt idx="9">
                  <c:v>8.0661304347826395</c:v>
                </c:pt>
                <c:pt idx="10">
                  <c:v>9.0864782608696011</c:v>
                </c:pt>
                <c:pt idx="11">
                  <c:v>10.106826086956559</c:v>
                </c:pt>
                <c:pt idx="12">
                  <c:v>11.127173913043521</c:v>
                </c:pt>
                <c:pt idx="13">
                  <c:v>12.147521739130482</c:v>
                </c:pt>
                <c:pt idx="14">
                  <c:v>13.16786956521744</c:v>
                </c:pt>
                <c:pt idx="15">
                  <c:v>14.188217391304402</c:v>
                </c:pt>
                <c:pt idx="16">
                  <c:v>15.20856521739136</c:v>
                </c:pt>
                <c:pt idx="17">
                  <c:v>16.228913043478322</c:v>
                </c:pt>
                <c:pt idx="18">
                  <c:v>17.24926086956528</c:v>
                </c:pt>
                <c:pt idx="19">
                  <c:v>18.269608695652241</c:v>
                </c:pt>
                <c:pt idx="20">
                  <c:v>19.2899565217392</c:v>
                </c:pt>
                <c:pt idx="21">
                  <c:v>20.310304347826161</c:v>
                </c:pt>
                <c:pt idx="22">
                  <c:v>21.330652173913119</c:v>
                </c:pt>
                <c:pt idx="23">
                  <c:v>22.351000000000081</c:v>
                </c:pt>
                <c:pt idx="24">
                  <c:v>23.371347826087042</c:v>
                </c:pt>
                <c:pt idx="25">
                  <c:v>24.391695652174</c:v>
                </c:pt>
                <c:pt idx="26">
                  <c:v>25.412043478260962</c:v>
                </c:pt>
                <c:pt idx="27">
                  <c:v>26.43239130434792</c:v>
                </c:pt>
                <c:pt idx="28">
                  <c:v>27.452739130434882</c:v>
                </c:pt>
                <c:pt idx="29">
                  <c:v>28.47308695652184</c:v>
                </c:pt>
                <c:pt idx="30">
                  <c:v>29.493434782608801</c:v>
                </c:pt>
                <c:pt idx="31">
                  <c:v>30.51378260869576</c:v>
                </c:pt>
                <c:pt idx="32">
                  <c:v>31.534130434782721</c:v>
                </c:pt>
                <c:pt idx="33">
                  <c:v>32.554478260869686</c:v>
                </c:pt>
                <c:pt idx="34">
                  <c:v>33.574826086956648</c:v>
                </c:pt>
                <c:pt idx="35">
                  <c:v>34.595173913043602</c:v>
                </c:pt>
                <c:pt idx="36">
                  <c:v>35.615521739130564</c:v>
                </c:pt>
                <c:pt idx="37">
                  <c:v>36.635869565217526</c:v>
                </c:pt>
                <c:pt idx="38">
                  <c:v>37.656217391304487</c:v>
                </c:pt>
                <c:pt idx="39">
                  <c:v>38.676565217391442</c:v>
                </c:pt>
                <c:pt idx="40">
                  <c:v>39.696913043478403</c:v>
                </c:pt>
                <c:pt idx="41">
                  <c:v>40.717260869565365</c:v>
                </c:pt>
                <c:pt idx="42">
                  <c:v>41.737608695652327</c:v>
                </c:pt>
                <c:pt idx="43">
                  <c:v>42.757956521739288</c:v>
                </c:pt>
                <c:pt idx="44">
                  <c:v>43.778304347826243</c:v>
                </c:pt>
                <c:pt idx="45">
                  <c:v>44.798652173913204</c:v>
                </c:pt>
                <c:pt idx="46">
                  <c:v>45.819000000000166</c:v>
                </c:pt>
                <c:pt idx="47">
                  <c:v>46.839347826087128</c:v>
                </c:pt>
                <c:pt idx="48">
                  <c:v>47.859695652174089</c:v>
                </c:pt>
                <c:pt idx="49">
                  <c:v>48.880043478261044</c:v>
                </c:pt>
                <c:pt idx="50">
                  <c:v>49.900391304348005</c:v>
                </c:pt>
                <c:pt idx="51">
                  <c:v>50.920739130434967</c:v>
                </c:pt>
                <c:pt idx="52">
                  <c:v>51.941086956521929</c:v>
                </c:pt>
                <c:pt idx="53">
                  <c:v>52.961434782608883</c:v>
                </c:pt>
                <c:pt idx="54">
                  <c:v>53.981782608695845</c:v>
                </c:pt>
                <c:pt idx="55">
                  <c:v>55.002130434782806</c:v>
                </c:pt>
                <c:pt idx="56">
                  <c:v>56.022478260869768</c:v>
                </c:pt>
                <c:pt idx="57">
                  <c:v>57.04282608695673</c:v>
                </c:pt>
                <c:pt idx="58">
                  <c:v>58.063173913043684</c:v>
                </c:pt>
                <c:pt idx="59">
                  <c:v>59.083521739130646</c:v>
                </c:pt>
                <c:pt idx="60">
                  <c:v>60.103869565217607</c:v>
                </c:pt>
                <c:pt idx="61">
                  <c:v>61.124217391304569</c:v>
                </c:pt>
                <c:pt idx="62">
                  <c:v>62.144565217391524</c:v>
                </c:pt>
                <c:pt idx="63">
                  <c:v>63.164913043478485</c:v>
                </c:pt>
                <c:pt idx="64">
                  <c:v>64.18526086956544</c:v>
                </c:pt>
                <c:pt idx="65">
                  <c:v>65.205608695652401</c:v>
                </c:pt>
                <c:pt idx="66">
                  <c:v>66.225956521739363</c:v>
                </c:pt>
                <c:pt idx="67">
                  <c:v>67.246304347826324</c:v>
                </c:pt>
                <c:pt idx="68">
                  <c:v>68.266652173913286</c:v>
                </c:pt>
                <c:pt idx="69">
                  <c:v>69.287000000000234</c:v>
                </c:pt>
              </c:numCache>
            </c:numRef>
          </c:xVal>
          <c:yVal>
            <c:numRef>
              <c:f>Sheet12_HID!ydata2</c:f>
              <c:numCache>
                <c:formatCode>General</c:formatCode>
                <c:ptCount val="70"/>
                <c:pt idx="0">
                  <c:v>13.009804920696926</c:v>
                </c:pt>
                <c:pt idx="1">
                  <c:v>13.77892398091323</c:v>
                </c:pt>
                <c:pt idx="2">
                  <c:v>14.548579040679513</c:v>
                </c:pt>
                <c:pt idx="3">
                  <c:v>15.318816409663025</c:v>
                </c:pt>
                <c:pt idx="4">
                  <c:v>16.089687366629924</c:v>
                </c:pt>
                <c:pt idx="5">
                  <c:v>16.861248753988306</c:v>
                </c:pt>
                <c:pt idx="6">
                  <c:v>17.63356364031392</c:v>
                </c:pt>
                <c:pt idx="7">
                  <c:v>18.406702054779011</c:v>
                </c:pt>
                <c:pt idx="8">
                  <c:v>19.180741795618772</c:v>
                </c:pt>
                <c:pt idx="9">
                  <c:v>19.955769311851597</c:v>
                </c:pt>
                <c:pt idx="10">
                  <c:v>20.731880652982898</c:v>
                </c:pt>
                <c:pt idx="11">
                  <c:v>21.509182474816477</c:v>
                </c:pt>
                <c:pt idx="12">
                  <c:v>22.287793080109438</c:v>
                </c:pt>
                <c:pt idx="13">
                  <c:v>23.067843459885232</c:v>
                </c:pt>
                <c:pt idx="14">
                  <c:v>23.849478284005279</c:v>
                </c:pt>
                <c:pt idx="15">
                  <c:v>24.632856767478735</c:v>
                </c:pt>
                <c:pt idx="16">
                  <c:v>25.418153311773676</c:v>
                </c:pt>
                <c:pt idx="17">
                  <c:v>26.205557788756387</c:v>
                </c:pt>
                <c:pt idx="18">
                  <c:v>26.995275300994805</c:v>
                </c:pt>
                <c:pt idx="19">
                  <c:v>27.787525220452579</c:v>
                </c:pt>
                <c:pt idx="20">
                  <c:v>28.582539285550229</c:v>
                </c:pt>
                <c:pt idx="21">
                  <c:v>29.380558535123285</c:v>
                </c:pt>
                <c:pt idx="22">
                  <c:v>30.181828890833749</c:v>
                </c:pt>
                <c:pt idx="23">
                  <c:v>30.986595281610093</c:v>
                </c:pt>
                <c:pt idx="24">
                  <c:v>31.795094345187806</c:v>
                </c:pt>
                <c:pt idx="25">
                  <c:v>32.607545942279941</c:v>
                </c:pt>
                <c:pt idx="26">
                  <c:v>33.424143959251083</c:v>
                </c:pt>
                <c:pt idx="27">
                  <c:v>34.245047113406514</c:v>
                </c:pt>
                <c:pt idx="28">
                  <c:v>35.070370650014837</c:v>
                </c:pt>
                <c:pt idx="29">
                  <c:v>35.900179866920752</c:v>
                </c:pt>
                <c:pt idx="30">
                  <c:v>36.734486276583162</c:v>
                </c:pt>
                <c:pt idx="31">
                  <c:v>37.573246916644557</c:v>
                </c:pt>
                <c:pt idx="32">
                  <c:v>38.416366903218112</c:v>
                </c:pt>
                <c:pt idx="33">
                  <c:v>39.263704881674919</c:v>
                </c:pt>
                <c:pt idx="34">
                  <c:v>40.115080671667585</c:v>
                </c:pt>
                <c:pt idx="35">
                  <c:v>40.970284201282894</c:v>
                </c:pt>
                <c:pt idx="36">
                  <c:v>41.829084802576908</c:v>
                </c:pt>
                <c:pt idx="37">
                  <c:v>42.69124006914096</c:v>
                </c:pt>
                <c:pt idx="38">
                  <c:v>43.556503696132673</c:v>
                </c:pt>
                <c:pt idx="39">
                  <c:v>44.424631969091315</c:v>
                </c:pt>
                <c:pt idx="40">
                  <c:v>45.295388788709182</c:v>
                </c:pt>
                <c:pt idx="41">
                  <c:v>46.168549286008378</c:v>
                </c:pt>
                <c:pt idx="42">
                  <c:v>47.043902188594288</c:v>
                </c:pt>
                <c:pt idx="43">
                  <c:v>47.921251150623881</c:v>
                </c:pt>
                <c:pt idx="44">
                  <c:v>48.800415270380491</c:v>
                </c:pt>
                <c:pt idx="45">
                  <c:v>49.681229004434861</c:v>
                </c:pt>
                <c:pt idx="46">
                  <c:v>50.563541658618092</c:v>
                </c:pt>
                <c:pt idx="47">
                  <c:v>51.447216602358836</c:v>
                </c:pt>
                <c:pt idx="48">
                  <c:v>52.332130319976159</c:v>
                </c:pt>
                <c:pt idx="49">
                  <c:v>53.218171383291448</c:v>
                </c:pt>
                <c:pt idx="50">
                  <c:v>54.105239405643225</c:v>
                </c:pt>
                <c:pt idx="51">
                  <c:v>54.993244018168397</c:v>
                </c:pt>
                <c:pt idx="52">
                  <c:v>55.882103894575003</c:v>
                </c:pt>
                <c:pt idx="53">
                  <c:v>56.771745839851178</c:v>
                </c:pt>
                <c:pt idx="54">
                  <c:v>57.662103950665838</c:v>
                </c:pt>
                <c:pt idx="55">
                  <c:v>58.553118849912011</c:v>
                </c:pt>
                <c:pt idx="56">
                  <c:v>59.444736994325794</c:v>
                </c:pt>
                <c:pt idx="57">
                  <c:v>60.336910051897277</c:v>
                </c:pt>
                <c:pt idx="58">
                  <c:v>61.229594344500903</c:v>
                </c:pt>
                <c:pt idx="59">
                  <c:v>62.122750350526218</c:v>
                </c:pt>
                <c:pt idx="60">
                  <c:v>63.016342262077337</c:v>
                </c:pt>
                <c:pt idx="61">
                  <c:v>63.910337591378813</c:v>
                </c:pt>
                <c:pt idx="62">
                  <c:v>64.804706821269633</c:v>
                </c:pt>
                <c:pt idx="63">
                  <c:v>65.699423095011127</c:v>
                </c:pt>
                <c:pt idx="64">
                  <c:v>66.594461941027305</c:v>
                </c:pt>
                <c:pt idx="65">
                  <c:v>67.489801028605228</c:v>
                </c:pt>
                <c:pt idx="66">
                  <c:v>68.385419950983703</c:v>
                </c:pt>
                <c:pt idx="67">
                  <c:v>69.28130003264279</c:v>
                </c:pt>
                <c:pt idx="68">
                  <c:v>70.177424157960559</c:v>
                </c:pt>
                <c:pt idx="69">
                  <c:v>71.073776618730392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C8-4D90-8012-C83ED2653F65}"/>
            </c:ext>
          </c:extLst>
        </c:ser>
        <c:ser>
          <c:idx val="5"/>
          <c:order val="5"/>
          <c:tx>
            <c:v>Conf. interval (Obs 95%)</c:v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Sheet12_HID!xdata3</c:f>
              <c:numCache>
                <c:formatCode>General</c:formatCode>
                <c:ptCount val="100"/>
                <c:pt idx="0">
                  <c:v>-1.117</c:v>
                </c:pt>
                <c:pt idx="1">
                  <c:v>-0.40584848484848501</c:v>
                </c:pt>
                <c:pt idx="2">
                  <c:v>0.30530303030302997</c:v>
                </c:pt>
                <c:pt idx="3">
                  <c:v>1.0164545454545451</c:v>
                </c:pt>
                <c:pt idx="4">
                  <c:v>1.7276060606060599</c:v>
                </c:pt>
                <c:pt idx="5">
                  <c:v>2.4387575757575748</c:v>
                </c:pt>
                <c:pt idx="6">
                  <c:v>3.1499090909090901</c:v>
                </c:pt>
                <c:pt idx="7">
                  <c:v>3.8610606060606045</c:v>
                </c:pt>
                <c:pt idx="8">
                  <c:v>4.5722121212121198</c:v>
                </c:pt>
                <c:pt idx="9">
                  <c:v>5.2833636363636352</c:v>
                </c:pt>
                <c:pt idx="10">
                  <c:v>5.9945151515151496</c:v>
                </c:pt>
                <c:pt idx="11">
                  <c:v>6.7056666666666649</c:v>
                </c:pt>
                <c:pt idx="12">
                  <c:v>7.4168181818181802</c:v>
                </c:pt>
                <c:pt idx="13">
                  <c:v>8.1279696969696964</c:v>
                </c:pt>
                <c:pt idx="14">
                  <c:v>8.8391212121212099</c:v>
                </c:pt>
                <c:pt idx="15">
                  <c:v>9.5502727272727235</c:v>
                </c:pt>
                <c:pt idx="16">
                  <c:v>10.261424242424241</c:v>
                </c:pt>
                <c:pt idx="17">
                  <c:v>10.972575757575754</c:v>
                </c:pt>
                <c:pt idx="18">
                  <c:v>11.683727272727271</c:v>
                </c:pt>
                <c:pt idx="19">
                  <c:v>12.394878787878785</c:v>
                </c:pt>
                <c:pt idx="20">
                  <c:v>13.106030303030298</c:v>
                </c:pt>
                <c:pt idx="21">
                  <c:v>13.817181818181815</c:v>
                </c:pt>
                <c:pt idx="22">
                  <c:v>14.528333333333329</c:v>
                </c:pt>
                <c:pt idx="23">
                  <c:v>15.239484848484842</c:v>
                </c:pt>
                <c:pt idx="24">
                  <c:v>15.95063636363636</c:v>
                </c:pt>
                <c:pt idx="25">
                  <c:v>16.661787878787873</c:v>
                </c:pt>
                <c:pt idx="26">
                  <c:v>17.37293939393939</c:v>
                </c:pt>
                <c:pt idx="27">
                  <c:v>18.084090909090904</c:v>
                </c:pt>
                <c:pt idx="28">
                  <c:v>18.795242424242417</c:v>
                </c:pt>
                <c:pt idx="29">
                  <c:v>19.506393939393934</c:v>
                </c:pt>
                <c:pt idx="30">
                  <c:v>20.217545454545448</c:v>
                </c:pt>
                <c:pt idx="31">
                  <c:v>20.928696969696965</c:v>
                </c:pt>
                <c:pt idx="32">
                  <c:v>21.639848484848478</c:v>
                </c:pt>
                <c:pt idx="33">
                  <c:v>22.350999999999992</c:v>
                </c:pt>
                <c:pt idx="34">
                  <c:v>23.062151515151509</c:v>
                </c:pt>
                <c:pt idx="35">
                  <c:v>23.773303030303023</c:v>
                </c:pt>
                <c:pt idx="36">
                  <c:v>24.48445454545454</c:v>
                </c:pt>
                <c:pt idx="37">
                  <c:v>25.195606060606053</c:v>
                </c:pt>
                <c:pt idx="38">
                  <c:v>25.906757575757567</c:v>
                </c:pt>
                <c:pt idx="39">
                  <c:v>26.617909090909084</c:v>
                </c:pt>
                <c:pt idx="40">
                  <c:v>27.329060606060597</c:v>
                </c:pt>
                <c:pt idx="41">
                  <c:v>28.040212121212114</c:v>
                </c:pt>
                <c:pt idx="42">
                  <c:v>28.751363636363628</c:v>
                </c:pt>
                <c:pt idx="43">
                  <c:v>29.462515151515142</c:v>
                </c:pt>
                <c:pt idx="44">
                  <c:v>30.173666666666659</c:v>
                </c:pt>
                <c:pt idx="45">
                  <c:v>30.884818181818172</c:v>
                </c:pt>
                <c:pt idx="46">
                  <c:v>31.595969696969686</c:v>
                </c:pt>
                <c:pt idx="47">
                  <c:v>32.30712121212121</c:v>
                </c:pt>
                <c:pt idx="48">
                  <c:v>33.018272727272723</c:v>
                </c:pt>
                <c:pt idx="49">
                  <c:v>33.729424242424237</c:v>
                </c:pt>
                <c:pt idx="50">
                  <c:v>34.440575757575751</c:v>
                </c:pt>
                <c:pt idx="51">
                  <c:v>35.151727272727264</c:v>
                </c:pt>
                <c:pt idx="52">
                  <c:v>35.862878787878785</c:v>
                </c:pt>
                <c:pt idx="53">
                  <c:v>36.574030303030298</c:v>
                </c:pt>
                <c:pt idx="54">
                  <c:v>37.285181818181812</c:v>
                </c:pt>
                <c:pt idx="55">
                  <c:v>37.996333333333325</c:v>
                </c:pt>
                <c:pt idx="56">
                  <c:v>38.707484848484839</c:v>
                </c:pt>
                <c:pt idx="57">
                  <c:v>39.418636363636359</c:v>
                </c:pt>
                <c:pt idx="58">
                  <c:v>40.129787878787873</c:v>
                </c:pt>
                <c:pt idx="59">
                  <c:v>40.840939393939387</c:v>
                </c:pt>
                <c:pt idx="60">
                  <c:v>41.5520909090909</c:v>
                </c:pt>
                <c:pt idx="61">
                  <c:v>42.263242424242414</c:v>
                </c:pt>
                <c:pt idx="62">
                  <c:v>42.974393939393934</c:v>
                </c:pt>
                <c:pt idx="63">
                  <c:v>43.685545454545448</c:v>
                </c:pt>
                <c:pt idx="64">
                  <c:v>44.396696969696961</c:v>
                </c:pt>
                <c:pt idx="65">
                  <c:v>45.107848484848475</c:v>
                </c:pt>
                <c:pt idx="66">
                  <c:v>45.818999999999988</c:v>
                </c:pt>
                <c:pt idx="67">
                  <c:v>46.530151515151509</c:v>
                </c:pt>
                <c:pt idx="68">
                  <c:v>47.241303030303023</c:v>
                </c:pt>
                <c:pt idx="69">
                  <c:v>47.952454545454536</c:v>
                </c:pt>
                <c:pt idx="70">
                  <c:v>48.66360606060605</c:v>
                </c:pt>
                <c:pt idx="71">
                  <c:v>49.374757575757563</c:v>
                </c:pt>
                <c:pt idx="72">
                  <c:v>50.085909090909084</c:v>
                </c:pt>
                <c:pt idx="73">
                  <c:v>50.797060606060597</c:v>
                </c:pt>
                <c:pt idx="74">
                  <c:v>51.508212121212111</c:v>
                </c:pt>
                <c:pt idx="75">
                  <c:v>52.219363636363624</c:v>
                </c:pt>
                <c:pt idx="76">
                  <c:v>52.930515151515138</c:v>
                </c:pt>
                <c:pt idx="77">
                  <c:v>53.641666666666659</c:v>
                </c:pt>
                <c:pt idx="78">
                  <c:v>54.352818181818172</c:v>
                </c:pt>
                <c:pt idx="79">
                  <c:v>55.063969696969686</c:v>
                </c:pt>
                <c:pt idx="80">
                  <c:v>55.775121212121199</c:v>
                </c:pt>
                <c:pt idx="81">
                  <c:v>56.486272727272713</c:v>
                </c:pt>
                <c:pt idx="82">
                  <c:v>57.197424242424233</c:v>
                </c:pt>
                <c:pt idx="83">
                  <c:v>57.908575757575747</c:v>
                </c:pt>
                <c:pt idx="84">
                  <c:v>58.61972727272726</c:v>
                </c:pt>
                <c:pt idx="85">
                  <c:v>59.330878787878774</c:v>
                </c:pt>
                <c:pt idx="86">
                  <c:v>60.042030303030288</c:v>
                </c:pt>
                <c:pt idx="87">
                  <c:v>60.753181818181808</c:v>
                </c:pt>
                <c:pt idx="88">
                  <c:v>61.464333333333322</c:v>
                </c:pt>
                <c:pt idx="89">
                  <c:v>62.175484848484835</c:v>
                </c:pt>
                <c:pt idx="90">
                  <c:v>62.886636363636349</c:v>
                </c:pt>
                <c:pt idx="91">
                  <c:v>63.597787878787862</c:v>
                </c:pt>
                <c:pt idx="92">
                  <c:v>64.308939393939369</c:v>
                </c:pt>
                <c:pt idx="93">
                  <c:v>65.020090909090882</c:v>
                </c:pt>
                <c:pt idx="94">
                  <c:v>65.73124242424241</c:v>
                </c:pt>
                <c:pt idx="95">
                  <c:v>66.442393939393924</c:v>
                </c:pt>
                <c:pt idx="96">
                  <c:v>67.153545454545437</c:v>
                </c:pt>
                <c:pt idx="97">
                  <c:v>67.864696969696951</c:v>
                </c:pt>
                <c:pt idx="98">
                  <c:v>68.575848484848464</c:v>
                </c:pt>
                <c:pt idx="99">
                  <c:v>69.286999999999978</c:v>
                </c:pt>
              </c:numCache>
            </c:numRef>
          </c:xVal>
          <c:yVal>
            <c:numRef>
              <c:f>Sheet12_HID!ydata3</c:f>
              <c:numCache>
                <c:formatCode>General</c:formatCode>
                <c:ptCount val="100"/>
                <c:pt idx="0">
                  <c:v>-8.8851354206088473</c:v>
                </c:pt>
                <c:pt idx="1">
                  <c:v>-8.3011093424693652</c:v>
                </c:pt>
                <c:pt idx="2">
                  <c:v>-7.7172052475862039</c:v>
                </c:pt>
                <c:pt idx="3">
                  <c:v>-7.133423227416765</c:v>
                </c:pt>
                <c:pt idx="4">
                  <c:v>-6.5497633712243921</c:v>
                </c:pt>
                <c:pt idx="5">
                  <c:v>-5.9662257660701421</c:v>
                </c:pt>
                <c:pt idx="6">
                  <c:v>-5.382810496804689</c:v>
                </c:pt>
                <c:pt idx="7">
                  <c:v>-4.7995176460605204</c:v>
                </c:pt>
                <c:pt idx="8">
                  <c:v>-4.2163472942441906</c:v>
                </c:pt>
                <c:pt idx="9">
                  <c:v>-3.6332995195289239</c:v>
                </c:pt>
                <c:pt idx="10">
                  <c:v>-3.0503743978472926</c:v>
                </c:pt>
                <c:pt idx="11">
                  <c:v>-2.4675720028841432</c:v>
                </c:pt>
                <c:pt idx="12">
                  <c:v>-1.8848924060697279</c:v>
                </c:pt>
                <c:pt idx="13">
                  <c:v>-1.3023356765730298</c:v>
                </c:pt>
                <c:pt idx="14">
                  <c:v>-0.71990188129528576</c:v>
                </c:pt>
                <c:pt idx="15">
                  <c:v>-0.13759108486370408</c:v>
                </c:pt>
                <c:pt idx="16">
                  <c:v>0.44459665037457796</c:v>
                </c:pt>
                <c:pt idx="17">
                  <c:v>1.0266612643583457</c:v>
                </c:pt>
                <c:pt idx="18">
                  <c:v>1.6086026993179949</c:v>
                </c:pt>
                <c:pt idx="19">
                  <c:v>2.1904208997809036</c:v>
                </c:pt>
                <c:pt idx="20">
                  <c:v>2.7721158125767289</c:v>
                </c:pt>
                <c:pt idx="21">
                  <c:v>3.3536873868423847</c:v>
                </c:pt>
                <c:pt idx="22">
                  <c:v>3.9351355740268268</c:v>
                </c:pt>
                <c:pt idx="23">
                  <c:v>4.5164603278956896</c:v>
                </c:pt>
                <c:pt idx="24">
                  <c:v>5.0976616045356096</c:v>
                </c:pt>
                <c:pt idx="25">
                  <c:v>5.6787393623584101</c:v>
                </c:pt>
                <c:pt idx="26">
                  <c:v>6.259693562105042</c:v>
                </c:pt>
                <c:pt idx="27">
                  <c:v>6.8405241668492849</c:v>
                </c:pt>
                <c:pt idx="28">
                  <c:v>7.4212311420012647</c:v>
                </c:pt>
                <c:pt idx="29">
                  <c:v>8.0018144553107327</c:v>
                </c:pt>
                <c:pt idx="30">
                  <c:v>8.5822740768701351</c:v>
                </c:pt>
                <c:pt idx="31">
                  <c:v>9.1626099791174482</c:v>
                </c:pt>
                <c:pt idx="32">
                  <c:v>9.742822136838786</c:v>
                </c:pt>
                <c:pt idx="33">
                  <c:v>10.322910527170823</c:v>
                </c:pt>
                <c:pt idx="34">
                  <c:v>10.902875129602965</c:v>
                </c:pt>
                <c:pt idx="35">
                  <c:v>11.482715925979292</c:v>
                </c:pt>
                <c:pt idx="36">
                  <c:v>12.062432900500291</c:v>
                </c:pt>
                <c:pt idx="37">
                  <c:v>12.64202603972435</c:v>
                </c:pt>
                <c:pt idx="38">
                  <c:v>13.221495332569056</c:v>
                </c:pt>
                <c:pt idx="39">
                  <c:v>13.800840770312259</c:v>
                </c:pt>
                <c:pt idx="40">
                  <c:v>14.380062346592879</c:v>
                </c:pt>
                <c:pt idx="41">
                  <c:v>14.95916005741153</c:v>
                </c:pt>
                <c:pt idx="42">
                  <c:v>15.53813390113087</c:v>
                </c:pt>
                <c:pt idx="43">
                  <c:v>16.116983878475811</c:v>
                </c:pt>
                <c:pt idx="44">
                  <c:v>16.695709992533402</c:v>
                </c:pt>
                <c:pt idx="45">
                  <c:v>17.274312248752569</c:v>
                </c:pt>
                <c:pt idx="46">
                  <c:v>17.852790654943568</c:v>
                </c:pt>
                <c:pt idx="47">
                  <c:v>18.431145221277266</c:v>
                </c:pt>
                <c:pt idx="48">
                  <c:v>19.009375960284128</c:v>
                </c:pt>
                <c:pt idx="49">
                  <c:v>19.587482886853071</c:v>
                </c:pt>
                <c:pt idx="50">
                  <c:v>20.165466018230045</c:v>
                </c:pt>
                <c:pt idx="51">
                  <c:v>20.74332537401634</c:v>
                </c:pt>
                <c:pt idx="52">
                  <c:v>21.321060976166784</c:v>
                </c:pt>
                <c:pt idx="53">
                  <c:v>21.898672848987584</c:v>
                </c:pt>
                <c:pt idx="54">
                  <c:v>22.476161019134082</c:v>
                </c:pt>
                <c:pt idx="55">
                  <c:v>23.053525515608186</c:v>
                </c:pt>
                <c:pt idx="56">
                  <c:v>23.630766369755598</c:v>
                </c:pt>
                <c:pt idx="57">
                  <c:v>24.207883615262887</c:v>
                </c:pt>
                <c:pt idx="58">
                  <c:v>24.784877288154217</c:v>
                </c:pt>
                <c:pt idx="59">
                  <c:v>25.361747426788007</c:v>
                </c:pt>
                <c:pt idx="60">
                  <c:v>25.938494071853242</c:v>
                </c:pt>
                <c:pt idx="61">
                  <c:v>26.515117266365642</c:v>
                </c:pt>
                <c:pt idx="62">
                  <c:v>27.091617055663583</c:v>
                </c:pt>
                <c:pt idx="63">
                  <c:v>27.667993487403781</c:v>
                </c:pt>
                <c:pt idx="64">
                  <c:v>28.244246611556846</c:v>
                </c:pt>
                <c:pt idx="65">
                  <c:v>28.820376480402516</c:v>
                </c:pt>
                <c:pt idx="66">
                  <c:v>29.396383148524734</c:v>
                </c:pt>
                <c:pt idx="67">
                  <c:v>29.972266672806516</c:v>
                </c:pt>
                <c:pt idx="68">
                  <c:v>30.54802711242457</c:v>
                </c:pt>
                <c:pt idx="69">
                  <c:v>31.123664528843765</c:v>
                </c:pt>
                <c:pt idx="70">
                  <c:v>31.699178985811319</c:v>
                </c:pt>
                <c:pt idx="71">
                  <c:v>32.274570549350841</c:v>
                </c:pt>
                <c:pt idx="72">
                  <c:v>32.849839287756126</c:v>
                </c:pt>
                <c:pt idx="73">
                  <c:v>33.424985271584788</c:v>
                </c:pt>
                <c:pt idx="74">
                  <c:v>34.000008573651606</c:v>
                </c:pt>
                <c:pt idx="75">
                  <c:v>34.574909269021788</c:v>
                </c:pt>
                <c:pt idx="76">
                  <c:v>35.149687435003926</c:v>
                </c:pt>
                <c:pt idx="77">
                  <c:v>35.724343151142833</c:v>
                </c:pt>
                <c:pt idx="78">
                  <c:v>36.298876499212078</c:v>
                </c:pt>
                <c:pt idx="79">
                  <c:v>36.873287563206475</c:v>
                </c:pt>
                <c:pt idx="80">
                  <c:v>37.447576429334248</c:v>
                </c:pt>
                <c:pt idx="81">
                  <c:v>38.021743186009061</c:v>
                </c:pt>
                <c:pt idx="82">
                  <c:v>38.595787923841826</c:v>
                </c:pt>
                <c:pt idx="83">
                  <c:v>39.169710735632364</c:v>
                </c:pt>
                <c:pt idx="84">
                  <c:v>39.743511716360871</c:v>
                </c:pt>
                <c:pt idx="85">
                  <c:v>40.317190963179122</c:v>
                </c:pt>
                <c:pt idx="86">
                  <c:v>40.890748575401631</c:v>
                </c:pt>
                <c:pt idx="87">
                  <c:v>41.464184654496499</c:v>
                </c:pt>
                <c:pt idx="88">
                  <c:v>42.037499304076128</c:v>
                </c:pt>
                <c:pt idx="89">
                  <c:v>42.610692629887787</c:v>
                </c:pt>
                <c:pt idx="90">
                  <c:v>43.183764739803976</c:v>
                </c:pt>
                <c:pt idx="91">
                  <c:v>43.756715743812606</c:v>
                </c:pt>
                <c:pt idx="92">
                  <c:v>44.329545754007</c:v>
                </c:pt>
                <c:pt idx="93">
                  <c:v>44.902254884575811</c:v>
                </c:pt>
                <c:pt idx="94">
                  <c:v>45.474843251792606</c:v>
                </c:pt>
                <c:pt idx="95">
                  <c:v>46.04731097400542</c:v>
                </c:pt>
                <c:pt idx="96">
                  <c:v>46.619658171626156</c:v>
                </c:pt>
                <c:pt idx="97">
                  <c:v>47.191884967119677</c:v>
                </c:pt>
                <c:pt idx="98">
                  <c:v>47.763991484992957</c:v>
                </c:pt>
                <c:pt idx="99">
                  <c:v>48.335977851783809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C8-4D90-8012-C83ED2653F65}"/>
            </c:ext>
          </c:extLst>
        </c:ser>
        <c:ser>
          <c:idx val="6"/>
          <c:order val="6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Sheet12_HID!xdata4</c:f>
              <c:numCache>
                <c:formatCode>General</c:formatCode>
                <c:ptCount val="100"/>
                <c:pt idx="0">
                  <c:v>-1.117</c:v>
                </c:pt>
                <c:pt idx="1">
                  <c:v>-0.40584848484848501</c:v>
                </c:pt>
                <c:pt idx="2">
                  <c:v>0.30530303030302997</c:v>
                </c:pt>
                <c:pt idx="3">
                  <c:v>1.0164545454545451</c:v>
                </c:pt>
                <c:pt idx="4">
                  <c:v>1.7276060606060599</c:v>
                </c:pt>
                <c:pt idx="5">
                  <c:v>2.4387575757575748</c:v>
                </c:pt>
                <c:pt idx="6">
                  <c:v>3.1499090909090901</c:v>
                </c:pt>
                <c:pt idx="7">
                  <c:v>3.8610606060606045</c:v>
                </c:pt>
                <c:pt idx="8">
                  <c:v>4.5722121212121198</c:v>
                </c:pt>
                <c:pt idx="9">
                  <c:v>5.2833636363636352</c:v>
                </c:pt>
                <c:pt idx="10">
                  <c:v>5.9945151515151496</c:v>
                </c:pt>
                <c:pt idx="11">
                  <c:v>6.7056666666666649</c:v>
                </c:pt>
                <c:pt idx="12">
                  <c:v>7.4168181818181802</c:v>
                </c:pt>
                <c:pt idx="13">
                  <c:v>8.1279696969696964</c:v>
                </c:pt>
                <c:pt idx="14">
                  <c:v>8.8391212121212099</c:v>
                </c:pt>
                <c:pt idx="15">
                  <c:v>9.5502727272727235</c:v>
                </c:pt>
                <c:pt idx="16">
                  <c:v>10.261424242424241</c:v>
                </c:pt>
                <c:pt idx="17">
                  <c:v>10.972575757575754</c:v>
                </c:pt>
                <c:pt idx="18">
                  <c:v>11.683727272727271</c:v>
                </c:pt>
                <c:pt idx="19">
                  <c:v>12.394878787878785</c:v>
                </c:pt>
                <c:pt idx="20">
                  <c:v>13.106030303030298</c:v>
                </c:pt>
                <c:pt idx="21">
                  <c:v>13.817181818181815</c:v>
                </c:pt>
                <c:pt idx="22">
                  <c:v>14.528333333333329</c:v>
                </c:pt>
                <c:pt idx="23">
                  <c:v>15.239484848484842</c:v>
                </c:pt>
                <c:pt idx="24">
                  <c:v>15.95063636363636</c:v>
                </c:pt>
                <c:pt idx="25">
                  <c:v>16.661787878787873</c:v>
                </c:pt>
                <c:pt idx="26">
                  <c:v>17.37293939393939</c:v>
                </c:pt>
                <c:pt idx="27">
                  <c:v>18.084090909090904</c:v>
                </c:pt>
                <c:pt idx="28">
                  <c:v>18.795242424242417</c:v>
                </c:pt>
                <c:pt idx="29">
                  <c:v>19.506393939393934</c:v>
                </c:pt>
                <c:pt idx="30">
                  <c:v>20.217545454545448</c:v>
                </c:pt>
                <c:pt idx="31">
                  <c:v>20.928696969696965</c:v>
                </c:pt>
                <c:pt idx="32">
                  <c:v>21.639848484848478</c:v>
                </c:pt>
                <c:pt idx="33">
                  <c:v>22.350999999999992</c:v>
                </c:pt>
                <c:pt idx="34">
                  <c:v>23.062151515151509</c:v>
                </c:pt>
                <c:pt idx="35">
                  <c:v>23.773303030303023</c:v>
                </c:pt>
                <c:pt idx="36">
                  <c:v>24.48445454545454</c:v>
                </c:pt>
                <c:pt idx="37">
                  <c:v>25.195606060606053</c:v>
                </c:pt>
                <c:pt idx="38">
                  <c:v>25.906757575757567</c:v>
                </c:pt>
                <c:pt idx="39">
                  <c:v>26.617909090909084</c:v>
                </c:pt>
                <c:pt idx="40">
                  <c:v>27.329060606060597</c:v>
                </c:pt>
                <c:pt idx="41">
                  <c:v>28.040212121212114</c:v>
                </c:pt>
                <c:pt idx="42">
                  <c:v>28.751363636363628</c:v>
                </c:pt>
                <c:pt idx="43">
                  <c:v>29.462515151515142</c:v>
                </c:pt>
                <c:pt idx="44">
                  <c:v>30.173666666666659</c:v>
                </c:pt>
                <c:pt idx="45">
                  <c:v>30.884818181818172</c:v>
                </c:pt>
                <c:pt idx="46">
                  <c:v>31.595969696969686</c:v>
                </c:pt>
                <c:pt idx="47">
                  <c:v>32.30712121212121</c:v>
                </c:pt>
                <c:pt idx="48">
                  <c:v>33.018272727272723</c:v>
                </c:pt>
                <c:pt idx="49">
                  <c:v>33.729424242424237</c:v>
                </c:pt>
                <c:pt idx="50">
                  <c:v>34.440575757575751</c:v>
                </c:pt>
                <c:pt idx="51">
                  <c:v>35.151727272727264</c:v>
                </c:pt>
                <c:pt idx="52">
                  <c:v>35.862878787878785</c:v>
                </c:pt>
                <c:pt idx="53">
                  <c:v>36.574030303030298</c:v>
                </c:pt>
                <c:pt idx="54">
                  <c:v>37.285181818181812</c:v>
                </c:pt>
                <c:pt idx="55">
                  <c:v>37.996333333333325</c:v>
                </c:pt>
                <c:pt idx="56">
                  <c:v>38.707484848484839</c:v>
                </c:pt>
                <c:pt idx="57">
                  <c:v>39.418636363636359</c:v>
                </c:pt>
                <c:pt idx="58">
                  <c:v>40.129787878787873</c:v>
                </c:pt>
                <c:pt idx="59">
                  <c:v>40.840939393939387</c:v>
                </c:pt>
                <c:pt idx="60">
                  <c:v>41.5520909090909</c:v>
                </c:pt>
                <c:pt idx="61">
                  <c:v>42.263242424242414</c:v>
                </c:pt>
                <c:pt idx="62">
                  <c:v>42.974393939393934</c:v>
                </c:pt>
                <c:pt idx="63">
                  <c:v>43.685545454545448</c:v>
                </c:pt>
                <c:pt idx="64">
                  <c:v>44.396696969696961</c:v>
                </c:pt>
                <c:pt idx="65">
                  <c:v>45.107848484848475</c:v>
                </c:pt>
                <c:pt idx="66">
                  <c:v>45.818999999999988</c:v>
                </c:pt>
                <c:pt idx="67">
                  <c:v>46.530151515151509</c:v>
                </c:pt>
                <c:pt idx="68">
                  <c:v>47.241303030303023</c:v>
                </c:pt>
                <c:pt idx="69">
                  <c:v>47.952454545454536</c:v>
                </c:pt>
                <c:pt idx="70">
                  <c:v>48.66360606060605</c:v>
                </c:pt>
                <c:pt idx="71">
                  <c:v>49.374757575757563</c:v>
                </c:pt>
                <c:pt idx="72">
                  <c:v>50.085909090909084</c:v>
                </c:pt>
                <c:pt idx="73">
                  <c:v>50.797060606060597</c:v>
                </c:pt>
                <c:pt idx="74">
                  <c:v>51.508212121212111</c:v>
                </c:pt>
                <c:pt idx="75">
                  <c:v>52.219363636363624</c:v>
                </c:pt>
                <c:pt idx="76">
                  <c:v>52.930515151515138</c:v>
                </c:pt>
                <c:pt idx="77">
                  <c:v>53.641666666666659</c:v>
                </c:pt>
                <c:pt idx="78">
                  <c:v>54.352818181818172</c:v>
                </c:pt>
                <c:pt idx="79">
                  <c:v>55.063969696969686</c:v>
                </c:pt>
                <c:pt idx="80">
                  <c:v>55.775121212121199</c:v>
                </c:pt>
                <c:pt idx="81">
                  <c:v>56.486272727272713</c:v>
                </c:pt>
                <c:pt idx="82">
                  <c:v>57.197424242424233</c:v>
                </c:pt>
                <c:pt idx="83">
                  <c:v>57.908575757575747</c:v>
                </c:pt>
                <c:pt idx="84">
                  <c:v>58.61972727272726</c:v>
                </c:pt>
                <c:pt idx="85">
                  <c:v>59.330878787878774</c:v>
                </c:pt>
                <c:pt idx="86">
                  <c:v>60.042030303030288</c:v>
                </c:pt>
                <c:pt idx="87">
                  <c:v>60.753181818181808</c:v>
                </c:pt>
                <c:pt idx="88">
                  <c:v>61.464333333333322</c:v>
                </c:pt>
                <c:pt idx="89">
                  <c:v>62.175484848484835</c:v>
                </c:pt>
                <c:pt idx="90">
                  <c:v>62.886636363636349</c:v>
                </c:pt>
                <c:pt idx="91">
                  <c:v>63.597787878787862</c:v>
                </c:pt>
                <c:pt idx="92">
                  <c:v>64.308939393939369</c:v>
                </c:pt>
                <c:pt idx="93">
                  <c:v>65.020090909090882</c:v>
                </c:pt>
                <c:pt idx="94">
                  <c:v>65.73124242424241</c:v>
                </c:pt>
                <c:pt idx="95">
                  <c:v>66.442393939393924</c:v>
                </c:pt>
                <c:pt idx="96">
                  <c:v>67.153545454545437</c:v>
                </c:pt>
                <c:pt idx="97">
                  <c:v>67.864696969696951</c:v>
                </c:pt>
                <c:pt idx="98">
                  <c:v>68.575848484848464</c:v>
                </c:pt>
                <c:pt idx="99">
                  <c:v>69.286999999999978</c:v>
                </c:pt>
              </c:numCache>
            </c:numRef>
          </c:xVal>
          <c:yVal>
            <c:numRef>
              <c:f>Sheet12_HID!ydata4</c:f>
              <c:numCache>
                <c:formatCode>General</c:formatCode>
                <c:ptCount val="100"/>
                <c:pt idx="0">
                  <c:v>30.294990965026315</c:v>
                </c:pt>
                <c:pt idx="1">
                  <c:v>30.868988596772972</c:v>
                </c:pt>
                <c:pt idx="2">
                  <c:v>31.443108211775954</c:v>
                </c:pt>
                <c:pt idx="3">
                  <c:v>32.017349901492658</c:v>
                </c:pt>
                <c:pt idx="4">
                  <c:v>32.591713755186419</c:v>
                </c:pt>
                <c:pt idx="5">
                  <c:v>33.166199859918308</c:v>
                </c:pt>
                <c:pt idx="6">
                  <c:v>33.740808300539001</c:v>
                </c:pt>
                <c:pt idx="7">
                  <c:v>34.315539159680966</c:v>
                </c:pt>
                <c:pt idx="8">
                  <c:v>34.890392517750783</c:v>
                </c:pt>
                <c:pt idx="9">
                  <c:v>35.465368452921652</c:v>
                </c:pt>
                <c:pt idx="10">
                  <c:v>36.040467041126163</c:v>
                </c:pt>
                <c:pt idx="11">
                  <c:v>36.615688356049148</c:v>
                </c:pt>
                <c:pt idx="12">
                  <c:v>37.191032469120884</c:v>
                </c:pt>
                <c:pt idx="13">
                  <c:v>37.76649944951032</c:v>
                </c:pt>
                <c:pt idx="14">
                  <c:v>38.342089364118713</c:v>
                </c:pt>
                <c:pt idx="15">
                  <c:v>38.917802277573273</c:v>
                </c:pt>
                <c:pt idx="16">
                  <c:v>39.493638252221132</c:v>
                </c:pt>
                <c:pt idx="17">
                  <c:v>40.069597348123501</c:v>
                </c:pt>
                <c:pt idx="18">
                  <c:v>40.64567962305</c:v>
                </c:pt>
                <c:pt idx="19">
                  <c:v>41.221885132473226</c:v>
                </c:pt>
                <c:pt idx="20">
                  <c:v>41.798213929563538</c:v>
                </c:pt>
                <c:pt idx="21">
                  <c:v>42.37466606518403</c:v>
                </c:pt>
                <c:pt idx="22">
                  <c:v>42.951241587885718</c:v>
                </c:pt>
                <c:pt idx="23">
                  <c:v>43.527940543903</c:v>
                </c:pt>
                <c:pt idx="24">
                  <c:v>44.104762977149221</c:v>
                </c:pt>
                <c:pt idx="25">
                  <c:v>44.681708929212562</c:v>
                </c:pt>
                <c:pt idx="26">
                  <c:v>45.258778439352071</c:v>
                </c:pt>
                <c:pt idx="27">
                  <c:v>45.835971544493965</c:v>
                </c:pt>
                <c:pt idx="28">
                  <c:v>46.413288279228126</c:v>
                </c:pt>
                <c:pt idx="29">
                  <c:v>46.990728675804789</c:v>
                </c:pt>
                <c:pt idx="30">
                  <c:v>47.568292764131527</c:v>
                </c:pt>
                <c:pt idx="31">
                  <c:v>48.145980571770366</c:v>
                </c:pt>
                <c:pt idx="32">
                  <c:v>48.723792123935169</c:v>
                </c:pt>
                <c:pt idx="33">
                  <c:v>49.30172744348927</c:v>
                </c:pt>
                <c:pt idx="34">
                  <c:v>49.879786550943265</c:v>
                </c:pt>
                <c:pt idx="35">
                  <c:v>50.457969464453072</c:v>
                </c:pt>
                <c:pt idx="36">
                  <c:v>51.036276199818225</c:v>
                </c:pt>
                <c:pt idx="37">
                  <c:v>51.614706770480304</c:v>
                </c:pt>
                <c:pt idx="38">
                  <c:v>52.193261187521735</c:v>
                </c:pt>
                <c:pt idx="39">
                  <c:v>52.771939459664665</c:v>
                </c:pt>
                <c:pt idx="40">
                  <c:v>53.350741593270186</c:v>
                </c:pt>
                <c:pt idx="41">
                  <c:v>53.929667592337687</c:v>
                </c:pt>
                <c:pt idx="42">
                  <c:v>54.508717458504485</c:v>
                </c:pt>
                <c:pt idx="43">
                  <c:v>55.087891191045685</c:v>
                </c:pt>
                <c:pt idx="44">
                  <c:v>55.667188786874227</c:v>
                </c:pt>
                <c:pt idx="45">
                  <c:v>56.246610240541202</c:v>
                </c:pt>
                <c:pt idx="46">
                  <c:v>56.826155544236336</c:v>
                </c:pt>
                <c:pt idx="47">
                  <c:v>57.405824687788794</c:v>
                </c:pt>
                <c:pt idx="48">
                  <c:v>57.985617658668062</c:v>
                </c:pt>
                <c:pt idx="49">
                  <c:v>58.565534441985264</c:v>
                </c:pt>
                <c:pt idx="50">
                  <c:v>59.14557502049442</c:v>
                </c:pt>
                <c:pt idx="51">
                  <c:v>59.725739374594269</c:v>
                </c:pt>
                <c:pt idx="52">
                  <c:v>60.306027482329974</c:v>
                </c:pt>
                <c:pt idx="53">
                  <c:v>60.886439319395308</c:v>
                </c:pt>
                <c:pt idx="54">
                  <c:v>61.46697485913495</c:v>
                </c:pt>
                <c:pt idx="55">
                  <c:v>62.047634072546984</c:v>
                </c:pt>
                <c:pt idx="56">
                  <c:v>62.628416928285709</c:v>
                </c:pt>
                <c:pt idx="57">
                  <c:v>63.209323392664572</c:v>
                </c:pt>
                <c:pt idx="58">
                  <c:v>63.790353429659376</c:v>
                </c:pt>
                <c:pt idx="59">
                  <c:v>64.37150700091172</c:v>
                </c:pt>
                <c:pt idx="60">
                  <c:v>64.952784065732629</c:v>
                </c:pt>
                <c:pt idx="61">
                  <c:v>65.534184581106359</c:v>
                </c:pt>
                <c:pt idx="62">
                  <c:v>66.11570850169457</c:v>
                </c:pt>
                <c:pt idx="63">
                  <c:v>66.697355779840521</c:v>
                </c:pt>
                <c:pt idx="64">
                  <c:v>67.279126365573589</c:v>
                </c:pt>
                <c:pt idx="65">
                  <c:v>67.861020206614057</c:v>
                </c:pt>
                <c:pt idx="66">
                  <c:v>68.443037248377976</c:v>
                </c:pt>
                <c:pt idx="67">
                  <c:v>69.02517743398235</c:v>
                </c:pt>
                <c:pt idx="68">
                  <c:v>69.607440704250422</c:v>
                </c:pt>
                <c:pt idx="69">
                  <c:v>70.189826997717375</c:v>
                </c:pt>
                <c:pt idx="70">
                  <c:v>70.772336250635959</c:v>
                </c:pt>
                <c:pt idx="71">
                  <c:v>71.354968396982571</c:v>
                </c:pt>
                <c:pt idx="72">
                  <c:v>71.937723368463423</c:v>
                </c:pt>
                <c:pt idx="73">
                  <c:v>72.520601094520899</c:v>
                </c:pt>
                <c:pt idx="74">
                  <c:v>73.103601502340211</c:v>
                </c:pt>
                <c:pt idx="75">
                  <c:v>73.686724516856174</c:v>
                </c:pt>
                <c:pt idx="76">
                  <c:v>74.269970060760173</c:v>
                </c:pt>
                <c:pt idx="77">
                  <c:v>74.853338054507418</c:v>
                </c:pt>
                <c:pt idx="78">
                  <c:v>75.436828416324317</c:v>
                </c:pt>
                <c:pt idx="79">
                  <c:v>76.020441062216051</c:v>
                </c:pt>
                <c:pt idx="80">
                  <c:v>76.604175905974415</c:v>
                </c:pt>
                <c:pt idx="81">
                  <c:v>77.188032859185739</c:v>
                </c:pt>
                <c:pt idx="82">
                  <c:v>77.772011831239126</c:v>
                </c:pt>
                <c:pt idx="83">
                  <c:v>78.356112729334725</c:v>
                </c:pt>
                <c:pt idx="84">
                  <c:v>78.940335458492356</c:v>
                </c:pt>
                <c:pt idx="85">
                  <c:v>79.524679921560249</c:v>
                </c:pt>
                <c:pt idx="86">
                  <c:v>80.109146019223871</c:v>
                </c:pt>
                <c:pt idx="87">
                  <c:v>80.693733650015162</c:v>
                </c:pt>
                <c:pt idx="88">
                  <c:v>81.278442710321656</c:v>
                </c:pt>
                <c:pt idx="89">
                  <c:v>81.863273094396135</c:v>
                </c:pt>
                <c:pt idx="90">
                  <c:v>82.44822469436609</c:v>
                </c:pt>
                <c:pt idx="91">
                  <c:v>83.033297400243598</c:v>
                </c:pt>
                <c:pt idx="92">
                  <c:v>83.618491099935326</c:v>
                </c:pt>
                <c:pt idx="93">
                  <c:v>84.203805679252653</c:v>
                </c:pt>
                <c:pt idx="94">
                  <c:v>84.789241021922038</c:v>
                </c:pt>
                <c:pt idx="95">
                  <c:v>85.374797009595341</c:v>
                </c:pt>
                <c:pt idx="96">
                  <c:v>85.960473521860763</c:v>
                </c:pt>
                <c:pt idx="97">
                  <c:v>86.546270436253366</c:v>
                </c:pt>
                <c:pt idx="98">
                  <c:v>87.132187628266237</c:v>
                </c:pt>
                <c:pt idx="99">
                  <c:v>87.718224971361508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C8-4D90-8012-C83ED2653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663360"/>
        <c:axId val="281739264"/>
      </c:scatterChart>
      <c:valAx>
        <c:axId val="281663360"/>
        <c:scaling>
          <c:orientation val="maxMin"/>
          <c:max val="70"/>
          <c:min val="-1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Estimated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739264"/>
        <c:crosses val="autoZero"/>
        <c:crossBetween val="midCat"/>
      </c:valAx>
      <c:valAx>
        <c:axId val="281739264"/>
        <c:scaling>
          <c:orientation val="minMax"/>
          <c:max val="100"/>
          <c:min val="-2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6633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Estimated Pile Length (ft.)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4'!$C$94:$C$404</c:f>
              <c:numCache>
                <c:formatCode>0.000</c:formatCode>
                <c:ptCount val="311"/>
                <c:pt idx="0">
                  <c:v>10.58</c:v>
                </c:pt>
                <c:pt idx="1">
                  <c:v>10.58</c:v>
                </c:pt>
                <c:pt idx="2">
                  <c:v>10.58</c:v>
                </c:pt>
                <c:pt idx="3">
                  <c:v>10.58</c:v>
                </c:pt>
                <c:pt idx="4">
                  <c:v>10.58</c:v>
                </c:pt>
                <c:pt idx="5">
                  <c:v>10.58</c:v>
                </c:pt>
                <c:pt idx="6">
                  <c:v>10.58</c:v>
                </c:pt>
                <c:pt idx="7">
                  <c:v>10.58</c:v>
                </c:pt>
                <c:pt idx="8">
                  <c:v>10.58</c:v>
                </c:pt>
                <c:pt idx="9">
                  <c:v>10.58</c:v>
                </c:pt>
                <c:pt idx="10">
                  <c:v>10.58</c:v>
                </c:pt>
                <c:pt idx="11">
                  <c:v>5.83</c:v>
                </c:pt>
                <c:pt idx="12">
                  <c:v>5.83</c:v>
                </c:pt>
                <c:pt idx="13">
                  <c:v>5.83</c:v>
                </c:pt>
                <c:pt idx="14">
                  <c:v>5.83</c:v>
                </c:pt>
                <c:pt idx="15">
                  <c:v>10.83</c:v>
                </c:pt>
                <c:pt idx="16">
                  <c:v>10.83</c:v>
                </c:pt>
                <c:pt idx="17">
                  <c:v>10.83</c:v>
                </c:pt>
                <c:pt idx="18">
                  <c:v>10.83</c:v>
                </c:pt>
                <c:pt idx="19">
                  <c:v>21.33</c:v>
                </c:pt>
                <c:pt idx="20">
                  <c:v>16.329999999999998</c:v>
                </c:pt>
                <c:pt idx="21">
                  <c:v>21.33</c:v>
                </c:pt>
                <c:pt idx="22">
                  <c:v>21.33</c:v>
                </c:pt>
                <c:pt idx="23">
                  <c:v>21.33</c:v>
                </c:pt>
                <c:pt idx="24">
                  <c:v>31.33</c:v>
                </c:pt>
                <c:pt idx="25">
                  <c:v>41.08</c:v>
                </c:pt>
                <c:pt idx="26">
                  <c:v>41.08</c:v>
                </c:pt>
                <c:pt idx="27">
                  <c:v>41.08</c:v>
                </c:pt>
                <c:pt idx="28">
                  <c:v>46.33</c:v>
                </c:pt>
                <c:pt idx="29">
                  <c:v>61.33</c:v>
                </c:pt>
                <c:pt idx="30">
                  <c:v>61.33</c:v>
                </c:pt>
                <c:pt idx="31">
                  <c:v>61.33</c:v>
                </c:pt>
                <c:pt idx="32">
                  <c:v>61.33</c:v>
                </c:pt>
                <c:pt idx="33">
                  <c:v>61.33</c:v>
                </c:pt>
                <c:pt idx="34">
                  <c:v>61.33</c:v>
                </c:pt>
                <c:pt idx="35">
                  <c:v>61.33</c:v>
                </c:pt>
                <c:pt idx="36">
                  <c:v>61.33</c:v>
                </c:pt>
                <c:pt idx="37">
                  <c:v>61.33</c:v>
                </c:pt>
                <c:pt idx="38">
                  <c:v>11.33</c:v>
                </c:pt>
                <c:pt idx="39">
                  <c:v>5.83</c:v>
                </c:pt>
                <c:pt idx="40">
                  <c:v>5.83</c:v>
                </c:pt>
                <c:pt idx="41">
                  <c:v>5.83</c:v>
                </c:pt>
                <c:pt idx="42">
                  <c:v>5.83</c:v>
                </c:pt>
                <c:pt idx="43">
                  <c:v>15.83</c:v>
                </c:pt>
                <c:pt idx="44">
                  <c:v>15.83</c:v>
                </c:pt>
                <c:pt idx="45">
                  <c:v>15.83</c:v>
                </c:pt>
                <c:pt idx="46">
                  <c:v>15.83</c:v>
                </c:pt>
                <c:pt idx="47">
                  <c:v>11.33</c:v>
                </c:pt>
                <c:pt idx="48">
                  <c:v>21.08</c:v>
                </c:pt>
                <c:pt idx="49">
                  <c:v>21.08</c:v>
                </c:pt>
                <c:pt idx="50">
                  <c:v>21.08</c:v>
                </c:pt>
                <c:pt idx="51">
                  <c:v>21.08</c:v>
                </c:pt>
                <c:pt idx="52">
                  <c:v>21.08</c:v>
                </c:pt>
                <c:pt idx="53">
                  <c:v>41.08</c:v>
                </c:pt>
                <c:pt idx="54">
                  <c:v>41.08</c:v>
                </c:pt>
                <c:pt idx="55">
                  <c:v>41.08</c:v>
                </c:pt>
                <c:pt idx="56">
                  <c:v>41.08</c:v>
                </c:pt>
                <c:pt idx="57">
                  <c:v>41.08</c:v>
                </c:pt>
                <c:pt idx="58">
                  <c:v>61.08</c:v>
                </c:pt>
                <c:pt idx="59">
                  <c:v>61.08</c:v>
                </c:pt>
                <c:pt idx="60">
                  <c:v>61.08</c:v>
                </c:pt>
                <c:pt idx="61">
                  <c:v>61.08</c:v>
                </c:pt>
                <c:pt idx="62">
                  <c:v>61.33</c:v>
                </c:pt>
                <c:pt idx="63">
                  <c:v>61.33</c:v>
                </c:pt>
                <c:pt idx="64">
                  <c:v>11.33</c:v>
                </c:pt>
                <c:pt idx="65">
                  <c:v>20.079999999999998</c:v>
                </c:pt>
                <c:pt idx="66">
                  <c:v>20.079999999999998</c:v>
                </c:pt>
                <c:pt idx="67">
                  <c:v>20.079999999999998</c:v>
                </c:pt>
                <c:pt idx="68">
                  <c:v>20.079999999999998</c:v>
                </c:pt>
                <c:pt idx="69">
                  <c:v>20.079999999999998</c:v>
                </c:pt>
                <c:pt idx="70">
                  <c:v>20.05</c:v>
                </c:pt>
                <c:pt idx="71">
                  <c:v>40.08</c:v>
                </c:pt>
                <c:pt idx="72">
                  <c:v>40.08</c:v>
                </c:pt>
                <c:pt idx="73">
                  <c:v>40.08</c:v>
                </c:pt>
                <c:pt idx="74">
                  <c:v>40.08</c:v>
                </c:pt>
                <c:pt idx="75">
                  <c:v>40.08</c:v>
                </c:pt>
                <c:pt idx="76">
                  <c:v>40.08</c:v>
                </c:pt>
                <c:pt idx="77">
                  <c:v>60.08</c:v>
                </c:pt>
                <c:pt idx="78">
                  <c:v>60.08</c:v>
                </c:pt>
                <c:pt idx="79">
                  <c:v>60.08</c:v>
                </c:pt>
                <c:pt idx="80">
                  <c:v>60.08</c:v>
                </c:pt>
                <c:pt idx="81">
                  <c:v>61.33</c:v>
                </c:pt>
                <c:pt idx="82">
                  <c:v>8.42</c:v>
                </c:pt>
                <c:pt idx="83">
                  <c:v>20.58</c:v>
                </c:pt>
                <c:pt idx="84">
                  <c:v>20.58</c:v>
                </c:pt>
                <c:pt idx="85">
                  <c:v>20.55</c:v>
                </c:pt>
                <c:pt idx="86">
                  <c:v>20.58</c:v>
                </c:pt>
                <c:pt idx="87">
                  <c:v>20.58</c:v>
                </c:pt>
                <c:pt idx="88">
                  <c:v>20.55</c:v>
                </c:pt>
                <c:pt idx="89">
                  <c:v>23.5</c:v>
                </c:pt>
                <c:pt idx="90">
                  <c:v>20.52</c:v>
                </c:pt>
                <c:pt idx="91">
                  <c:v>20.52</c:v>
                </c:pt>
                <c:pt idx="92">
                  <c:v>20.52</c:v>
                </c:pt>
                <c:pt idx="93">
                  <c:v>20.52</c:v>
                </c:pt>
                <c:pt idx="94">
                  <c:v>20.52</c:v>
                </c:pt>
                <c:pt idx="95">
                  <c:v>20.52</c:v>
                </c:pt>
                <c:pt idx="96">
                  <c:v>38.42</c:v>
                </c:pt>
                <c:pt idx="97">
                  <c:v>35.83</c:v>
                </c:pt>
                <c:pt idx="98">
                  <c:v>35.83</c:v>
                </c:pt>
                <c:pt idx="99">
                  <c:v>35.83</c:v>
                </c:pt>
                <c:pt idx="100">
                  <c:v>35.83</c:v>
                </c:pt>
                <c:pt idx="101">
                  <c:v>35.83</c:v>
                </c:pt>
                <c:pt idx="102">
                  <c:v>34.75</c:v>
                </c:pt>
                <c:pt idx="103">
                  <c:v>34.75</c:v>
                </c:pt>
                <c:pt idx="104">
                  <c:v>4.75</c:v>
                </c:pt>
                <c:pt idx="105">
                  <c:v>19.75</c:v>
                </c:pt>
                <c:pt idx="106">
                  <c:v>34.75</c:v>
                </c:pt>
                <c:pt idx="107">
                  <c:v>34.75</c:v>
                </c:pt>
                <c:pt idx="108">
                  <c:v>4.75</c:v>
                </c:pt>
                <c:pt idx="109">
                  <c:v>17.25</c:v>
                </c:pt>
                <c:pt idx="110">
                  <c:v>17.25</c:v>
                </c:pt>
                <c:pt idx="111">
                  <c:v>17.25</c:v>
                </c:pt>
                <c:pt idx="112">
                  <c:v>17.25</c:v>
                </c:pt>
                <c:pt idx="113">
                  <c:v>17.25</c:v>
                </c:pt>
                <c:pt idx="114">
                  <c:v>17.25</c:v>
                </c:pt>
                <c:pt idx="115">
                  <c:v>19.75</c:v>
                </c:pt>
                <c:pt idx="116">
                  <c:v>28.42</c:v>
                </c:pt>
                <c:pt idx="117">
                  <c:v>28.42</c:v>
                </c:pt>
                <c:pt idx="118">
                  <c:v>28.42</c:v>
                </c:pt>
                <c:pt idx="119">
                  <c:v>28.42</c:v>
                </c:pt>
                <c:pt idx="120">
                  <c:v>28.42</c:v>
                </c:pt>
                <c:pt idx="121">
                  <c:v>28.42</c:v>
                </c:pt>
                <c:pt idx="122">
                  <c:v>35.92</c:v>
                </c:pt>
                <c:pt idx="123">
                  <c:v>40.53</c:v>
                </c:pt>
                <c:pt idx="124">
                  <c:v>40.83</c:v>
                </c:pt>
                <c:pt idx="125">
                  <c:v>40.83</c:v>
                </c:pt>
                <c:pt idx="126">
                  <c:v>40.83</c:v>
                </c:pt>
                <c:pt idx="127">
                  <c:v>40.83</c:v>
                </c:pt>
                <c:pt idx="128">
                  <c:v>53.42</c:v>
                </c:pt>
                <c:pt idx="129">
                  <c:v>50.83</c:v>
                </c:pt>
                <c:pt idx="130">
                  <c:v>50.83</c:v>
                </c:pt>
                <c:pt idx="131">
                  <c:v>50.83</c:v>
                </c:pt>
                <c:pt idx="132">
                  <c:v>50.83</c:v>
                </c:pt>
                <c:pt idx="133">
                  <c:v>53.42</c:v>
                </c:pt>
                <c:pt idx="134">
                  <c:v>53.42</c:v>
                </c:pt>
                <c:pt idx="135">
                  <c:v>5.58</c:v>
                </c:pt>
                <c:pt idx="136">
                  <c:v>5.58</c:v>
                </c:pt>
                <c:pt idx="137">
                  <c:v>5.58</c:v>
                </c:pt>
                <c:pt idx="138">
                  <c:v>6.58</c:v>
                </c:pt>
                <c:pt idx="139">
                  <c:v>5.58</c:v>
                </c:pt>
                <c:pt idx="140">
                  <c:v>5.58</c:v>
                </c:pt>
                <c:pt idx="141">
                  <c:v>20.58</c:v>
                </c:pt>
                <c:pt idx="142">
                  <c:v>20.58</c:v>
                </c:pt>
                <c:pt idx="143">
                  <c:v>20.55</c:v>
                </c:pt>
                <c:pt idx="144">
                  <c:v>20.58</c:v>
                </c:pt>
                <c:pt idx="145">
                  <c:v>20.58</c:v>
                </c:pt>
                <c:pt idx="146">
                  <c:v>20.58</c:v>
                </c:pt>
                <c:pt idx="147">
                  <c:v>28.75</c:v>
                </c:pt>
                <c:pt idx="148">
                  <c:v>28.75</c:v>
                </c:pt>
                <c:pt idx="149">
                  <c:v>28.75</c:v>
                </c:pt>
                <c:pt idx="150">
                  <c:v>28.75</c:v>
                </c:pt>
                <c:pt idx="151">
                  <c:v>28.75</c:v>
                </c:pt>
                <c:pt idx="152">
                  <c:v>28.75</c:v>
                </c:pt>
                <c:pt idx="153">
                  <c:v>39.25</c:v>
                </c:pt>
                <c:pt idx="154">
                  <c:v>39.25</c:v>
                </c:pt>
                <c:pt idx="155">
                  <c:v>39.25</c:v>
                </c:pt>
                <c:pt idx="156">
                  <c:v>39.25</c:v>
                </c:pt>
                <c:pt idx="157">
                  <c:v>39.25</c:v>
                </c:pt>
                <c:pt idx="158">
                  <c:v>49.75</c:v>
                </c:pt>
                <c:pt idx="159">
                  <c:v>49.75</c:v>
                </c:pt>
                <c:pt idx="160">
                  <c:v>49.75</c:v>
                </c:pt>
                <c:pt idx="161">
                  <c:v>49.75</c:v>
                </c:pt>
                <c:pt idx="162">
                  <c:v>53.42</c:v>
                </c:pt>
                <c:pt idx="163">
                  <c:v>13.42</c:v>
                </c:pt>
                <c:pt idx="164">
                  <c:v>6.97</c:v>
                </c:pt>
                <c:pt idx="165">
                  <c:v>6.97</c:v>
                </c:pt>
                <c:pt idx="166">
                  <c:v>6.97</c:v>
                </c:pt>
                <c:pt idx="167">
                  <c:v>8.42</c:v>
                </c:pt>
                <c:pt idx="168">
                  <c:v>21.67</c:v>
                </c:pt>
                <c:pt idx="169">
                  <c:v>21.67</c:v>
                </c:pt>
                <c:pt idx="170">
                  <c:v>21.67</c:v>
                </c:pt>
                <c:pt idx="171">
                  <c:v>28.42</c:v>
                </c:pt>
                <c:pt idx="172">
                  <c:v>31.67</c:v>
                </c:pt>
                <c:pt idx="173">
                  <c:v>31.67</c:v>
                </c:pt>
                <c:pt idx="174">
                  <c:v>31.67</c:v>
                </c:pt>
                <c:pt idx="175">
                  <c:v>38.42</c:v>
                </c:pt>
                <c:pt idx="176">
                  <c:v>41.67</c:v>
                </c:pt>
                <c:pt idx="177">
                  <c:v>41.67</c:v>
                </c:pt>
                <c:pt idx="178">
                  <c:v>41.67</c:v>
                </c:pt>
                <c:pt idx="179">
                  <c:v>53.42</c:v>
                </c:pt>
                <c:pt idx="180">
                  <c:v>13.42</c:v>
                </c:pt>
                <c:pt idx="181">
                  <c:v>13.42</c:v>
                </c:pt>
                <c:pt idx="182">
                  <c:v>10.83</c:v>
                </c:pt>
                <c:pt idx="183">
                  <c:v>10.83</c:v>
                </c:pt>
                <c:pt idx="184">
                  <c:v>10.83</c:v>
                </c:pt>
                <c:pt idx="185">
                  <c:v>10.83</c:v>
                </c:pt>
                <c:pt idx="186">
                  <c:v>10.83</c:v>
                </c:pt>
                <c:pt idx="187">
                  <c:v>15.42</c:v>
                </c:pt>
                <c:pt idx="188">
                  <c:v>15.42</c:v>
                </c:pt>
                <c:pt idx="189">
                  <c:v>15.42</c:v>
                </c:pt>
                <c:pt idx="190">
                  <c:v>15.42</c:v>
                </c:pt>
                <c:pt idx="191">
                  <c:v>9.42</c:v>
                </c:pt>
                <c:pt idx="192">
                  <c:v>9.42</c:v>
                </c:pt>
                <c:pt idx="193">
                  <c:v>9.42</c:v>
                </c:pt>
                <c:pt idx="194">
                  <c:v>9.42</c:v>
                </c:pt>
                <c:pt idx="195">
                  <c:v>9.42</c:v>
                </c:pt>
                <c:pt idx="196">
                  <c:v>10.58</c:v>
                </c:pt>
                <c:pt idx="197">
                  <c:v>10.58</c:v>
                </c:pt>
                <c:pt idx="198">
                  <c:v>10.55</c:v>
                </c:pt>
                <c:pt idx="199">
                  <c:v>10.58</c:v>
                </c:pt>
                <c:pt idx="200">
                  <c:v>10.58</c:v>
                </c:pt>
                <c:pt idx="201">
                  <c:v>10.55</c:v>
                </c:pt>
                <c:pt idx="202">
                  <c:v>20.55</c:v>
                </c:pt>
                <c:pt idx="203">
                  <c:v>20.55</c:v>
                </c:pt>
                <c:pt idx="204">
                  <c:v>20.58</c:v>
                </c:pt>
                <c:pt idx="205">
                  <c:v>20.55</c:v>
                </c:pt>
                <c:pt idx="206">
                  <c:v>20.58</c:v>
                </c:pt>
                <c:pt idx="207">
                  <c:v>20.55</c:v>
                </c:pt>
                <c:pt idx="208">
                  <c:v>30.58</c:v>
                </c:pt>
                <c:pt idx="209">
                  <c:v>30.55</c:v>
                </c:pt>
                <c:pt idx="210">
                  <c:v>30.58</c:v>
                </c:pt>
                <c:pt idx="211">
                  <c:v>30.58</c:v>
                </c:pt>
                <c:pt idx="212">
                  <c:v>30.58</c:v>
                </c:pt>
                <c:pt idx="213">
                  <c:v>30.55</c:v>
                </c:pt>
                <c:pt idx="214">
                  <c:v>40.83</c:v>
                </c:pt>
                <c:pt idx="215">
                  <c:v>40.83</c:v>
                </c:pt>
                <c:pt idx="216">
                  <c:v>40.83</c:v>
                </c:pt>
                <c:pt idx="217">
                  <c:v>40.83</c:v>
                </c:pt>
                <c:pt idx="218">
                  <c:v>40.83</c:v>
                </c:pt>
                <c:pt idx="219">
                  <c:v>50.83</c:v>
                </c:pt>
                <c:pt idx="220">
                  <c:v>50.83</c:v>
                </c:pt>
                <c:pt idx="221">
                  <c:v>50.83</c:v>
                </c:pt>
                <c:pt idx="222">
                  <c:v>50.83</c:v>
                </c:pt>
                <c:pt idx="223">
                  <c:v>63.42</c:v>
                </c:pt>
                <c:pt idx="224">
                  <c:v>53.42</c:v>
                </c:pt>
                <c:pt idx="225">
                  <c:v>22.58</c:v>
                </c:pt>
                <c:pt idx="226">
                  <c:v>22.58</c:v>
                </c:pt>
                <c:pt idx="227">
                  <c:v>20.83</c:v>
                </c:pt>
                <c:pt idx="228">
                  <c:v>20.83</c:v>
                </c:pt>
                <c:pt idx="229">
                  <c:v>20.83</c:v>
                </c:pt>
                <c:pt idx="230">
                  <c:v>20.83</c:v>
                </c:pt>
                <c:pt idx="231">
                  <c:v>22.68</c:v>
                </c:pt>
                <c:pt idx="232">
                  <c:v>20.83</c:v>
                </c:pt>
                <c:pt idx="233">
                  <c:v>20.83</c:v>
                </c:pt>
                <c:pt idx="234">
                  <c:v>20.83</c:v>
                </c:pt>
                <c:pt idx="235">
                  <c:v>20.83</c:v>
                </c:pt>
                <c:pt idx="236">
                  <c:v>24.83</c:v>
                </c:pt>
                <c:pt idx="237">
                  <c:v>24.83</c:v>
                </c:pt>
                <c:pt idx="238">
                  <c:v>24.83</c:v>
                </c:pt>
                <c:pt idx="239">
                  <c:v>24.83</c:v>
                </c:pt>
                <c:pt idx="240">
                  <c:v>10.83</c:v>
                </c:pt>
                <c:pt idx="241">
                  <c:v>10.83</c:v>
                </c:pt>
                <c:pt idx="242">
                  <c:v>10.83</c:v>
                </c:pt>
                <c:pt idx="243">
                  <c:v>10.83</c:v>
                </c:pt>
                <c:pt idx="244">
                  <c:v>11.67</c:v>
                </c:pt>
                <c:pt idx="245">
                  <c:v>11.67</c:v>
                </c:pt>
                <c:pt idx="246">
                  <c:v>11.67</c:v>
                </c:pt>
                <c:pt idx="247">
                  <c:v>11.67</c:v>
                </c:pt>
                <c:pt idx="248">
                  <c:v>20.83</c:v>
                </c:pt>
                <c:pt idx="249">
                  <c:v>20.83</c:v>
                </c:pt>
                <c:pt idx="250">
                  <c:v>20.83</c:v>
                </c:pt>
                <c:pt idx="251">
                  <c:v>20.83</c:v>
                </c:pt>
                <c:pt idx="252">
                  <c:v>25.83</c:v>
                </c:pt>
                <c:pt idx="253">
                  <c:v>25.83</c:v>
                </c:pt>
                <c:pt idx="254">
                  <c:v>25.83</c:v>
                </c:pt>
                <c:pt idx="255">
                  <c:v>25.83</c:v>
                </c:pt>
                <c:pt idx="256">
                  <c:v>30.83</c:v>
                </c:pt>
                <c:pt idx="257">
                  <c:v>30.83</c:v>
                </c:pt>
                <c:pt idx="258">
                  <c:v>30.83</c:v>
                </c:pt>
                <c:pt idx="259">
                  <c:v>30.83</c:v>
                </c:pt>
                <c:pt idx="260">
                  <c:v>40.83</c:v>
                </c:pt>
                <c:pt idx="261">
                  <c:v>40.83</c:v>
                </c:pt>
                <c:pt idx="262">
                  <c:v>40.83</c:v>
                </c:pt>
                <c:pt idx="263">
                  <c:v>40.53</c:v>
                </c:pt>
                <c:pt idx="264">
                  <c:v>50.83</c:v>
                </c:pt>
                <c:pt idx="265">
                  <c:v>50.83</c:v>
                </c:pt>
                <c:pt idx="266">
                  <c:v>50.83</c:v>
                </c:pt>
                <c:pt idx="267">
                  <c:v>50.83</c:v>
                </c:pt>
                <c:pt idx="268">
                  <c:v>53.42</c:v>
                </c:pt>
                <c:pt idx="269">
                  <c:v>53.42</c:v>
                </c:pt>
                <c:pt idx="270">
                  <c:v>53.42</c:v>
                </c:pt>
                <c:pt idx="271">
                  <c:v>22.58</c:v>
                </c:pt>
                <c:pt idx="272">
                  <c:v>22.58</c:v>
                </c:pt>
                <c:pt idx="273">
                  <c:v>22.58</c:v>
                </c:pt>
                <c:pt idx="274">
                  <c:v>20.83</c:v>
                </c:pt>
                <c:pt idx="275">
                  <c:v>20.83</c:v>
                </c:pt>
                <c:pt idx="276">
                  <c:v>20.83</c:v>
                </c:pt>
                <c:pt idx="277">
                  <c:v>25.42</c:v>
                </c:pt>
                <c:pt idx="278">
                  <c:v>26.67</c:v>
                </c:pt>
                <c:pt idx="279">
                  <c:v>26.67</c:v>
                </c:pt>
                <c:pt idx="280">
                  <c:v>26.67</c:v>
                </c:pt>
                <c:pt idx="281">
                  <c:v>23.42</c:v>
                </c:pt>
                <c:pt idx="282">
                  <c:v>11.67</c:v>
                </c:pt>
                <c:pt idx="283">
                  <c:v>11.67</c:v>
                </c:pt>
                <c:pt idx="284">
                  <c:v>11.67</c:v>
                </c:pt>
                <c:pt idx="285">
                  <c:v>13.42</c:v>
                </c:pt>
                <c:pt idx="286">
                  <c:v>11.67</c:v>
                </c:pt>
                <c:pt idx="287">
                  <c:v>11.67</c:v>
                </c:pt>
                <c:pt idx="288">
                  <c:v>11.67</c:v>
                </c:pt>
                <c:pt idx="289">
                  <c:v>13.42</c:v>
                </c:pt>
                <c:pt idx="290">
                  <c:v>21.67</c:v>
                </c:pt>
                <c:pt idx="291">
                  <c:v>21.67</c:v>
                </c:pt>
                <c:pt idx="292">
                  <c:v>21.67</c:v>
                </c:pt>
                <c:pt idx="293">
                  <c:v>28.42</c:v>
                </c:pt>
                <c:pt idx="294">
                  <c:v>26.67</c:v>
                </c:pt>
                <c:pt idx="295">
                  <c:v>26.67</c:v>
                </c:pt>
                <c:pt idx="296">
                  <c:v>26.67</c:v>
                </c:pt>
                <c:pt idx="297">
                  <c:v>28.42</c:v>
                </c:pt>
                <c:pt idx="298">
                  <c:v>31.67</c:v>
                </c:pt>
                <c:pt idx="299">
                  <c:v>31.67</c:v>
                </c:pt>
                <c:pt idx="300">
                  <c:v>31.67</c:v>
                </c:pt>
                <c:pt idx="301">
                  <c:v>38.42</c:v>
                </c:pt>
                <c:pt idx="302">
                  <c:v>41.67</c:v>
                </c:pt>
                <c:pt idx="303">
                  <c:v>41.67</c:v>
                </c:pt>
                <c:pt idx="304">
                  <c:v>41.67</c:v>
                </c:pt>
                <c:pt idx="305">
                  <c:v>53.42</c:v>
                </c:pt>
                <c:pt idx="306">
                  <c:v>51.67</c:v>
                </c:pt>
                <c:pt idx="307">
                  <c:v>51.67</c:v>
                </c:pt>
                <c:pt idx="308">
                  <c:v>51.67</c:v>
                </c:pt>
                <c:pt idx="309">
                  <c:v>53.42</c:v>
                </c:pt>
                <c:pt idx="310">
                  <c:v>53.42</c:v>
                </c:pt>
              </c:numCache>
            </c:numRef>
          </c:xVal>
          <c:yVal>
            <c:numRef>
              <c:f>'Linear Regression Output 4'!$G$94:$G$404</c:f>
              <c:numCache>
                <c:formatCode>0.000</c:formatCode>
                <c:ptCount val="311"/>
                <c:pt idx="0">
                  <c:v>-0.16673703409582719</c:v>
                </c:pt>
                <c:pt idx="1">
                  <c:v>-0.16673703409582719</c:v>
                </c:pt>
                <c:pt idx="2">
                  <c:v>-0.16673703409582719</c:v>
                </c:pt>
                <c:pt idx="3">
                  <c:v>-0.16673703409582719</c:v>
                </c:pt>
                <c:pt idx="4">
                  <c:v>0.84471093658434837</c:v>
                </c:pt>
                <c:pt idx="5">
                  <c:v>0.64242134244831328</c:v>
                </c:pt>
                <c:pt idx="6">
                  <c:v>-0.26788183116384473</c:v>
                </c:pt>
                <c:pt idx="7">
                  <c:v>0.74356613951633088</c:v>
                </c:pt>
                <c:pt idx="8">
                  <c:v>0.74356613951633088</c:v>
                </c:pt>
                <c:pt idx="9">
                  <c:v>1.7550141101965064</c:v>
                </c:pt>
                <c:pt idx="10">
                  <c:v>0.84471093658434837</c:v>
                </c:pt>
                <c:pt idx="11">
                  <c:v>-1.4697451473822454</c:v>
                </c:pt>
                <c:pt idx="12">
                  <c:v>-0.76173156790612251</c:v>
                </c:pt>
                <c:pt idx="13">
                  <c:v>-0.76173156790612251</c:v>
                </c:pt>
                <c:pt idx="14">
                  <c:v>-0.76173156790612251</c:v>
                </c:pt>
                <c:pt idx="15">
                  <c:v>-0.36432817831237779</c:v>
                </c:pt>
                <c:pt idx="16">
                  <c:v>-6.0893787108325138E-2</c:v>
                </c:pt>
                <c:pt idx="17">
                  <c:v>-0.21261098271035148</c:v>
                </c:pt>
                <c:pt idx="18">
                  <c:v>-0.56661777244841272</c:v>
                </c:pt>
                <c:pt idx="19">
                  <c:v>-1.7175430207467328</c:v>
                </c:pt>
                <c:pt idx="20">
                  <c:v>0.21138392222392627</c:v>
                </c:pt>
                <c:pt idx="21">
                  <c:v>1.3168008912937941</c:v>
                </c:pt>
                <c:pt idx="22">
                  <c:v>1.7213800795658643</c:v>
                </c:pt>
                <c:pt idx="23">
                  <c:v>1.7213800795658643</c:v>
                </c:pt>
                <c:pt idx="24">
                  <c:v>2.0104628734132661</c:v>
                </c:pt>
                <c:pt idx="25">
                  <c:v>1.0811096525249737</c:v>
                </c:pt>
                <c:pt idx="26">
                  <c:v>1.0811096525249737</c:v>
                </c:pt>
                <c:pt idx="27">
                  <c:v>1.0811096525249737</c:v>
                </c:pt>
                <c:pt idx="28">
                  <c:v>0.77519791256208004</c:v>
                </c:pt>
                <c:pt idx="29">
                  <c:v>1.5628288930712451</c:v>
                </c:pt>
                <c:pt idx="30">
                  <c:v>1.4616840960032276</c:v>
                </c:pt>
                <c:pt idx="31">
                  <c:v>1.3605392989352101</c:v>
                </c:pt>
                <c:pt idx="32">
                  <c:v>1.3605392989352101</c:v>
                </c:pt>
                <c:pt idx="33">
                  <c:v>-2.5841077867174747</c:v>
                </c:pt>
                <c:pt idx="34">
                  <c:v>-0.51873103058855607</c:v>
                </c:pt>
                <c:pt idx="35">
                  <c:v>-1.6738046131053168</c:v>
                </c:pt>
                <c:pt idx="36">
                  <c:v>-1.6313237983367492</c:v>
                </c:pt>
                <c:pt idx="37">
                  <c:v>-2.4829629896494572</c:v>
                </c:pt>
                <c:pt idx="38">
                  <c:v>-1.2986122351180118</c:v>
                </c:pt>
                <c:pt idx="39">
                  <c:v>-1.3686003503142279</c:v>
                </c:pt>
                <c:pt idx="40">
                  <c:v>-1.3686003503142279</c:v>
                </c:pt>
                <c:pt idx="41">
                  <c:v>-1.3686003503142279</c:v>
                </c:pt>
                <c:pt idx="42">
                  <c:v>-1.3686003503142279</c:v>
                </c:pt>
                <c:pt idx="43">
                  <c:v>-0.97837275939880797</c:v>
                </c:pt>
                <c:pt idx="44">
                  <c:v>-0.7760831652627731</c:v>
                </c:pt>
                <c:pt idx="45">
                  <c:v>-0.7760831652627731</c:v>
                </c:pt>
                <c:pt idx="46">
                  <c:v>-0.7760831652627731</c:v>
                </c:pt>
                <c:pt idx="47">
                  <c:v>-0.99517784391395903</c:v>
                </c:pt>
                <c:pt idx="48">
                  <c:v>1.4132472384423271</c:v>
                </c:pt>
                <c:pt idx="49">
                  <c:v>1.4557280532108947</c:v>
                </c:pt>
                <c:pt idx="50">
                  <c:v>1.4557280532108947</c:v>
                </c:pt>
                <c:pt idx="51">
                  <c:v>1.4132472384423271</c:v>
                </c:pt>
                <c:pt idx="52">
                  <c:v>1.4132472384423271</c:v>
                </c:pt>
                <c:pt idx="53">
                  <c:v>-1.3463654771074478</c:v>
                </c:pt>
                <c:pt idx="54">
                  <c:v>-1.3463654771074478</c:v>
                </c:pt>
                <c:pt idx="55">
                  <c:v>-1.3463654771074478</c:v>
                </c:pt>
                <c:pt idx="56">
                  <c:v>-0.84064149176736003</c:v>
                </c:pt>
                <c:pt idx="57">
                  <c:v>-3.1483115223219539E-2</c:v>
                </c:pt>
                <c:pt idx="58">
                  <c:v>-2.4876614395689423</c:v>
                </c:pt>
                <c:pt idx="59">
                  <c:v>-0.56591029527660885</c:v>
                </c:pt>
                <c:pt idx="60">
                  <c:v>-2.1417462335963222</c:v>
                </c:pt>
                <c:pt idx="61">
                  <c:v>-0.46476549820859131</c:v>
                </c:pt>
                <c:pt idx="62">
                  <c:v>-3.5530749426290829</c:v>
                </c:pt>
                <c:pt idx="63">
                  <c:v>0.45023612532305196</c:v>
                </c:pt>
                <c:pt idx="64">
                  <c:v>-0.75951046674547817</c:v>
                </c:pt>
                <c:pt idx="65">
                  <c:v>1.0910190475603361</c:v>
                </c:pt>
                <c:pt idx="66">
                  <c:v>1.0910190475603361</c:v>
                </c:pt>
                <c:pt idx="67">
                  <c:v>1.0910190475603361</c:v>
                </c:pt>
                <c:pt idx="68">
                  <c:v>1.0910190475603361</c:v>
                </c:pt>
                <c:pt idx="69">
                  <c:v>1.0910190475603361</c:v>
                </c:pt>
                <c:pt idx="70">
                  <c:v>1.0934895774820381</c:v>
                </c:pt>
                <c:pt idx="71">
                  <c:v>1.0623158528470356</c:v>
                </c:pt>
                <c:pt idx="72">
                  <c:v>-1.8708832621254736</c:v>
                </c:pt>
                <c:pt idx="73">
                  <c:v>-1.8708832621254736</c:v>
                </c:pt>
                <c:pt idx="74">
                  <c:v>1.0623158528470356</c:v>
                </c:pt>
                <c:pt idx="75">
                  <c:v>-2.0731728562615088</c:v>
                </c:pt>
                <c:pt idx="76">
                  <c:v>2.9162999831037975</c:v>
                </c:pt>
                <c:pt idx="77">
                  <c:v>-0.28126970375049415</c:v>
                </c:pt>
                <c:pt idx="78">
                  <c:v>-0.38241450081851175</c:v>
                </c:pt>
                <c:pt idx="79">
                  <c:v>-0.28126970375049415</c:v>
                </c:pt>
                <c:pt idx="80">
                  <c:v>-0.23878888898192663</c:v>
                </c:pt>
                <c:pt idx="81">
                  <c:v>4.5656937050981727E-2</c:v>
                </c:pt>
                <c:pt idx="82">
                  <c:v>-0.94872300390874276</c:v>
                </c:pt>
                <c:pt idx="83">
                  <c:v>-1.2259143851650984</c:v>
                </c:pt>
                <c:pt idx="84">
                  <c:v>-1.2259143851650984</c:v>
                </c:pt>
                <c:pt idx="85">
                  <c:v>-1.2234438552433964</c:v>
                </c:pt>
                <c:pt idx="86">
                  <c:v>-1.2259143851650984</c:v>
                </c:pt>
                <c:pt idx="87">
                  <c:v>-1.2259143851650984</c:v>
                </c:pt>
                <c:pt idx="88">
                  <c:v>-1.2234438552433964</c:v>
                </c:pt>
                <c:pt idx="89">
                  <c:v>-0.15958851942534272</c:v>
                </c:pt>
                <c:pt idx="90">
                  <c:v>-0.72131802780568699</c:v>
                </c:pt>
                <c:pt idx="91">
                  <c:v>-0.82246282487370459</c:v>
                </c:pt>
                <c:pt idx="92">
                  <c:v>-0.82246282487370459</c:v>
                </c:pt>
                <c:pt idx="93">
                  <c:v>0.79585392821457601</c:v>
                </c:pt>
                <c:pt idx="94">
                  <c:v>-0.21559404246559927</c:v>
                </c:pt>
                <c:pt idx="95">
                  <c:v>-0.6201732307376695</c:v>
                </c:pt>
                <c:pt idx="96">
                  <c:v>-1.353876169482197</c:v>
                </c:pt>
                <c:pt idx="97">
                  <c:v>-1.4440214774459441</c:v>
                </c:pt>
                <c:pt idx="98">
                  <c:v>-1.3853574951464942</c:v>
                </c:pt>
                <c:pt idx="99">
                  <c:v>-0.63486310090180409</c:v>
                </c:pt>
                <c:pt idx="100">
                  <c:v>-0.3739095244663182</c:v>
                </c:pt>
                <c:pt idx="101">
                  <c:v>-0.93829749210585633</c:v>
                </c:pt>
                <c:pt idx="102">
                  <c:v>1.5690136829717285</c:v>
                </c:pt>
                <c:pt idx="103">
                  <c:v>-1.1194150230961784</c:v>
                </c:pt>
                <c:pt idx="104">
                  <c:v>-0.10739307511461887</c:v>
                </c:pt>
                <c:pt idx="105">
                  <c:v>-0.53349965942166466</c:v>
                </c:pt>
                <c:pt idx="106">
                  <c:v>0.25413132108750036</c:v>
                </c:pt>
                <c:pt idx="107">
                  <c:v>1.5690136829717285</c:v>
                </c:pt>
                <c:pt idx="108">
                  <c:v>-0.10739307511461887</c:v>
                </c:pt>
                <c:pt idx="109">
                  <c:v>-0.37819456448047567</c:v>
                </c:pt>
                <c:pt idx="110">
                  <c:v>-0.37819456448047567</c:v>
                </c:pt>
                <c:pt idx="111">
                  <c:v>-0.37819456448047567</c:v>
                </c:pt>
                <c:pt idx="112">
                  <c:v>-0.37819456448047567</c:v>
                </c:pt>
                <c:pt idx="113">
                  <c:v>-0.37819456448047567</c:v>
                </c:pt>
                <c:pt idx="114">
                  <c:v>-0.37819456448047567</c:v>
                </c:pt>
                <c:pt idx="115">
                  <c:v>-0.53349965942166466</c:v>
                </c:pt>
                <c:pt idx="116">
                  <c:v>-0.26941261914592024</c:v>
                </c:pt>
                <c:pt idx="117">
                  <c:v>-0.26941261914592024</c:v>
                </c:pt>
                <c:pt idx="118">
                  <c:v>-0.26941261914592024</c:v>
                </c:pt>
                <c:pt idx="119">
                  <c:v>-0.26941261914592024</c:v>
                </c:pt>
                <c:pt idx="120">
                  <c:v>-0.26941261914592024</c:v>
                </c:pt>
                <c:pt idx="121">
                  <c:v>-0.26941261914592024</c:v>
                </c:pt>
                <c:pt idx="122">
                  <c:v>0.57955445791474058</c:v>
                </c:pt>
                <c:pt idx="123">
                  <c:v>1.1021279497931928</c:v>
                </c:pt>
                <c:pt idx="124">
                  <c:v>1.1785674476441859</c:v>
                </c:pt>
                <c:pt idx="125">
                  <c:v>2.2486794006238124</c:v>
                </c:pt>
                <c:pt idx="126">
                  <c:v>1.2372314299436367</c:v>
                </c:pt>
                <c:pt idx="127">
                  <c:v>2.2486794006238124</c:v>
                </c:pt>
                <c:pt idx="128">
                  <c:v>-1.8572213334937537E-3</c:v>
                </c:pt>
                <c:pt idx="129">
                  <c:v>-0.26900592416627167</c:v>
                </c:pt>
                <c:pt idx="130">
                  <c:v>-0.26900592416627167</c:v>
                </c:pt>
                <c:pt idx="131">
                  <c:v>-0.77472990950635945</c:v>
                </c:pt>
                <c:pt idx="132">
                  <c:v>-0.52995950060175745</c:v>
                </c:pt>
                <c:pt idx="133">
                  <c:v>-1.3754035655171728</c:v>
                </c:pt>
                <c:pt idx="134">
                  <c:v>-1.4178843802857395</c:v>
                </c:pt>
                <c:pt idx="135">
                  <c:v>0.31278496689014035</c:v>
                </c:pt>
                <c:pt idx="136">
                  <c:v>0.31278496689014035</c:v>
                </c:pt>
                <c:pt idx="137">
                  <c:v>0.31278496689014035</c:v>
                </c:pt>
                <c:pt idx="138">
                  <c:v>0.23043396950006115</c:v>
                </c:pt>
                <c:pt idx="139">
                  <c:v>0.31278496689014035</c:v>
                </c:pt>
                <c:pt idx="140">
                  <c:v>0.31278496689014035</c:v>
                </c:pt>
                <c:pt idx="141">
                  <c:v>-1.2176820348887741E-2</c:v>
                </c:pt>
                <c:pt idx="142">
                  <c:v>-1.2176820348887741E-2</c:v>
                </c:pt>
                <c:pt idx="143">
                  <c:v>-9.706290427185656E-3</c:v>
                </c:pt>
                <c:pt idx="144">
                  <c:v>-1.2176820348887741E-2</c:v>
                </c:pt>
                <c:pt idx="145">
                  <c:v>-1.2176820348887741E-2</c:v>
                </c:pt>
                <c:pt idx="146">
                  <c:v>-1.2176820348887741E-2</c:v>
                </c:pt>
                <c:pt idx="147">
                  <c:v>-0.26321066525220077</c:v>
                </c:pt>
                <c:pt idx="148">
                  <c:v>-0.26321066525220077</c:v>
                </c:pt>
                <c:pt idx="149">
                  <c:v>-0.26321066525220077</c:v>
                </c:pt>
                <c:pt idx="150">
                  <c:v>-0.26321066525220077</c:v>
                </c:pt>
                <c:pt idx="151">
                  <c:v>-0.26321066525220077</c:v>
                </c:pt>
                <c:pt idx="152">
                  <c:v>-0.26321066525220077</c:v>
                </c:pt>
                <c:pt idx="153">
                  <c:v>1.3501513903183984</c:v>
                </c:pt>
                <c:pt idx="154">
                  <c:v>1.7547305785904685</c:v>
                </c:pt>
                <c:pt idx="155">
                  <c:v>1.6535857815224511</c:v>
                </c:pt>
                <c:pt idx="156">
                  <c:v>1.5949217992230011</c:v>
                </c:pt>
                <c:pt idx="157">
                  <c:v>1.4512961873864159</c:v>
                </c:pt>
                <c:pt idx="158">
                  <c:v>-0.475409654423598</c:v>
                </c:pt>
                <c:pt idx="159">
                  <c:v>-0.3742648573555804</c:v>
                </c:pt>
                <c:pt idx="160">
                  <c:v>-0.3742648573555804</c:v>
                </c:pt>
                <c:pt idx="161">
                  <c:v>-0.3742648573555804</c:v>
                </c:pt>
                <c:pt idx="162">
                  <c:v>-1.0133051920136693</c:v>
                </c:pt>
                <c:pt idx="163">
                  <c:v>-4.5595628974910075E-2</c:v>
                </c:pt>
                <c:pt idx="164">
                  <c:v>0.94577713085058024</c:v>
                </c:pt>
                <c:pt idx="165">
                  <c:v>0.94577713085058024</c:v>
                </c:pt>
                <c:pt idx="166">
                  <c:v>0.94577713085058024</c:v>
                </c:pt>
                <c:pt idx="167">
                  <c:v>0.36615935797548554</c:v>
                </c:pt>
                <c:pt idx="168">
                  <c:v>8.3084213000648565E-3</c:v>
                </c:pt>
                <c:pt idx="169">
                  <c:v>8.3084213000648565E-3</c:v>
                </c:pt>
                <c:pt idx="170">
                  <c:v>8.3084213000648565E-3</c:v>
                </c:pt>
                <c:pt idx="171">
                  <c:v>0.23631136619416754</c:v>
                </c:pt>
                <c:pt idx="172">
                  <c:v>-0.30947756726063858</c:v>
                </c:pt>
                <c:pt idx="173">
                  <c:v>-0.20833277019262103</c:v>
                </c:pt>
                <c:pt idx="174">
                  <c:v>-0.81520155260072669</c:v>
                </c:pt>
                <c:pt idx="175">
                  <c:v>1.6379869277897625</c:v>
                </c:pt>
                <c:pt idx="176">
                  <c:v>1.5979219796750457</c:v>
                </c:pt>
                <c:pt idx="177">
                  <c:v>1.4967771826070282</c:v>
                </c:pt>
                <c:pt idx="178">
                  <c:v>1.5979219796750457</c:v>
                </c:pt>
                <c:pt idx="179">
                  <c:v>-0.60872600374159913</c:v>
                </c:pt>
                <c:pt idx="180">
                  <c:v>-1.1076159981890945</c:v>
                </c:pt>
                <c:pt idx="181">
                  <c:v>-0.85475400551905056</c:v>
                </c:pt>
                <c:pt idx="182">
                  <c:v>0.61374200933535217</c:v>
                </c:pt>
                <c:pt idx="183">
                  <c:v>0.41145241519931702</c:v>
                </c:pt>
                <c:pt idx="184">
                  <c:v>1.3642364035800425</c:v>
                </c:pt>
                <c:pt idx="185">
                  <c:v>1.263091606512025</c:v>
                </c:pt>
                <c:pt idx="186">
                  <c:v>-0.43917532814271065</c:v>
                </c:pt>
                <c:pt idx="187">
                  <c:v>-0.57239599725857082</c:v>
                </c:pt>
                <c:pt idx="188">
                  <c:v>0.39657115865303727</c:v>
                </c:pt>
                <c:pt idx="189">
                  <c:v>0.49771595572105481</c:v>
                </c:pt>
                <c:pt idx="190">
                  <c:v>0.49771595572105481</c:v>
                </c:pt>
                <c:pt idx="191">
                  <c:v>-0.5253500159587341</c:v>
                </c:pt>
                <c:pt idx="192">
                  <c:v>-0.5253500159587341</c:v>
                </c:pt>
                <c:pt idx="193">
                  <c:v>-0.5253500159587341</c:v>
                </c:pt>
                <c:pt idx="194">
                  <c:v>-0.5253500159587341</c:v>
                </c:pt>
                <c:pt idx="195">
                  <c:v>-0.5253500159587341</c:v>
                </c:pt>
                <c:pt idx="196">
                  <c:v>0.305609168211815</c:v>
                </c:pt>
                <c:pt idx="197">
                  <c:v>0.305609168211815</c:v>
                </c:pt>
                <c:pt idx="198">
                  <c:v>0.30807969813351743</c:v>
                </c:pt>
                <c:pt idx="199">
                  <c:v>0.305609168211815</c:v>
                </c:pt>
                <c:pt idx="200">
                  <c:v>0.305609168211815</c:v>
                </c:pt>
                <c:pt idx="201">
                  <c:v>0.61151408933757012</c:v>
                </c:pt>
                <c:pt idx="202">
                  <c:v>9.1438506640831904E-2</c:v>
                </c:pt>
                <c:pt idx="203">
                  <c:v>0.29372810077686701</c:v>
                </c:pt>
                <c:pt idx="204">
                  <c:v>0.19011277378714739</c:v>
                </c:pt>
                <c:pt idx="205">
                  <c:v>0.29372810077686701</c:v>
                </c:pt>
                <c:pt idx="206">
                  <c:v>0.29125757085516496</c:v>
                </c:pt>
                <c:pt idx="207">
                  <c:v>0.39487289784488455</c:v>
                </c:pt>
                <c:pt idx="208">
                  <c:v>-0.53225240304562627</c:v>
                </c:pt>
                <c:pt idx="209">
                  <c:v>-0.42863707605590629</c:v>
                </c:pt>
                <c:pt idx="210">
                  <c:v>-0.53225240304562627</c:v>
                </c:pt>
                <c:pt idx="211">
                  <c:v>-0.43110760597760872</c:v>
                </c:pt>
                <c:pt idx="212">
                  <c:v>-0.53225240304562627</c:v>
                </c:pt>
                <c:pt idx="213">
                  <c:v>-0.73207146725995897</c:v>
                </c:pt>
                <c:pt idx="214">
                  <c:v>1.6832799850135938</c:v>
                </c:pt>
                <c:pt idx="215">
                  <c:v>1.6832799850135938</c:v>
                </c:pt>
                <c:pt idx="216">
                  <c:v>1.3798455938095411</c:v>
                </c:pt>
                <c:pt idx="217">
                  <c:v>1.3211816115100909</c:v>
                </c:pt>
                <c:pt idx="218">
                  <c:v>1.2787007967415236</c:v>
                </c:pt>
                <c:pt idx="219">
                  <c:v>-0.15167795956737162</c:v>
                </c:pt>
                <c:pt idx="220">
                  <c:v>-0.15167795956737162</c:v>
                </c:pt>
                <c:pt idx="221">
                  <c:v>-0.35396755370340677</c:v>
                </c:pt>
                <c:pt idx="222">
                  <c:v>-0.45511235077142431</c:v>
                </c:pt>
                <c:pt idx="223">
                  <c:v>-1.4322359776423903</c:v>
                </c:pt>
                <c:pt idx="224">
                  <c:v>-0.30529161253754644</c:v>
                </c:pt>
                <c:pt idx="225">
                  <c:v>-0.68260280046913391</c:v>
                </c:pt>
                <c:pt idx="226">
                  <c:v>-0.884892394605169</c:v>
                </c:pt>
                <c:pt idx="227">
                  <c:v>-0.61434715283750863</c:v>
                </c:pt>
                <c:pt idx="228">
                  <c:v>-0.61434715283750863</c:v>
                </c:pt>
                <c:pt idx="229">
                  <c:v>-0.10862316749742081</c:v>
                </c:pt>
                <c:pt idx="230">
                  <c:v>-0.26843194686488836</c:v>
                </c:pt>
                <c:pt idx="231">
                  <c:v>0.72518925874410389</c:v>
                </c:pt>
                <c:pt idx="232">
                  <c:v>-0.57186633806894105</c:v>
                </c:pt>
                <c:pt idx="233">
                  <c:v>-0.16728714979687082</c:v>
                </c:pt>
                <c:pt idx="234">
                  <c:v>-0.71549194990552611</c:v>
                </c:pt>
                <c:pt idx="235">
                  <c:v>-0.61434715283750863</c:v>
                </c:pt>
                <c:pt idx="236">
                  <c:v>0.16884162535036815</c:v>
                </c:pt>
                <c:pt idx="237">
                  <c:v>0.16884162535036815</c:v>
                </c:pt>
                <c:pt idx="238">
                  <c:v>-3.3447968785666984E-2</c:v>
                </c:pt>
                <c:pt idx="239">
                  <c:v>6.7696828282350574E-2</c:v>
                </c:pt>
                <c:pt idx="240">
                  <c:v>-0.59999555548085859</c:v>
                </c:pt>
                <c:pt idx="241">
                  <c:v>-0.2965611642768059</c:v>
                </c:pt>
                <c:pt idx="242">
                  <c:v>-0.59999555548085859</c:v>
                </c:pt>
                <c:pt idx="243">
                  <c:v>-0.59999555548085859</c:v>
                </c:pt>
                <c:pt idx="244">
                  <c:v>-0.36573600208447216</c:v>
                </c:pt>
                <c:pt idx="245">
                  <c:v>-0.36573600208447216</c:v>
                </c:pt>
                <c:pt idx="246">
                  <c:v>-0.36573600208447216</c:v>
                </c:pt>
                <c:pt idx="247">
                  <c:v>-0.36573600208447216</c:v>
                </c:pt>
                <c:pt idx="248">
                  <c:v>-0.20976796456543836</c:v>
                </c:pt>
                <c:pt idx="249">
                  <c:v>0.29595602077464944</c:v>
                </c:pt>
                <c:pt idx="250">
                  <c:v>-7.4783704294032402E-3</c:v>
                </c:pt>
                <c:pt idx="251">
                  <c:v>-0.20976796456543836</c:v>
                </c:pt>
                <c:pt idx="252">
                  <c:v>0.18763542502830649</c:v>
                </c:pt>
                <c:pt idx="253">
                  <c:v>0.18763542502830649</c:v>
                </c:pt>
                <c:pt idx="254">
                  <c:v>0.18763542502830649</c:v>
                </c:pt>
                <c:pt idx="255">
                  <c:v>0.18763542502830649</c:v>
                </c:pt>
                <c:pt idx="256">
                  <c:v>-0.68736273249360935</c:v>
                </c:pt>
                <c:pt idx="257">
                  <c:v>-0.58621793542559175</c:v>
                </c:pt>
                <c:pt idx="258">
                  <c:v>-0.52755395312614184</c:v>
                </c:pt>
                <c:pt idx="259">
                  <c:v>-0.22411956192208912</c:v>
                </c:pt>
                <c:pt idx="260">
                  <c:v>2.1890039703536814</c:v>
                </c:pt>
                <c:pt idx="261">
                  <c:v>2.4924383615577343</c:v>
                </c:pt>
                <c:pt idx="262">
                  <c:v>2.3912935644897169</c:v>
                </c:pt>
                <c:pt idx="263">
                  <c:v>2.2137092695707059</c:v>
                </c:pt>
                <c:pt idx="264">
                  <c:v>3.4428467037781019E-2</c:v>
                </c:pt>
                <c:pt idx="265">
                  <c:v>0.13557326410579856</c:v>
                </c:pt>
                <c:pt idx="266">
                  <c:v>0.88606765835048829</c:v>
                </c:pt>
                <c:pt idx="267">
                  <c:v>-0.1678611270982541</c:v>
                </c:pt>
                <c:pt idx="268">
                  <c:v>-0.30529161253754644</c:v>
                </c:pt>
                <c:pt idx="269">
                  <c:v>-0.30529161253754644</c:v>
                </c:pt>
                <c:pt idx="270">
                  <c:v>-0.30529161253754644</c:v>
                </c:pt>
                <c:pt idx="271">
                  <c:v>0.83456915555112943</c:v>
                </c:pt>
                <c:pt idx="272">
                  <c:v>1.3402931408912173</c:v>
                </c:pt>
                <c:pt idx="273">
                  <c:v>2.0483067203673402</c:v>
                </c:pt>
                <c:pt idx="274">
                  <c:v>9.3666426638614311E-2</c:v>
                </c:pt>
                <c:pt idx="275">
                  <c:v>9.3666426638614311E-2</c:v>
                </c:pt>
                <c:pt idx="276">
                  <c:v>0.95339720171676356</c:v>
                </c:pt>
                <c:pt idx="277">
                  <c:v>-6.2817545802890271E-2</c:v>
                </c:pt>
                <c:pt idx="278">
                  <c:v>-0.60573615978636552</c:v>
                </c:pt>
                <c:pt idx="279">
                  <c:v>-0.10001217444627736</c:v>
                </c:pt>
                <c:pt idx="280">
                  <c:v>-0.66440014208581555</c:v>
                </c:pt>
                <c:pt idx="281">
                  <c:v>-2.0403623529233439</c:v>
                </c:pt>
                <c:pt idx="282">
                  <c:v>-0.28077437254733745</c:v>
                </c:pt>
                <c:pt idx="283">
                  <c:v>-0.28077437254733745</c:v>
                </c:pt>
                <c:pt idx="284">
                  <c:v>-0.28077437254733745</c:v>
                </c:pt>
                <c:pt idx="285">
                  <c:v>-1.4616227879271559</c:v>
                </c:pt>
                <c:pt idx="286">
                  <c:v>0.12380481572473281</c:v>
                </c:pt>
                <c:pt idx="287">
                  <c:v>2.2660018656715256E-2</c:v>
                </c:pt>
                <c:pt idx="288">
                  <c:v>2.2660018656715256E-2</c:v>
                </c:pt>
                <c:pt idx="289">
                  <c:v>-0.65246441138301547</c:v>
                </c:pt>
                <c:pt idx="290">
                  <c:v>8.3084213000648565E-3</c:v>
                </c:pt>
                <c:pt idx="291">
                  <c:v>0.10945321836808242</c:v>
                </c:pt>
                <c:pt idx="292">
                  <c:v>0.10945321836808242</c:v>
                </c:pt>
                <c:pt idx="293">
                  <c:v>-0.37055741621393817</c:v>
                </c:pt>
                <c:pt idx="294">
                  <c:v>-0.90917055099041821</c:v>
                </c:pt>
                <c:pt idx="295">
                  <c:v>0.2034222167577753</c:v>
                </c:pt>
                <c:pt idx="296">
                  <c:v>0.2034222167577753</c:v>
                </c:pt>
                <c:pt idx="297">
                  <c:v>0.23631136619416754</c:v>
                </c:pt>
                <c:pt idx="298">
                  <c:v>-6.0431760565859017E-3</c:v>
                </c:pt>
                <c:pt idx="299">
                  <c:v>-6.0431760565859017E-3</c:v>
                </c:pt>
                <c:pt idx="300">
                  <c:v>0.23872723284801603</c:v>
                </c:pt>
                <c:pt idx="301">
                  <c:v>2.0425661160618329</c:v>
                </c:pt>
                <c:pt idx="302">
                  <c:v>2.2047907620831513</c:v>
                </c:pt>
                <c:pt idx="303">
                  <c:v>2.2047907620831513</c:v>
                </c:pt>
                <c:pt idx="304">
                  <c:v>2.2047907620831513</c:v>
                </c:pt>
                <c:pt idx="305">
                  <c:v>0.90844595227866431</c:v>
                </c:pt>
                <c:pt idx="306">
                  <c:v>-0.2370359649059211</c:v>
                </c:pt>
                <c:pt idx="307">
                  <c:v>-0.29569994720537185</c:v>
                </c:pt>
                <c:pt idx="308">
                  <c:v>-0.74275995024600894</c:v>
                </c:pt>
                <c:pt idx="309">
                  <c:v>-0.50758120667358153</c:v>
                </c:pt>
                <c:pt idx="310">
                  <c:v>-0.60872600374159913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C-47E5-9E85-79F2DFFD53DA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10.58</c:v>
              </c:pt>
            </c:numLit>
          </c:xVal>
          <c:yVal>
            <c:numLit>
              <c:formatCode>General</c:formatCode>
              <c:ptCount val="1"/>
              <c:pt idx="0">
                <c:v>-0.16673703409582719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95C-47E5-9E85-79F2DFFD5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770240"/>
        <c:axId val="281776896"/>
      </c:scatterChart>
      <c:valAx>
        <c:axId val="281770240"/>
        <c:scaling>
          <c:orientation val="maxMin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Estimated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776896"/>
        <c:crosses val="autoZero"/>
        <c:crossBetween val="midCat"/>
      </c:valAx>
      <c:valAx>
        <c:axId val="281776896"/>
        <c:scaling>
          <c:orientation val="minMax"/>
          <c:max val="3"/>
          <c:min val="-4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77024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Actual Pile Length (ft.)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4'!$D$94:$D$404</c:f>
              <c:numCache>
                <c:formatCode>0.000</c:formatCode>
                <c:ptCount val="311"/>
                <c:pt idx="0">
                  <c:v>18.579999999999998</c:v>
                </c:pt>
                <c:pt idx="1">
                  <c:v>18.579999999999998</c:v>
                </c:pt>
                <c:pt idx="2">
                  <c:v>18.579999999999998</c:v>
                </c:pt>
                <c:pt idx="3">
                  <c:v>18.579999999999998</c:v>
                </c:pt>
                <c:pt idx="4">
                  <c:v>28.58</c:v>
                </c:pt>
                <c:pt idx="5">
                  <c:v>26.58</c:v>
                </c:pt>
                <c:pt idx="6">
                  <c:v>17.579999999999998</c:v>
                </c:pt>
                <c:pt idx="7">
                  <c:v>27.58</c:v>
                </c:pt>
                <c:pt idx="8">
                  <c:v>27.58</c:v>
                </c:pt>
                <c:pt idx="9">
                  <c:v>37.58</c:v>
                </c:pt>
                <c:pt idx="10">
                  <c:v>28.58</c:v>
                </c:pt>
                <c:pt idx="11">
                  <c:v>1.83</c:v>
                </c:pt>
                <c:pt idx="12">
                  <c:v>8.83</c:v>
                </c:pt>
                <c:pt idx="13">
                  <c:v>8.83</c:v>
                </c:pt>
                <c:pt idx="14">
                  <c:v>8.83</c:v>
                </c:pt>
                <c:pt idx="15">
                  <c:v>16.829999999999998</c:v>
                </c:pt>
                <c:pt idx="16">
                  <c:v>19.829999999999998</c:v>
                </c:pt>
                <c:pt idx="17">
                  <c:v>18.329999999999998</c:v>
                </c:pt>
                <c:pt idx="18">
                  <c:v>14.83</c:v>
                </c:pt>
                <c:pt idx="19">
                  <c:v>12</c:v>
                </c:pt>
                <c:pt idx="20">
                  <c:v>27</c:v>
                </c:pt>
                <c:pt idx="21">
                  <c:v>42</c:v>
                </c:pt>
                <c:pt idx="22">
                  <c:v>46</c:v>
                </c:pt>
                <c:pt idx="23">
                  <c:v>46</c:v>
                </c:pt>
                <c:pt idx="24">
                  <c:v>57</c:v>
                </c:pt>
                <c:pt idx="25">
                  <c:v>55.75</c:v>
                </c:pt>
                <c:pt idx="26">
                  <c:v>55.75</c:v>
                </c:pt>
                <c:pt idx="27">
                  <c:v>55.75</c:v>
                </c:pt>
                <c:pt idx="28">
                  <c:v>57</c:v>
                </c:pt>
                <c:pt idx="29">
                  <c:v>77</c:v>
                </c:pt>
                <c:pt idx="30">
                  <c:v>76</c:v>
                </c:pt>
                <c:pt idx="31">
                  <c:v>75</c:v>
                </c:pt>
                <c:pt idx="32">
                  <c:v>75</c:v>
                </c:pt>
                <c:pt idx="33">
                  <c:v>36</c:v>
                </c:pt>
                <c:pt idx="34">
                  <c:v>56.42</c:v>
                </c:pt>
                <c:pt idx="35">
                  <c:v>45</c:v>
                </c:pt>
                <c:pt idx="36">
                  <c:v>45.42</c:v>
                </c:pt>
                <c:pt idx="37">
                  <c:v>37</c:v>
                </c:pt>
                <c:pt idx="38">
                  <c:v>8</c:v>
                </c:pt>
                <c:pt idx="39">
                  <c:v>2.83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14.83</c:v>
                </c:pt>
                <c:pt idx="44">
                  <c:v>16.829999999999998</c:v>
                </c:pt>
                <c:pt idx="45">
                  <c:v>16.829999999999998</c:v>
                </c:pt>
                <c:pt idx="46">
                  <c:v>16.829999999999998</c:v>
                </c:pt>
                <c:pt idx="47">
                  <c:v>11</c:v>
                </c:pt>
                <c:pt idx="48">
                  <c:v>42.75</c:v>
                </c:pt>
                <c:pt idx="49">
                  <c:v>43.17</c:v>
                </c:pt>
                <c:pt idx="50">
                  <c:v>43.17</c:v>
                </c:pt>
                <c:pt idx="51">
                  <c:v>42.75</c:v>
                </c:pt>
                <c:pt idx="52">
                  <c:v>42.75</c:v>
                </c:pt>
                <c:pt idx="53">
                  <c:v>31.75</c:v>
                </c:pt>
                <c:pt idx="54">
                  <c:v>31.75</c:v>
                </c:pt>
                <c:pt idx="55">
                  <c:v>31.75</c:v>
                </c:pt>
                <c:pt idx="56">
                  <c:v>36.75</c:v>
                </c:pt>
                <c:pt idx="57">
                  <c:v>44.75</c:v>
                </c:pt>
                <c:pt idx="58">
                  <c:v>36.75</c:v>
                </c:pt>
                <c:pt idx="59">
                  <c:v>55.75</c:v>
                </c:pt>
                <c:pt idx="60">
                  <c:v>40.17</c:v>
                </c:pt>
                <c:pt idx="61">
                  <c:v>56.75</c:v>
                </c:pt>
                <c:pt idx="62">
                  <c:v>26.42</c:v>
                </c:pt>
                <c:pt idx="63">
                  <c:v>66</c:v>
                </c:pt>
                <c:pt idx="64">
                  <c:v>13.33</c:v>
                </c:pt>
                <c:pt idx="65">
                  <c:v>38.75</c:v>
                </c:pt>
                <c:pt idx="66">
                  <c:v>38.75</c:v>
                </c:pt>
                <c:pt idx="67">
                  <c:v>38.75</c:v>
                </c:pt>
                <c:pt idx="68">
                  <c:v>38.75</c:v>
                </c:pt>
                <c:pt idx="69">
                  <c:v>38.75</c:v>
                </c:pt>
                <c:pt idx="70">
                  <c:v>38.75</c:v>
                </c:pt>
                <c:pt idx="71">
                  <c:v>54.75</c:v>
                </c:pt>
                <c:pt idx="72">
                  <c:v>25.75</c:v>
                </c:pt>
                <c:pt idx="73">
                  <c:v>25.75</c:v>
                </c:pt>
                <c:pt idx="74">
                  <c:v>54.75</c:v>
                </c:pt>
                <c:pt idx="75">
                  <c:v>23.75</c:v>
                </c:pt>
                <c:pt idx="76">
                  <c:v>73.08</c:v>
                </c:pt>
                <c:pt idx="77">
                  <c:v>57.75</c:v>
                </c:pt>
                <c:pt idx="78">
                  <c:v>56.75</c:v>
                </c:pt>
                <c:pt idx="79">
                  <c:v>57.75</c:v>
                </c:pt>
                <c:pt idx="80">
                  <c:v>58.17</c:v>
                </c:pt>
                <c:pt idx="81">
                  <c:v>62</c:v>
                </c:pt>
                <c:pt idx="82">
                  <c:v>9.09</c:v>
                </c:pt>
                <c:pt idx="83">
                  <c:v>16.25</c:v>
                </c:pt>
                <c:pt idx="84">
                  <c:v>16.25</c:v>
                </c:pt>
                <c:pt idx="85">
                  <c:v>16.25</c:v>
                </c:pt>
                <c:pt idx="86">
                  <c:v>16.25</c:v>
                </c:pt>
                <c:pt idx="87">
                  <c:v>16.25</c:v>
                </c:pt>
                <c:pt idx="88">
                  <c:v>16.25</c:v>
                </c:pt>
                <c:pt idx="89">
                  <c:v>29.17</c:v>
                </c:pt>
                <c:pt idx="90">
                  <c:v>21.19</c:v>
                </c:pt>
                <c:pt idx="91">
                  <c:v>20.190000000000001</c:v>
                </c:pt>
                <c:pt idx="92">
                  <c:v>20.190000000000001</c:v>
                </c:pt>
                <c:pt idx="93">
                  <c:v>36.19</c:v>
                </c:pt>
                <c:pt idx="94">
                  <c:v>26.19</c:v>
                </c:pt>
                <c:pt idx="95">
                  <c:v>22.19</c:v>
                </c:pt>
                <c:pt idx="96">
                  <c:v>29.51</c:v>
                </c:pt>
                <c:pt idx="97">
                  <c:v>26.51</c:v>
                </c:pt>
                <c:pt idx="98">
                  <c:v>27.09</c:v>
                </c:pt>
                <c:pt idx="99">
                  <c:v>34.51</c:v>
                </c:pt>
                <c:pt idx="100">
                  <c:v>37.090000000000003</c:v>
                </c:pt>
                <c:pt idx="101">
                  <c:v>31.51</c:v>
                </c:pt>
                <c:pt idx="102">
                  <c:v>55.42</c:v>
                </c:pt>
                <c:pt idx="103">
                  <c:v>28.84</c:v>
                </c:pt>
                <c:pt idx="104">
                  <c:v>14.42</c:v>
                </c:pt>
                <c:pt idx="105">
                  <c:v>22.42</c:v>
                </c:pt>
                <c:pt idx="106">
                  <c:v>42.42</c:v>
                </c:pt>
                <c:pt idx="107">
                  <c:v>55.42</c:v>
                </c:pt>
                <c:pt idx="108">
                  <c:v>14.42</c:v>
                </c:pt>
                <c:pt idx="109">
                  <c:v>21.92</c:v>
                </c:pt>
                <c:pt idx="110">
                  <c:v>21.92</c:v>
                </c:pt>
                <c:pt idx="111">
                  <c:v>21.92</c:v>
                </c:pt>
                <c:pt idx="112">
                  <c:v>21.92</c:v>
                </c:pt>
                <c:pt idx="113">
                  <c:v>21.92</c:v>
                </c:pt>
                <c:pt idx="114">
                  <c:v>21.92</c:v>
                </c:pt>
                <c:pt idx="115">
                  <c:v>22.42</c:v>
                </c:pt>
                <c:pt idx="116">
                  <c:v>32.090000000000003</c:v>
                </c:pt>
                <c:pt idx="117">
                  <c:v>32.090000000000003</c:v>
                </c:pt>
                <c:pt idx="118">
                  <c:v>32.090000000000003</c:v>
                </c:pt>
                <c:pt idx="119">
                  <c:v>32.090000000000003</c:v>
                </c:pt>
                <c:pt idx="120">
                  <c:v>32.090000000000003</c:v>
                </c:pt>
                <c:pt idx="121">
                  <c:v>32.090000000000003</c:v>
                </c:pt>
                <c:pt idx="122">
                  <c:v>46.59</c:v>
                </c:pt>
                <c:pt idx="123">
                  <c:v>55.51</c:v>
                </c:pt>
                <c:pt idx="124">
                  <c:v>56.51</c:v>
                </c:pt>
                <c:pt idx="125">
                  <c:v>67.09</c:v>
                </c:pt>
                <c:pt idx="126">
                  <c:v>57.09</c:v>
                </c:pt>
                <c:pt idx="127">
                  <c:v>67.09</c:v>
                </c:pt>
                <c:pt idx="128">
                  <c:v>55.09</c:v>
                </c:pt>
                <c:pt idx="129">
                  <c:v>50.34</c:v>
                </c:pt>
                <c:pt idx="130">
                  <c:v>50.34</c:v>
                </c:pt>
                <c:pt idx="131">
                  <c:v>45.34</c:v>
                </c:pt>
                <c:pt idx="132">
                  <c:v>47.76</c:v>
                </c:pt>
                <c:pt idx="133">
                  <c:v>41.51</c:v>
                </c:pt>
                <c:pt idx="134">
                  <c:v>41.09</c:v>
                </c:pt>
                <c:pt idx="135">
                  <c:v>19.25</c:v>
                </c:pt>
                <c:pt idx="136">
                  <c:v>19.25</c:v>
                </c:pt>
                <c:pt idx="137">
                  <c:v>19.25</c:v>
                </c:pt>
                <c:pt idx="138">
                  <c:v>19.25</c:v>
                </c:pt>
                <c:pt idx="139">
                  <c:v>19.25</c:v>
                </c:pt>
                <c:pt idx="140">
                  <c:v>19.25</c:v>
                </c:pt>
                <c:pt idx="141">
                  <c:v>28.25</c:v>
                </c:pt>
                <c:pt idx="142">
                  <c:v>28.25</c:v>
                </c:pt>
                <c:pt idx="143">
                  <c:v>28.25</c:v>
                </c:pt>
                <c:pt idx="144">
                  <c:v>28.25</c:v>
                </c:pt>
                <c:pt idx="145">
                  <c:v>28.25</c:v>
                </c:pt>
                <c:pt idx="146">
                  <c:v>28.25</c:v>
                </c:pt>
                <c:pt idx="147">
                  <c:v>32.42</c:v>
                </c:pt>
                <c:pt idx="148">
                  <c:v>32.42</c:v>
                </c:pt>
                <c:pt idx="149">
                  <c:v>32.42</c:v>
                </c:pt>
                <c:pt idx="150">
                  <c:v>32.42</c:v>
                </c:pt>
                <c:pt idx="151">
                  <c:v>32.42</c:v>
                </c:pt>
                <c:pt idx="152">
                  <c:v>32.42</c:v>
                </c:pt>
                <c:pt idx="153">
                  <c:v>56.92</c:v>
                </c:pt>
                <c:pt idx="154">
                  <c:v>60.92</c:v>
                </c:pt>
                <c:pt idx="155">
                  <c:v>59.92</c:v>
                </c:pt>
                <c:pt idx="156">
                  <c:v>59.34</c:v>
                </c:pt>
                <c:pt idx="157">
                  <c:v>57.92</c:v>
                </c:pt>
                <c:pt idx="158">
                  <c:v>47.42</c:v>
                </c:pt>
                <c:pt idx="159">
                  <c:v>48.42</c:v>
                </c:pt>
                <c:pt idx="160">
                  <c:v>48.42</c:v>
                </c:pt>
                <c:pt idx="161">
                  <c:v>48.42</c:v>
                </c:pt>
                <c:pt idx="162">
                  <c:v>45.09</c:v>
                </c:pt>
                <c:pt idx="163">
                  <c:v>22.09</c:v>
                </c:pt>
                <c:pt idx="164">
                  <c:v>26.64</c:v>
                </c:pt>
                <c:pt idx="165">
                  <c:v>26.64</c:v>
                </c:pt>
                <c:pt idx="166">
                  <c:v>26.64</c:v>
                </c:pt>
                <c:pt idx="167">
                  <c:v>22.09</c:v>
                </c:pt>
                <c:pt idx="168">
                  <c:v>29.34</c:v>
                </c:pt>
                <c:pt idx="169">
                  <c:v>29.34</c:v>
                </c:pt>
                <c:pt idx="170">
                  <c:v>29.34</c:v>
                </c:pt>
                <c:pt idx="171">
                  <c:v>37.090000000000003</c:v>
                </c:pt>
                <c:pt idx="172">
                  <c:v>34.340000000000003</c:v>
                </c:pt>
                <c:pt idx="173">
                  <c:v>35.340000000000003</c:v>
                </c:pt>
                <c:pt idx="174">
                  <c:v>29.34</c:v>
                </c:pt>
                <c:pt idx="175">
                  <c:v>59.09</c:v>
                </c:pt>
                <c:pt idx="176">
                  <c:v>61.34</c:v>
                </c:pt>
                <c:pt idx="177">
                  <c:v>60.34</c:v>
                </c:pt>
                <c:pt idx="178">
                  <c:v>61.34</c:v>
                </c:pt>
                <c:pt idx="179">
                  <c:v>49.09</c:v>
                </c:pt>
                <c:pt idx="180">
                  <c:v>11.59</c:v>
                </c:pt>
                <c:pt idx="181">
                  <c:v>14.09</c:v>
                </c:pt>
                <c:pt idx="182">
                  <c:v>26.5</c:v>
                </c:pt>
                <c:pt idx="183">
                  <c:v>24.5</c:v>
                </c:pt>
                <c:pt idx="184">
                  <c:v>33.92</c:v>
                </c:pt>
                <c:pt idx="185">
                  <c:v>32.92</c:v>
                </c:pt>
                <c:pt idx="186">
                  <c:v>16.09</c:v>
                </c:pt>
                <c:pt idx="187">
                  <c:v>18.510000000000002</c:v>
                </c:pt>
                <c:pt idx="188">
                  <c:v>28.09</c:v>
                </c:pt>
                <c:pt idx="189">
                  <c:v>29.09</c:v>
                </c:pt>
                <c:pt idx="190">
                  <c:v>29.09</c:v>
                </c:pt>
                <c:pt idx="191">
                  <c:v>14.09</c:v>
                </c:pt>
                <c:pt idx="192">
                  <c:v>14.09</c:v>
                </c:pt>
                <c:pt idx="193">
                  <c:v>14.09</c:v>
                </c:pt>
                <c:pt idx="194">
                  <c:v>14.09</c:v>
                </c:pt>
                <c:pt idx="195">
                  <c:v>14.09</c:v>
                </c:pt>
                <c:pt idx="196">
                  <c:v>23.25</c:v>
                </c:pt>
                <c:pt idx="197">
                  <c:v>23.25</c:v>
                </c:pt>
                <c:pt idx="198">
                  <c:v>23.25</c:v>
                </c:pt>
                <c:pt idx="199">
                  <c:v>23.25</c:v>
                </c:pt>
                <c:pt idx="200">
                  <c:v>23.25</c:v>
                </c:pt>
                <c:pt idx="201">
                  <c:v>26.25</c:v>
                </c:pt>
                <c:pt idx="202">
                  <c:v>29.25</c:v>
                </c:pt>
                <c:pt idx="203">
                  <c:v>31.25</c:v>
                </c:pt>
                <c:pt idx="204">
                  <c:v>30.25</c:v>
                </c:pt>
                <c:pt idx="205">
                  <c:v>31.25</c:v>
                </c:pt>
                <c:pt idx="206">
                  <c:v>31.25</c:v>
                </c:pt>
                <c:pt idx="207">
                  <c:v>32.25</c:v>
                </c:pt>
                <c:pt idx="208">
                  <c:v>31.25</c:v>
                </c:pt>
                <c:pt idx="209">
                  <c:v>32.25</c:v>
                </c:pt>
                <c:pt idx="210">
                  <c:v>31.25</c:v>
                </c:pt>
                <c:pt idx="211">
                  <c:v>32.25</c:v>
                </c:pt>
                <c:pt idx="212">
                  <c:v>31.25</c:v>
                </c:pt>
                <c:pt idx="213">
                  <c:v>29.25</c:v>
                </c:pt>
                <c:pt idx="214">
                  <c:v>61.5</c:v>
                </c:pt>
                <c:pt idx="215">
                  <c:v>61.5</c:v>
                </c:pt>
                <c:pt idx="216">
                  <c:v>58.5</c:v>
                </c:pt>
                <c:pt idx="217">
                  <c:v>57.92</c:v>
                </c:pt>
                <c:pt idx="218">
                  <c:v>57.5</c:v>
                </c:pt>
                <c:pt idx="219">
                  <c:v>51.5</c:v>
                </c:pt>
                <c:pt idx="220">
                  <c:v>51.5</c:v>
                </c:pt>
                <c:pt idx="221">
                  <c:v>49.5</c:v>
                </c:pt>
                <c:pt idx="222">
                  <c:v>48.5</c:v>
                </c:pt>
                <c:pt idx="223">
                  <c:v>49.09</c:v>
                </c:pt>
                <c:pt idx="224">
                  <c:v>52.09</c:v>
                </c:pt>
                <c:pt idx="225">
                  <c:v>23.25</c:v>
                </c:pt>
                <c:pt idx="226">
                  <c:v>21.25</c:v>
                </c:pt>
                <c:pt idx="227">
                  <c:v>22.5</c:v>
                </c:pt>
                <c:pt idx="228">
                  <c:v>22.5</c:v>
                </c:pt>
                <c:pt idx="229">
                  <c:v>27.5</c:v>
                </c:pt>
                <c:pt idx="230">
                  <c:v>25.92</c:v>
                </c:pt>
                <c:pt idx="231">
                  <c:v>37.25</c:v>
                </c:pt>
                <c:pt idx="232">
                  <c:v>22.92</c:v>
                </c:pt>
                <c:pt idx="233">
                  <c:v>26.92</c:v>
                </c:pt>
                <c:pt idx="234">
                  <c:v>21.5</c:v>
                </c:pt>
                <c:pt idx="235">
                  <c:v>22.5</c:v>
                </c:pt>
                <c:pt idx="236">
                  <c:v>33.5</c:v>
                </c:pt>
                <c:pt idx="237">
                  <c:v>33.5</c:v>
                </c:pt>
                <c:pt idx="238">
                  <c:v>31.5</c:v>
                </c:pt>
                <c:pt idx="239">
                  <c:v>32.5</c:v>
                </c:pt>
                <c:pt idx="240">
                  <c:v>14.5</c:v>
                </c:pt>
                <c:pt idx="241">
                  <c:v>17.5</c:v>
                </c:pt>
                <c:pt idx="242">
                  <c:v>14.5</c:v>
                </c:pt>
                <c:pt idx="243">
                  <c:v>14.5</c:v>
                </c:pt>
                <c:pt idx="244">
                  <c:v>17.5</c:v>
                </c:pt>
                <c:pt idx="245">
                  <c:v>17.5</c:v>
                </c:pt>
                <c:pt idx="246">
                  <c:v>17.5</c:v>
                </c:pt>
                <c:pt idx="247">
                  <c:v>17.5</c:v>
                </c:pt>
                <c:pt idx="248">
                  <c:v>26.5</c:v>
                </c:pt>
                <c:pt idx="249">
                  <c:v>31.5</c:v>
                </c:pt>
                <c:pt idx="250">
                  <c:v>28.5</c:v>
                </c:pt>
                <c:pt idx="251">
                  <c:v>26.5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29.92</c:v>
                </c:pt>
                <c:pt idx="257">
                  <c:v>30.92</c:v>
                </c:pt>
                <c:pt idx="258">
                  <c:v>31.5</c:v>
                </c:pt>
                <c:pt idx="259">
                  <c:v>34.5</c:v>
                </c:pt>
                <c:pt idx="260">
                  <c:v>66.5</c:v>
                </c:pt>
                <c:pt idx="261">
                  <c:v>69.5</c:v>
                </c:pt>
                <c:pt idx="262">
                  <c:v>68.5</c:v>
                </c:pt>
                <c:pt idx="263">
                  <c:v>66.5</c:v>
                </c:pt>
                <c:pt idx="264">
                  <c:v>53.34</c:v>
                </c:pt>
                <c:pt idx="265">
                  <c:v>54.34</c:v>
                </c:pt>
                <c:pt idx="266">
                  <c:v>61.76</c:v>
                </c:pt>
                <c:pt idx="267">
                  <c:v>51.34</c:v>
                </c:pt>
                <c:pt idx="268">
                  <c:v>52.09</c:v>
                </c:pt>
                <c:pt idx="269">
                  <c:v>52.09</c:v>
                </c:pt>
                <c:pt idx="270">
                  <c:v>52.09</c:v>
                </c:pt>
                <c:pt idx="271">
                  <c:v>38.25</c:v>
                </c:pt>
                <c:pt idx="272">
                  <c:v>43.25</c:v>
                </c:pt>
                <c:pt idx="273">
                  <c:v>50.25</c:v>
                </c:pt>
                <c:pt idx="274">
                  <c:v>29.5</c:v>
                </c:pt>
                <c:pt idx="275">
                  <c:v>29.5</c:v>
                </c:pt>
                <c:pt idx="276">
                  <c:v>38</c:v>
                </c:pt>
                <c:pt idx="277">
                  <c:v>31.69</c:v>
                </c:pt>
                <c:pt idx="278">
                  <c:v>27.34</c:v>
                </c:pt>
                <c:pt idx="279">
                  <c:v>32.340000000000003</c:v>
                </c:pt>
                <c:pt idx="280">
                  <c:v>26.76</c:v>
                </c:pt>
                <c:pt idx="281">
                  <c:v>10.51</c:v>
                </c:pt>
                <c:pt idx="282">
                  <c:v>18.34</c:v>
                </c:pt>
                <c:pt idx="283">
                  <c:v>18.34</c:v>
                </c:pt>
                <c:pt idx="284">
                  <c:v>18.34</c:v>
                </c:pt>
                <c:pt idx="285">
                  <c:v>8.09</c:v>
                </c:pt>
                <c:pt idx="286">
                  <c:v>22.34</c:v>
                </c:pt>
                <c:pt idx="287">
                  <c:v>21.34</c:v>
                </c:pt>
                <c:pt idx="288">
                  <c:v>21.34</c:v>
                </c:pt>
                <c:pt idx="289">
                  <c:v>16.09</c:v>
                </c:pt>
                <c:pt idx="290">
                  <c:v>29.34</c:v>
                </c:pt>
                <c:pt idx="291">
                  <c:v>30.34</c:v>
                </c:pt>
                <c:pt idx="292">
                  <c:v>30.34</c:v>
                </c:pt>
                <c:pt idx="293">
                  <c:v>31.09</c:v>
                </c:pt>
                <c:pt idx="294">
                  <c:v>24.34</c:v>
                </c:pt>
                <c:pt idx="295">
                  <c:v>35.340000000000003</c:v>
                </c:pt>
                <c:pt idx="296">
                  <c:v>35.340000000000003</c:v>
                </c:pt>
                <c:pt idx="297">
                  <c:v>37.090000000000003</c:v>
                </c:pt>
                <c:pt idx="298">
                  <c:v>37.340000000000003</c:v>
                </c:pt>
                <c:pt idx="299">
                  <c:v>37.340000000000003</c:v>
                </c:pt>
                <c:pt idx="300">
                  <c:v>39.76</c:v>
                </c:pt>
                <c:pt idx="301">
                  <c:v>63.09</c:v>
                </c:pt>
                <c:pt idx="302">
                  <c:v>67.34</c:v>
                </c:pt>
                <c:pt idx="303">
                  <c:v>67.34</c:v>
                </c:pt>
                <c:pt idx="304">
                  <c:v>67.34</c:v>
                </c:pt>
                <c:pt idx="305">
                  <c:v>64.09</c:v>
                </c:pt>
                <c:pt idx="306">
                  <c:v>51.34</c:v>
                </c:pt>
                <c:pt idx="307">
                  <c:v>50.76</c:v>
                </c:pt>
                <c:pt idx="308">
                  <c:v>46.34</c:v>
                </c:pt>
                <c:pt idx="309">
                  <c:v>50.09</c:v>
                </c:pt>
                <c:pt idx="310">
                  <c:v>49.09</c:v>
                </c:pt>
              </c:numCache>
            </c:numRef>
          </c:xVal>
          <c:yVal>
            <c:numRef>
              <c:f>'Linear Regression Output 4'!$G$94:$G$404</c:f>
              <c:numCache>
                <c:formatCode>0.000</c:formatCode>
                <c:ptCount val="311"/>
                <c:pt idx="0">
                  <c:v>-0.16673703409582719</c:v>
                </c:pt>
                <c:pt idx="1">
                  <c:v>-0.16673703409582719</c:v>
                </c:pt>
                <c:pt idx="2">
                  <c:v>-0.16673703409582719</c:v>
                </c:pt>
                <c:pt idx="3">
                  <c:v>-0.16673703409582719</c:v>
                </c:pt>
                <c:pt idx="4">
                  <c:v>0.84471093658434837</c:v>
                </c:pt>
                <c:pt idx="5">
                  <c:v>0.64242134244831328</c:v>
                </c:pt>
                <c:pt idx="6">
                  <c:v>-0.26788183116384473</c:v>
                </c:pt>
                <c:pt idx="7">
                  <c:v>0.74356613951633088</c:v>
                </c:pt>
                <c:pt idx="8">
                  <c:v>0.74356613951633088</c:v>
                </c:pt>
                <c:pt idx="9">
                  <c:v>1.7550141101965064</c:v>
                </c:pt>
                <c:pt idx="10">
                  <c:v>0.84471093658434837</c:v>
                </c:pt>
                <c:pt idx="11">
                  <c:v>-1.4697451473822454</c:v>
                </c:pt>
                <c:pt idx="12">
                  <c:v>-0.76173156790612251</c:v>
                </c:pt>
                <c:pt idx="13">
                  <c:v>-0.76173156790612251</c:v>
                </c:pt>
                <c:pt idx="14">
                  <c:v>-0.76173156790612251</c:v>
                </c:pt>
                <c:pt idx="15">
                  <c:v>-0.36432817831237779</c:v>
                </c:pt>
                <c:pt idx="16">
                  <c:v>-6.0893787108325138E-2</c:v>
                </c:pt>
                <c:pt idx="17">
                  <c:v>-0.21261098271035148</c:v>
                </c:pt>
                <c:pt idx="18">
                  <c:v>-0.56661777244841272</c:v>
                </c:pt>
                <c:pt idx="19">
                  <c:v>-1.7175430207467328</c:v>
                </c:pt>
                <c:pt idx="20">
                  <c:v>0.21138392222392627</c:v>
                </c:pt>
                <c:pt idx="21">
                  <c:v>1.3168008912937941</c:v>
                </c:pt>
                <c:pt idx="22">
                  <c:v>1.7213800795658643</c:v>
                </c:pt>
                <c:pt idx="23">
                  <c:v>1.7213800795658643</c:v>
                </c:pt>
                <c:pt idx="24">
                  <c:v>2.0104628734132661</c:v>
                </c:pt>
                <c:pt idx="25">
                  <c:v>1.0811096525249737</c:v>
                </c:pt>
                <c:pt idx="26">
                  <c:v>1.0811096525249737</c:v>
                </c:pt>
                <c:pt idx="27">
                  <c:v>1.0811096525249737</c:v>
                </c:pt>
                <c:pt idx="28">
                  <c:v>0.77519791256208004</c:v>
                </c:pt>
                <c:pt idx="29">
                  <c:v>1.5628288930712451</c:v>
                </c:pt>
                <c:pt idx="30">
                  <c:v>1.4616840960032276</c:v>
                </c:pt>
                <c:pt idx="31">
                  <c:v>1.3605392989352101</c:v>
                </c:pt>
                <c:pt idx="32">
                  <c:v>1.3605392989352101</c:v>
                </c:pt>
                <c:pt idx="33">
                  <c:v>-2.5841077867174747</c:v>
                </c:pt>
                <c:pt idx="34">
                  <c:v>-0.51873103058855607</c:v>
                </c:pt>
                <c:pt idx="35">
                  <c:v>-1.6738046131053168</c:v>
                </c:pt>
                <c:pt idx="36">
                  <c:v>-1.6313237983367492</c:v>
                </c:pt>
                <c:pt idx="37">
                  <c:v>-2.4829629896494572</c:v>
                </c:pt>
                <c:pt idx="38">
                  <c:v>-1.2986122351180118</c:v>
                </c:pt>
                <c:pt idx="39">
                  <c:v>-1.3686003503142279</c:v>
                </c:pt>
                <c:pt idx="40">
                  <c:v>-1.3686003503142279</c:v>
                </c:pt>
                <c:pt idx="41">
                  <c:v>-1.3686003503142279</c:v>
                </c:pt>
                <c:pt idx="42">
                  <c:v>-1.3686003503142279</c:v>
                </c:pt>
                <c:pt idx="43">
                  <c:v>-0.97837275939880797</c:v>
                </c:pt>
                <c:pt idx="44">
                  <c:v>-0.7760831652627731</c:v>
                </c:pt>
                <c:pt idx="45">
                  <c:v>-0.7760831652627731</c:v>
                </c:pt>
                <c:pt idx="46">
                  <c:v>-0.7760831652627731</c:v>
                </c:pt>
                <c:pt idx="47">
                  <c:v>-0.99517784391395903</c:v>
                </c:pt>
                <c:pt idx="48">
                  <c:v>1.4132472384423271</c:v>
                </c:pt>
                <c:pt idx="49">
                  <c:v>1.4557280532108947</c:v>
                </c:pt>
                <c:pt idx="50">
                  <c:v>1.4557280532108947</c:v>
                </c:pt>
                <c:pt idx="51">
                  <c:v>1.4132472384423271</c:v>
                </c:pt>
                <c:pt idx="52">
                  <c:v>1.4132472384423271</c:v>
                </c:pt>
                <c:pt idx="53">
                  <c:v>-1.3463654771074478</c:v>
                </c:pt>
                <c:pt idx="54">
                  <c:v>-1.3463654771074478</c:v>
                </c:pt>
                <c:pt idx="55">
                  <c:v>-1.3463654771074478</c:v>
                </c:pt>
                <c:pt idx="56">
                  <c:v>-0.84064149176736003</c:v>
                </c:pt>
                <c:pt idx="57">
                  <c:v>-3.1483115223219539E-2</c:v>
                </c:pt>
                <c:pt idx="58">
                  <c:v>-2.4876614395689423</c:v>
                </c:pt>
                <c:pt idx="59">
                  <c:v>-0.56591029527660885</c:v>
                </c:pt>
                <c:pt idx="60">
                  <c:v>-2.1417462335963222</c:v>
                </c:pt>
                <c:pt idx="61">
                  <c:v>-0.46476549820859131</c:v>
                </c:pt>
                <c:pt idx="62">
                  <c:v>-3.5530749426290829</c:v>
                </c:pt>
                <c:pt idx="63">
                  <c:v>0.45023612532305196</c:v>
                </c:pt>
                <c:pt idx="64">
                  <c:v>-0.75951046674547817</c:v>
                </c:pt>
                <c:pt idx="65">
                  <c:v>1.0910190475603361</c:v>
                </c:pt>
                <c:pt idx="66">
                  <c:v>1.0910190475603361</c:v>
                </c:pt>
                <c:pt idx="67">
                  <c:v>1.0910190475603361</c:v>
                </c:pt>
                <c:pt idx="68">
                  <c:v>1.0910190475603361</c:v>
                </c:pt>
                <c:pt idx="69">
                  <c:v>1.0910190475603361</c:v>
                </c:pt>
                <c:pt idx="70">
                  <c:v>1.0934895774820381</c:v>
                </c:pt>
                <c:pt idx="71">
                  <c:v>1.0623158528470356</c:v>
                </c:pt>
                <c:pt idx="72">
                  <c:v>-1.8708832621254736</c:v>
                </c:pt>
                <c:pt idx="73">
                  <c:v>-1.8708832621254736</c:v>
                </c:pt>
                <c:pt idx="74">
                  <c:v>1.0623158528470356</c:v>
                </c:pt>
                <c:pt idx="75">
                  <c:v>-2.0731728562615088</c:v>
                </c:pt>
                <c:pt idx="76">
                  <c:v>2.9162999831037975</c:v>
                </c:pt>
                <c:pt idx="77">
                  <c:v>-0.28126970375049415</c:v>
                </c:pt>
                <c:pt idx="78">
                  <c:v>-0.38241450081851175</c:v>
                </c:pt>
                <c:pt idx="79">
                  <c:v>-0.28126970375049415</c:v>
                </c:pt>
                <c:pt idx="80">
                  <c:v>-0.23878888898192663</c:v>
                </c:pt>
                <c:pt idx="81">
                  <c:v>4.5656937050981727E-2</c:v>
                </c:pt>
                <c:pt idx="82">
                  <c:v>-0.94872300390874276</c:v>
                </c:pt>
                <c:pt idx="83">
                  <c:v>-1.2259143851650984</c:v>
                </c:pt>
                <c:pt idx="84">
                  <c:v>-1.2259143851650984</c:v>
                </c:pt>
                <c:pt idx="85">
                  <c:v>-1.2234438552433964</c:v>
                </c:pt>
                <c:pt idx="86">
                  <c:v>-1.2259143851650984</c:v>
                </c:pt>
                <c:pt idx="87">
                  <c:v>-1.2259143851650984</c:v>
                </c:pt>
                <c:pt idx="88">
                  <c:v>-1.2234438552433964</c:v>
                </c:pt>
                <c:pt idx="89">
                  <c:v>-0.15958851942534272</c:v>
                </c:pt>
                <c:pt idx="90">
                  <c:v>-0.72131802780568699</c:v>
                </c:pt>
                <c:pt idx="91">
                  <c:v>-0.82246282487370459</c:v>
                </c:pt>
                <c:pt idx="92">
                  <c:v>-0.82246282487370459</c:v>
                </c:pt>
                <c:pt idx="93">
                  <c:v>0.79585392821457601</c:v>
                </c:pt>
                <c:pt idx="94">
                  <c:v>-0.21559404246559927</c:v>
                </c:pt>
                <c:pt idx="95">
                  <c:v>-0.6201732307376695</c:v>
                </c:pt>
                <c:pt idx="96">
                  <c:v>-1.353876169482197</c:v>
                </c:pt>
                <c:pt idx="97">
                  <c:v>-1.4440214774459441</c:v>
                </c:pt>
                <c:pt idx="98">
                  <c:v>-1.3853574951464942</c:v>
                </c:pt>
                <c:pt idx="99">
                  <c:v>-0.63486310090180409</c:v>
                </c:pt>
                <c:pt idx="100">
                  <c:v>-0.3739095244663182</c:v>
                </c:pt>
                <c:pt idx="101">
                  <c:v>-0.93829749210585633</c:v>
                </c:pt>
                <c:pt idx="102">
                  <c:v>1.5690136829717285</c:v>
                </c:pt>
                <c:pt idx="103">
                  <c:v>-1.1194150230961784</c:v>
                </c:pt>
                <c:pt idx="104">
                  <c:v>-0.10739307511461887</c:v>
                </c:pt>
                <c:pt idx="105">
                  <c:v>-0.53349965942166466</c:v>
                </c:pt>
                <c:pt idx="106">
                  <c:v>0.25413132108750036</c:v>
                </c:pt>
                <c:pt idx="107">
                  <c:v>1.5690136829717285</c:v>
                </c:pt>
                <c:pt idx="108">
                  <c:v>-0.10739307511461887</c:v>
                </c:pt>
                <c:pt idx="109">
                  <c:v>-0.37819456448047567</c:v>
                </c:pt>
                <c:pt idx="110">
                  <c:v>-0.37819456448047567</c:v>
                </c:pt>
                <c:pt idx="111">
                  <c:v>-0.37819456448047567</c:v>
                </c:pt>
                <c:pt idx="112">
                  <c:v>-0.37819456448047567</c:v>
                </c:pt>
                <c:pt idx="113">
                  <c:v>-0.37819456448047567</c:v>
                </c:pt>
                <c:pt idx="114">
                  <c:v>-0.37819456448047567</c:v>
                </c:pt>
                <c:pt idx="115">
                  <c:v>-0.53349965942166466</c:v>
                </c:pt>
                <c:pt idx="116">
                  <c:v>-0.26941261914592024</c:v>
                </c:pt>
                <c:pt idx="117">
                  <c:v>-0.26941261914592024</c:v>
                </c:pt>
                <c:pt idx="118">
                  <c:v>-0.26941261914592024</c:v>
                </c:pt>
                <c:pt idx="119">
                  <c:v>-0.26941261914592024</c:v>
                </c:pt>
                <c:pt idx="120">
                  <c:v>-0.26941261914592024</c:v>
                </c:pt>
                <c:pt idx="121">
                  <c:v>-0.26941261914592024</c:v>
                </c:pt>
                <c:pt idx="122">
                  <c:v>0.57955445791474058</c:v>
                </c:pt>
                <c:pt idx="123">
                  <c:v>1.1021279497931928</c:v>
                </c:pt>
                <c:pt idx="124">
                  <c:v>1.1785674476441859</c:v>
                </c:pt>
                <c:pt idx="125">
                  <c:v>2.2486794006238124</c:v>
                </c:pt>
                <c:pt idx="126">
                  <c:v>1.2372314299436367</c:v>
                </c:pt>
                <c:pt idx="127">
                  <c:v>2.2486794006238124</c:v>
                </c:pt>
                <c:pt idx="128">
                  <c:v>-1.8572213334937537E-3</c:v>
                </c:pt>
                <c:pt idx="129">
                  <c:v>-0.26900592416627167</c:v>
                </c:pt>
                <c:pt idx="130">
                  <c:v>-0.26900592416627167</c:v>
                </c:pt>
                <c:pt idx="131">
                  <c:v>-0.77472990950635945</c:v>
                </c:pt>
                <c:pt idx="132">
                  <c:v>-0.52995950060175745</c:v>
                </c:pt>
                <c:pt idx="133">
                  <c:v>-1.3754035655171728</c:v>
                </c:pt>
                <c:pt idx="134">
                  <c:v>-1.4178843802857395</c:v>
                </c:pt>
                <c:pt idx="135">
                  <c:v>0.31278496689014035</c:v>
                </c:pt>
                <c:pt idx="136">
                  <c:v>0.31278496689014035</c:v>
                </c:pt>
                <c:pt idx="137">
                  <c:v>0.31278496689014035</c:v>
                </c:pt>
                <c:pt idx="138">
                  <c:v>0.23043396950006115</c:v>
                </c:pt>
                <c:pt idx="139">
                  <c:v>0.31278496689014035</c:v>
                </c:pt>
                <c:pt idx="140">
                  <c:v>0.31278496689014035</c:v>
                </c:pt>
                <c:pt idx="141">
                  <c:v>-1.2176820348887741E-2</c:v>
                </c:pt>
                <c:pt idx="142">
                  <c:v>-1.2176820348887741E-2</c:v>
                </c:pt>
                <c:pt idx="143">
                  <c:v>-9.706290427185656E-3</c:v>
                </c:pt>
                <c:pt idx="144">
                  <c:v>-1.2176820348887741E-2</c:v>
                </c:pt>
                <c:pt idx="145">
                  <c:v>-1.2176820348887741E-2</c:v>
                </c:pt>
                <c:pt idx="146">
                  <c:v>-1.2176820348887741E-2</c:v>
                </c:pt>
                <c:pt idx="147">
                  <c:v>-0.26321066525220077</c:v>
                </c:pt>
                <c:pt idx="148">
                  <c:v>-0.26321066525220077</c:v>
                </c:pt>
                <c:pt idx="149">
                  <c:v>-0.26321066525220077</c:v>
                </c:pt>
                <c:pt idx="150">
                  <c:v>-0.26321066525220077</c:v>
                </c:pt>
                <c:pt idx="151">
                  <c:v>-0.26321066525220077</c:v>
                </c:pt>
                <c:pt idx="152">
                  <c:v>-0.26321066525220077</c:v>
                </c:pt>
                <c:pt idx="153">
                  <c:v>1.3501513903183984</c:v>
                </c:pt>
                <c:pt idx="154">
                  <c:v>1.7547305785904685</c:v>
                </c:pt>
                <c:pt idx="155">
                  <c:v>1.6535857815224511</c:v>
                </c:pt>
                <c:pt idx="156">
                  <c:v>1.5949217992230011</c:v>
                </c:pt>
                <c:pt idx="157">
                  <c:v>1.4512961873864159</c:v>
                </c:pt>
                <c:pt idx="158">
                  <c:v>-0.475409654423598</c:v>
                </c:pt>
                <c:pt idx="159">
                  <c:v>-0.3742648573555804</c:v>
                </c:pt>
                <c:pt idx="160">
                  <c:v>-0.3742648573555804</c:v>
                </c:pt>
                <c:pt idx="161">
                  <c:v>-0.3742648573555804</c:v>
                </c:pt>
                <c:pt idx="162">
                  <c:v>-1.0133051920136693</c:v>
                </c:pt>
                <c:pt idx="163">
                  <c:v>-4.5595628974910075E-2</c:v>
                </c:pt>
                <c:pt idx="164">
                  <c:v>0.94577713085058024</c:v>
                </c:pt>
                <c:pt idx="165">
                  <c:v>0.94577713085058024</c:v>
                </c:pt>
                <c:pt idx="166">
                  <c:v>0.94577713085058024</c:v>
                </c:pt>
                <c:pt idx="167">
                  <c:v>0.36615935797548554</c:v>
                </c:pt>
                <c:pt idx="168">
                  <c:v>8.3084213000648565E-3</c:v>
                </c:pt>
                <c:pt idx="169">
                  <c:v>8.3084213000648565E-3</c:v>
                </c:pt>
                <c:pt idx="170">
                  <c:v>8.3084213000648565E-3</c:v>
                </c:pt>
                <c:pt idx="171">
                  <c:v>0.23631136619416754</c:v>
                </c:pt>
                <c:pt idx="172">
                  <c:v>-0.30947756726063858</c:v>
                </c:pt>
                <c:pt idx="173">
                  <c:v>-0.20833277019262103</c:v>
                </c:pt>
                <c:pt idx="174">
                  <c:v>-0.81520155260072669</c:v>
                </c:pt>
                <c:pt idx="175">
                  <c:v>1.6379869277897625</c:v>
                </c:pt>
                <c:pt idx="176">
                  <c:v>1.5979219796750457</c:v>
                </c:pt>
                <c:pt idx="177">
                  <c:v>1.4967771826070282</c:v>
                </c:pt>
                <c:pt idx="178">
                  <c:v>1.5979219796750457</c:v>
                </c:pt>
                <c:pt idx="179">
                  <c:v>-0.60872600374159913</c:v>
                </c:pt>
                <c:pt idx="180">
                  <c:v>-1.1076159981890945</c:v>
                </c:pt>
                <c:pt idx="181">
                  <c:v>-0.85475400551905056</c:v>
                </c:pt>
                <c:pt idx="182">
                  <c:v>0.61374200933535217</c:v>
                </c:pt>
                <c:pt idx="183">
                  <c:v>0.41145241519931702</c:v>
                </c:pt>
                <c:pt idx="184">
                  <c:v>1.3642364035800425</c:v>
                </c:pt>
                <c:pt idx="185">
                  <c:v>1.263091606512025</c:v>
                </c:pt>
                <c:pt idx="186">
                  <c:v>-0.43917532814271065</c:v>
                </c:pt>
                <c:pt idx="187">
                  <c:v>-0.57239599725857082</c:v>
                </c:pt>
                <c:pt idx="188">
                  <c:v>0.39657115865303727</c:v>
                </c:pt>
                <c:pt idx="189">
                  <c:v>0.49771595572105481</c:v>
                </c:pt>
                <c:pt idx="190">
                  <c:v>0.49771595572105481</c:v>
                </c:pt>
                <c:pt idx="191">
                  <c:v>-0.5253500159587341</c:v>
                </c:pt>
                <c:pt idx="192">
                  <c:v>-0.5253500159587341</c:v>
                </c:pt>
                <c:pt idx="193">
                  <c:v>-0.5253500159587341</c:v>
                </c:pt>
                <c:pt idx="194">
                  <c:v>-0.5253500159587341</c:v>
                </c:pt>
                <c:pt idx="195">
                  <c:v>-0.5253500159587341</c:v>
                </c:pt>
                <c:pt idx="196">
                  <c:v>0.305609168211815</c:v>
                </c:pt>
                <c:pt idx="197">
                  <c:v>0.305609168211815</c:v>
                </c:pt>
                <c:pt idx="198">
                  <c:v>0.30807969813351743</c:v>
                </c:pt>
                <c:pt idx="199">
                  <c:v>0.305609168211815</c:v>
                </c:pt>
                <c:pt idx="200">
                  <c:v>0.305609168211815</c:v>
                </c:pt>
                <c:pt idx="201">
                  <c:v>0.61151408933757012</c:v>
                </c:pt>
                <c:pt idx="202">
                  <c:v>9.1438506640831904E-2</c:v>
                </c:pt>
                <c:pt idx="203">
                  <c:v>0.29372810077686701</c:v>
                </c:pt>
                <c:pt idx="204">
                  <c:v>0.19011277378714739</c:v>
                </c:pt>
                <c:pt idx="205">
                  <c:v>0.29372810077686701</c:v>
                </c:pt>
                <c:pt idx="206">
                  <c:v>0.29125757085516496</c:v>
                </c:pt>
                <c:pt idx="207">
                  <c:v>0.39487289784488455</c:v>
                </c:pt>
                <c:pt idx="208">
                  <c:v>-0.53225240304562627</c:v>
                </c:pt>
                <c:pt idx="209">
                  <c:v>-0.42863707605590629</c:v>
                </c:pt>
                <c:pt idx="210">
                  <c:v>-0.53225240304562627</c:v>
                </c:pt>
                <c:pt idx="211">
                  <c:v>-0.43110760597760872</c:v>
                </c:pt>
                <c:pt idx="212">
                  <c:v>-0.53225240304562627</c:v>
                </c:pt>
                <c:pt idx="213">
                  <c:v>-0.73207146725995897</c:v>
                </c:pt>
                <c:pt idx="214">
                  <c:v>1.6832799850135938</c:v>
                </c:pt>
                <c:pt idx="215">
                  <c:v>1.6832799850135938</c:v>
                </c:pt>
                <c:pt idx="216">
                  <c:v>1.3798455938095411</c:v>
                </c:pt>
                <c:pt idx="217">
                  <c:v>1.3211816115100909</c:v>
                </c:pt>
                <c:pt idx="218">
                  <c:v>1.2787007967415236</c:v>
                </c:pt>
                <c:pt idx="219">
                  <c:v>-0.15167795956737162</c:v>
                </c:pt>
                <c:pt idx="220">
                  <c:v>-0.15167795956737162</c:v>
                </c:pt>
                <c:pt idx="221">
                  <c:v>-0.35396755370340677</c:v>
                </c:pt>
                <c:pt idx="222">
                  <c:v>-0.45511235077142431</c:v>
                </c:pt>
                <c:pt idx="223">
                  <c:v>-1.4322359776423903</c:v>
                </c:pt>
                <c:pt idx="224">
                  <c:v>-0.30529161253754644</c:v>
                </c:pt>
                <c:pt idx="225">
                  <c:v>-0.68260280046913391</c:v>
                </c:pt>
                <c:pt idx="226">
                  <c:v>-0.884892394605169</c:v>
                </c:pt>
                <c:pt idx="227">
                  <c:v>-0.61434715283750863</c:v>
                </c:pt>
                <c:pt idx="228">
                  <c:v>-0.61434715283750863</c:v>
                </c:pt>
                <c:pt idx="229">
                  <c:v>-0.10862316749742081</c:v>
                </c:pt>
                <c:pt idx="230">
                  <c:v>-0.26843194686488836</c:v>
                </c:pt>
                <c:pt idx="231">
                  <c:v>0.72518925874410389</c:v>
                </c:pt>
                <c:pt idx="232">
                  <c:v>-0.57186633806894105</c:v>
                </c:pt>
                <c:pt idx="233">
                  <c:v>-0.16728714979687082</c:v>
                </c:pt>
                <c:pt idx="234">
                  <c:v>-0.71549194990552611</c:v>
                </c:pt>
                <c:pt idx="235">
                  <c:v>-0.61434715283750863</c:v>
                </c:pt>
                <c:pt idx="236">
                  <c:v>0.16884162535036815</c:v>
                </c:pt>
                <c:pt idx="237">
                  <c:v>0.16884162535036815</c:v>
                </c:pt>
                <c:pt idx="238">
                  <c:v>-3.3447968785666984E-2</c:v>
                </c:pt>
                <c:pt idx="239">
                  <c:v>6.7696828282350574E-2</c:v>
                </c:pt>
                <c:pt idx="240">
                  <c:v>-0.59999555548085859</c:v>
                </c:pt>
                <c:pt idx="241">
                  <c:v>-0.2965611642768059</c:v>
                </c:pt>
                <c:pt idx="242">
                  <c:v>-0.59999555548085859</c:v>
                </c:pt>
                <c:pt idx="243">
                  <c:v>-0.59999555548085859</c:v>
                </c:pt>
                <c:pt idx="244">
                  <c:v>-0.36573600208447216</c:v>
                </c:pt>
                <c:pt idx="245">
                  <c:v>-0.36573600208447216</c:v>
                </c:pt>
                <c:pt idx="246">
                  <c:v>-0.36573600208447216</c:v>
                </c:pt>
                <c:pt idx="247">
                  <c:v>-0.36573600208447216</c:v>
                </c:pt>
                <c:pt idx="248">
                  <c:v>-0.20976796456543836</c:v>
                </c:pt>
                <c:pt idx="249">
                  <c:v>0.29595602077464944</c:v>
                </c:pt>
                <c:pt idx="250">
                  <c:v>-7.4783704294032402E-3</c:v>
                </c:pt>
                <c:pt idx="251">
                  <c:v>-0.20976796456543836</c:v>
                </c:pt>
                <c:pt idx="252">
                  <c:v>0.18763542502830649</c:v>
                </c:pt>
                <c:pt idx="253">
                  <c:v>0.18763542502830649</c:v>
                </c:pt>
                <c:pt idx="254">
                  <c:v>0.18763542502830649</c:v>
                </c:pt>
                <c:pt idx="255">
                  <c:v>0.18763542502830649</c:v>
                </c:pt>
                <c:pt idx="256">
                  <c:v>-0.68736273249360935</c:v>
                </c:pt>
                <c:pt idx="257">
                  <c:v>-0.58621793542559175</c:v>
                </c:pt>
                <c:pt idx="258">
                  <c:v>-0.52755395312614184</c:v>
                </c:pt>
                <c:pt idx="259">
                  <c:v>-0.22411956192208912</c:v>
                </c:pt>
                <c:pt idx="260">
                  <c:v>2.1890039703536814</c:v>
                </c:pt>
                <c:pt idx="261">
                  <c:v>2.4924383615577343</c:v>
                </c:pt>
                <c:pt idx="262">
                  <c:v>2.3912935644897169</c:v>
                </c:pt>
                <c:pt idx="263">
                  <c:v>2.2137092695707059</c:v>
                </c:pt>
                <c:pt idx="264">
                  <c:v>3.4428467037781019E-2</c:v>
                </c:pt>
                <c:pt idx="265">
                  <c:v>0.13557326410579856</c:v>
                </c:pt>
                <c:pt idx="266">
                  <c:v>0.88606765835048829</c:v>
                </c:pt>
                <c:pt idx="267">
                  <c:v>-0.1678611270982541</c:v>
                </c:pt>
                <c:pt idx="268">
                  <c:v>-0.30529161253754644</c:v>
                </c:pt>
                <c:pt idx="269">
                  <c:v>-0.30529161253754644</c:v>
                </c:pt>
                <c:pt idx="270">
                  <c:v>-0.30529161253754644</c:v>
                </c:pt>
                <c:pt idx="271">
                  <c:v>0.83456915555112943</c:v>
                </c:pt>
                <c:pt idx="272">
                  <c:v>1.3402931408912173</c:v>
                </c:pt>
                <c:pt idx="273">
                  <c:v>2.0483067203673402</c:v>
                </c:pt>
                <c:pt idx="274">
                  <c:v>9.3666426638614311E-2</c:v>
                </c:pt>
                <c:pt idx="275">
                  <c:v>9.3666426638614311E-2</c:v>
                </c:pt>
                <c:pt idx="276">
                  <c:v>0.95339720171676356</c:v>
                </c:pt>
                <c:pt idx="277">
                  <c:v>-6.2817545802890271E-2</c:v>
                </c:pt>
                <c:pt idx="278">
                  <c:v>-0.60573615978636552</c:v>
                </c:pt>
                <c:pt idx="279">
                  <c:v>-0.10001217444627736</c:v>
                </c:pt>
                <c:pt idx="280">
                  <c:v>-0.66440014208581555</c:v>
                </c:pt>
                <c:pt idx="281">
                  <c:v>-2.0403623529233439</c:v>
                </c:pt>
                <c:pt idx="282">
                  <c:v>-0.28077437254733745</c:v>
                </c:pt>
                <c:pt idx="283">
                  <c:v>-0.28077437254733745</c:v>
                </c:pt>
                <c:pt idx="284">
                  <c:v>-0.28077437254733745</c:v>
                </c:pt>
                <c:pt idx="285">
                  <c:v>-1.4616227879271559</c:v>
                </c:pt>
                <c:pt idx="286">
                  <c:v>0.12380481572473281</c:v>
                </c:pt>
                <c:pt idx="287">
                  <c:v>2.2660018656715256E-2</c:v>
                </c:pt>
                <c:pt idx="288">
                  <c:v>2.2660018656715256E-2</c:v>
                </c:pt>
                <c:pt idx="289">
                  <c:v>-0.65246441138301547</c:v>
                </c:pt>
                <c:pt idx="290">
                  <c:v>8.3084213000648565E-3</c:v>
                </c:pt>
                <c:pt idx="291">
                  <c:v>0.10945321836808242</c:v>
                </c:pt>
                <c:pt idx="292">
                  <c:v>0.10945321836808242</c:v>
                </c:pt>
                <c:pt idx="293">
                  <c:v>-0.37055741621393817</c:v>
                </c:pt>
                <c:pt idx="294">
                  <c:v>-0.90917055099041821</c:v>
                </c:pt>
                <c:pt idx="295">
                  <c:v>0.2034222167577753</c:v>
                </c:pt>
                <c:pt idx="296">
                  <c:v>0.2034222167577753</c:v>
                </c:pt>
                <c:pt idx="297">
                  <c:v>0.23631136619416754</c:v>
                </c:pt>
                <c:pt idx="298">
                  <c:v>-6.0431760565859017E-3</c:v>
                </c:pt>
                <c:pt idx="299">
                  <c:v>-6.0431760565859017E-3</c:v>
                </c:pt>
                <c:pt idx="300">
                  <c:v>0.23872723284801603</c:v>
                </c:pt>
                <c:pt idx="301">
                  <c:v>2.0425661160618329</c:v>
                </c:pt>
                <c:pt idx="302">
                  <c:v>2.2047907620831513</c:v>
                </c:pt>
                <c:pt idx="303">
                  <c:v>2.2047907620831513</c:v>
                </c:pt>
                <c:pt idx="304">
                  <c:v>2.2047907620831513</c:v>
                </c:pt>
                <c:pt idx="305">
                  <c:v>0.90844595227866431</c:v>
                </c:pt>
                <c:pt idx="306">
                  <c:v>-0.2370359649059211</c:v>
                </c:pt>
                <c:pt idx="307">
                  <c:v>-0.29569994720537185</c:v>
                </c:pt>
                <c:pt idx="308">
                  <c:v>-0.74275995024600894</c:v>
                </c:pt>
                <c:pt idx="309">
                  <c:v>-0.50758120667358153</c:v>
                </c:pt>
                <c:pt idx="310">
                  <c:v>-0.60872600374159913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7-49DF-BBE4-E55A9B41630F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18.579999999999998</c:v>
              </c:pt>
            </c:numLit>
          </c:xVal>
          <c:yVal>
            <c:numLit>
              <c:formatCode>General</c:formatCode>
              <c:ptCount val="1"/>
              <c:pt idx="0">
                <c:v>-0.16673703409582719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B57-49DF-BBE4-E55A9B416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826432"/>
        <c:axId val="281828736"/>
      </c:scatterChart>
      <c:valAx>
        <c:axId val="281826432"/>
        <c:scaling>
          <c:orientation val="maxMin"/>
          <c:max val="8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828736"/>
        <c:crosses val="autoZero"/>
        <c:crossBetween val="midCat"/>
      </c:valAx>
      <c:valAx>
        <c:axId val="281828736"/>
        <c:scaling>
          <c:orientation val="minMax"/>
          <c:max val="3"/>
          <c:min val="-4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82643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Pred(Actual Pile Length (ft.))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4'!$E$94:$E$404</c:f>
              <c:numCache>
                <c:formatCode>0.000</c:formatCode>
                <c:ptCount val="311"/>
                <c:pt idx="0">
                  <c:v>20.22849837983955</c:v>
                </c:pt>
                <c:pt idx="1">
                  <c:v>20.22849837983955</c:v>
                </c:pt>
                <c:pt idx="2">
                  <c:v>20.22849837983955</c:v>
                </c:pt>
                <c:pt idx="3">
                  <c:v>20.22849837983955</c:v>
                </c:pt>
                <c:pt idx="4">
                  <c:v>20.22849837983955</c:v>
                </c:pt>
                <c:pt idx="5">
                  <c:v>20.22849837983955</c:v>
                </c:pt>
                <c:pt idx="6">
                  <c:v>20.22849837983955</c:v>
                </c:pt>
                <c:pt idx="7">
                  <c:v>20.22849837983955</c:v>
                </c:pt>
                <c:pt idx="8">
                  <c:v>20.22849837983955</c:v>
                </c:pt>
                <c:pt idx="9">
                  <c:v>20.22849837983955</c:v>
                </c:pt>
                <c:pt idx="10">
                  <c:v>20.22849837983955</c:v>
                </c:pt>
                <c:pt idx="11">
                  <c:v>16.361099868576289</c:v>
                </c:pt>
                <c:pt idx="12">
                  <c:v>16.361099868576289</c:v>
                </c:pt>
                <c:pt idx="13">
                  <c:v>16.361099868576289</c:v>
                </c:pt>
                <c:pt idx="14">
                  <c:v>16.361099868576289</c:v>
                </c:pt>
                <c:pt idx="15">
                  <c:v>20.432045669906039</c:v>
                </c:pt>
                <c:pt idx="16">
                  <c:v>20.432045669906039</c:v>
                </c:pt>
                <c:pt idx="17">
                  <c:v>20.432045669906039</c:v>
                </c:pt>
                <c:pt idx="18">
                  <c:v>20.432045669906039</c:v>
                </c:pt>
                <c:pt idx="19">
                  <c:v>28.981031852698507</c:v>
                </c:pt>
                <c:pt idx="20">
                  <c:v>24.910086051368758</c:v>
                </c:pt>
                <c:pt idx="21">
                  <c:v>28.981031852698507</c:v>
                </c:pt>
                <c:pt idx="22">
                  <c:v>28.981031852698507</c:v>
                </c:pt>
                <c:pt idx="23">
                  <c:v>28.981031852698507</c:v>
                </c:pt>
                <c:pt idx="24">
                  <c:v>37.122923455358006</c:v>
                </c:pt>
                <c:pt idx="25">
                  <c:v>45.061267767951009</c:v>
                </c:pt>
                <c:pt idx="26">
                  <c:v>45.061267767951009</c:v>
                </c:pt>
                <c:pt idx="27">
                  <c:v>45.061267767951009</c:v>
                </c:pt>
                <c:pt idx="28">
                  <c:v>49.335760859347246</c:v>
                </c:pt>
                <c:pt idx="29">
                  <c:v>61.548598263336487</c:v>
                </c:pt>
                <c:pt idx="30">
                  <c:v>61.548598263336487</c:v>
                </c:pt>
                <c:pt idx="31">
                  <c:v>61.548598263336487</c:v>
                </c:pt>
                <c:pt idx="32">
                  <c:v>61.548598263336487</c:v>
                </c:pt>
                <c:pt idx="33">
                  <c:v>61.548598263336487</c:v>
                </c:pt>
                <c:pt idx="34">
                  <c:v>61.548598263336487</c:v>
                </c:pt>
                <c:pt idx="35">
                  <c:v>61.548598263336487</c:v>
                </c:pt>
                <c:pt idx="36">
                  <c:v>61.548598263336487</c:v>
                </c:pt>
                <c:pt idx="37">
                  <c:v>61.548598263336487</c:v>
                </c:pt>
                <c:pt idx="38">
                  <c:v>20.839140250039009</c:v>
                </c:pt>
                <c:pt idx="39">
                  <c:v>16.361099868576289</c:v>
                </c:pt>
                <c:pt idx="40">
                  <c:v>16.361099868576289</c:v>
                </c:pt>
                <c:pt idx="41">
                  <c:v>16.361099868576289</c:v>
                </c:pt>
                <c:pt idx="42">
                  <c:v>16.361099868576289</c:v>
                </c:pt>
                <c:pt idx="43">
                  <c:v>24.502991471235784</c:v>
                </c:pt>
                <c:pt idx="44">
                  <c:v>24.502991471235784</c:v>
                </c:pt>
                <c:pt idx="45">
                  <c:v>24.502991471235784</c:v>
                </c:pt>
                <c:pt idx="46">
                  <c:v>24.502991471235784</c:v>
                </c:pt>
                <c:pt idx="47">
                  <c:v>20.839140250039009</c:v>
                </c:pt>
                <c:pt idx="48">
                  <c:v>28.777484562632019</c:v>
                </c:pt>
                <c:pt idx="49">
                  <c:v>28.777484562632019</c:v>
                </c:pt>
                <c:pt idx="50">
                  <c:v>28.777484562632019</c:v>
                </c:pt>
                <c:pt idx="51">
                  <c:v>28.777484562632019</c:v>
                </c:pt>
                <c:pt idx="52">
                  <c:v>28.777484562632019</c:v>
                </c:pt>
                <c:pt idx="53">
                  <c:v>45.061267767951009</c:v>
                </c:pt>
                <c:pt idx="54">
                  <c:v>45.061267767951009</c:v>
                </c:pt>
                <c:pt idx="55">
                  <c:v>45.061267767951009</c:v>
                </c:pt>
                <c:pt idx="56">
                  <c:v>45.061267767951009</c:v>
                </c:pt>
                <c:pt idx="57">
                  <c:v>45.061267767951009</c:v>
                </c:pt>
                <c:pt idx="58">
                  <c:v>61.345050973270006</c:v>
                </c:pt>
                <c:pt idx="59">
                  <c:v>61.345050973270006</c:v>
                </c:pt>
                <c:pt idx="60">
                  <c:v>61.345050973270006</c:v>
                </c:pt>
                <c:pt idx="61">
                  <c:v>61.345050973270006</c:v>
                </c:pt>
                <c:pt idx="62">
                  <c:v>61.548598263336487</c:v>
                </c:pt>
                <c:pt idx="63">
                  <c:v>61.548598263336487</c:v>
                </c:pt>
                <c:pt idx="64">
                  <c:v>20.839140250039009</c:v>
                </c:pt>
                <c:pt idx="65">
                  <c:v>27.963295402366068</c:v>
                </c:pt>
                <c:pt idx="66">
                  <c:v>27.963295402366068</c:v>
                </c:pt>
                <c:pt idx="67">
                  <c:v>27.963295402366068</c:v>
                </c:pt>
                <c:pt idx="68">
                  <c:v>27.963295402366068</c:v>
                </c:pt>
                <c:pt idx="69">
                  <c:v>27.963295402366068</c:v>
                </c:pt>
                <c:pt idx="70">
                  <c:v>27.938869727558092</c:v>
                </c:pt>
                <c:pt idx="71">
                  <c:v>44.247078607685054</c:v>
                </c:pt>
                <c:pt idx="72">
                  <c:v>44.247078607685054</c:v>
                </c:pt>
                <c:pt idx="73">
                  <c:v>44.247078607685054</c:v>
                </c:pt>
                <c:pt idx="74">
                  <c:v>44.247078607685054</c:v>
                </c:pt>
                <c:pt idx="75">
                  <c:v>44.247078607685054</c:v>
                </c:pt>
                <c:pt idx="76">
                  <c:v>44.247078607685054</c:v>
                </c:pt>
                <c:pt idx="77">
                  <c:v>60.530861813004051</c:v>
                </c:pt>
                <c:pt idx="78">
                  <c:v>60.530861813004051</c:v>
                </c:pt>
                <c:pt idx="79">
                  <c:v>60.530861813004051</c:v>
                </c:pt>
                <c:pt idx="80">
                  <c:v>60.530861813004051</c:v>
                </c:pt>
                <c:pt idx="81">
                  <c:v>61.548598263336487</c:v>
                </c:pt>
                <c:pt idx="82">
                  <c:v>18.469849793665098</c:v>
                </c:pt>
                <c:pt idx="83">
                  <c:v>28.370389982499042</c:v>
                </c:pt>
                <c:pt idx="84">
                  <c:v>28.370389982499042</c:v>
                </c:pt>
                <c:pt idx="85">
                  <c:v>28.345964307691066</c:v>
                </c:pt>
                <c:pt idx="86">
                  <c:v>28.370389982499042</c:v>
                </c:pt>
                <c:pt idx="87">
                  <c:v>28.370389982499042</c:v>
                </c:pt>
                <c:pt idx="88">
                  <c:v>28.345964307691066</c:v>
                </c:pt>
                <c:pt idx="89">
                  <c:v>30.747822330475618</c:v>
                </c:pt>
                <c:pt idx="90">
                  <c:v>28.321538632883087</c:v>
                </c:pt>
                <c:pt idx="91">
                  <c:v>28.321538632883087</c:v>
                </c:pt>
                <c:pt idx="92">
                  <c:v>28.321538632883087</c:v>
                </c:pt>
                <c:pt idx="93">
                  <c:v>28.321538632883087</c:v>
                </c:pt>
                <c:pt idx="94">
                  <c:v>28.321538632883087</c:v>
                </c:pt>
                <c:pt idx="95">
                  <c:v>28.321538632883087</c:v>
                </c:pt>
                <c:pt idx="96">
                  <c:v>42.895524601643586</c:v>
                </c:pt>
                <c:pt idx="97">
                  <c:v>40.786774676554771</c:v>
                </c:pt>
                <c:pt idx="98">
                  <c:v>40.786774676554771</c:v>
                </c:pt>
                <c:pt idx="99">
                  <c:v>40.786774676554771</c:v>
                </c:pt>
                <c:pt idx="100">
                  <c:v>40.786774676554771</c:v>
                </c:pt>
                <c:pt idx="101">
                  <c:v>40.786774676554771</c:v>
                </c:pt>
                <c:pt idx="102">
                  <c:v>39.907450383467548</c:v>
                </c:pt>
                <c:pt idx="103">
                  <c:v>39.907450383467548</c:v>
                </c:pt>
                <c:pt idx="104">
                  <c:v>15.481775575489063</c:v>
                </c:pt>
                <c:pt idx="105">
                  <c:v>27.694612979478308</c:v>
                </c:pt>
                <c:pt idx="106">
                  <c:v>39.907450383467548</c:v>
                </c:pt>
                <c:pt idx="107">
                  <c:v>39.907450383467548</c:v>
                </c:pt>
                <c:pt idx="108">
                  <c:v>15.481775575489063</c:v>
                </c:pt>
                <c:pt idx="109">
                  <c:v>25.659140078813433</c:v>
                </c:pt>
                <c:pt idx="110">
                  <c:v>25.659140078813433</c:v>
                </c:pt>
                <c:pt idx="111">
                  <c:v>25.659140078813433</c:v>
                </c:pt>
                <c:pt idx="112">
                  <c:v>25.659140078813433</c:v>
                </c:pt>
                <c:pt idx="113">
                  <c:v>25.659140078813433</c:v>
                </c:pt>
                <c:pt idx="114">
                  <c:v>25.659140078813433</c:v>
                </c:pt>
                <c:pt idx="115">
                  <c:v>27.694612979478308</c:v>
                </c:pt>
                <c:pt idx="116">
                  <c:v>34.753632998984088</c:v>
                </c:pt>
                <c:pt idx="117">
                  <c:v>34.753632998984088</c:v>
                </c:pt>
                <c:pt idx="118">
                  <c:v>34.753632998984088</c:v>
                </c:pt>
                <c:pt idx="119">
                  <c:v>34.753632998984088</c:v>
                </c:pt>
                <c:pt idx="120">
                  <c:v>34.753632998984088</c:v>
                </c:pt>
                <c:pt idx="121">
                  <c:v>34.753632998984088</c:v>
                </c:pt>
                <c:pt idx="122">
                  <c:v>40.860051700978715</c:v>
                </c:pt>
                <c:pt idx="123">
                  <c:v>44.613463729804735</c:v>
                </c:pt>
                <c:pt idx="124">
                  <c:v>44.857720477884527</c:v>
                </c:pt>
                <c:pt idx="125">
                  <c:v>44.857720477884527</c:v>
                </c:pt>
                <c:pt idx="126">
                  <c:v>44.857720477884527</c:v>
                </c:pt>
                <c:pt idx="127">
                  <c:v>44.857720477884527</c:v>
                </c:pt>
                <c:pt idx="128">
                  <c:v>55.108362005632827</c:v>
                </c:pt>
                <c:pt idx="129">
                  <c:v>52.999612080544011</c:v>
                </c:pt>
                <c:pt idx="130">
                  <c:v>52.999612080544011</c:v>
                </c:pt>
                <c:pt idx="131">
                  <c:v>52.999612080544011</c:v>
                </c:pt>
                <c:pt idx="132">
                  <c:v>52.999612080544011</c:v>
                </c:pt>
                <c:pt idx="133">
                  <c:v>55.108362005632827</c:v>
                </c:pt>
                <c:pt idx="134">
                  <c:v>55.108362005632827</c:v>
                </c:pt>
                <c:pt idx="135">
                  <c:v>16.157552578509801</c:v>
                </c:pt>
                <c:pt idx="136">
                  <c:v>16.157552578509801</c:v>
                </c:pt>
                <c:pt idx="137">
                  <c:v>16.157552578509801</c:v>
                </c:pt>
                <c:pt idx="138">
                  <c:v>16.971741738775751</c:v>
                </c:pt>
                <c:pt idx="139">
                  <c:v>16.157552578509801</c:v>
                </c:pt>
                <c:pt idx="140">
                  <c:v>16.157552578509801</c:v>
                </c:pt>
                <c:pt idx="141">
                  <c:v>28.370389982499042</c:v>
                </c:pt>
                <c:pt idx="142">
                  <c:v>28.370389982499042</c:v>
                </c:pt>
                <c:pt idx="143">
                  <c:v>28.345964307691066</c:v>
                </c:pt>
                <c:pt idx="144">
                  <c:v>28.370389982499042</c:v>
                </c:pt>
                <c:pt idx="145">
                  <c:v>28.370389982499042</c:v>
                </c:pt>
                <c:pt idx="146">
                  <c:v>28.370389982499042</c:v>
                </c:pt>
                <c:pt idx="147">
                  <c:v>35.022315421871852</c:v>
                </c:pt>
                <c:pt idx="148">
                  <c:v>35.022315421871852</c:v>
                </c:pt>
                <c:pt idx="149">
                  <c:v>35.022315421871852</c:v>
                </c:pt>
                <c:pt idx="150">
                  <c:v>35.022315421871852</c:v>
                </c:pt>
                <c:pt idx="151">
                  <c:v>35.022315421871852</c:v>
                </c:pt>
                <c:pt idx="152">
                  <c:v>35.022315421871852</c:v>
                </c:pt>
                <c:pt idx="153">
                  <c:v>43.571301604664328</c:v>
                </c:pt>
                <c:pt idx="154">
                  <c:v>43.571301604664328</c:v>
                </c:pt>
                <c:pt idx="155">
                  <c:v>43.571301604664328</c:v>
                </c:pt>
                <c:pt idx="156">
                  <c:v>43.571301604664328</c:v>
                </c:pt>
                <c:pt idx="157">
                  <c:v>43.571301604664328</c:v>
                </c:pt>
                <c:pt idx="158">
                  <c:v>52.120287787456789</c:v>
                </c:pt>
                <c:pt idx="159">
                  <c:v>52.120287787456789</c:v>
                </c:pt>
                <c:pt idx="160">
                  <c:v>52.120287787456789</c:v>
                </c:pt>
                <c:pt idx="161">
                  <c:v>52.120287787456789</c:v>
                </c:pt>
                <c:pt idx="162">
                  <c:v>55.108362005632827</c:v>
                </c:pt>
                <c:pt idx="163">
                  <c:v>22.540795594994847</c:v>
                </c:pt>
                <c:pt idx="164">
                  <c:v>17.28927551127947</c:v>
                </c:pt>
                <c:pt idx="165">
                  <c:v>17.28927551127947</c:v>
                </c:pt>
                <c:pt idx="166">
                  <c:v>17.28927551127947</c:v>
                </c:pt>
                <c:pt idx="167">
                  <c:v>18.469849793665098</c:v>
                </c:pt>
                <c:pt idx="168">
                  <c:v>29.25785616718893</c:v>
                </c:pt>
                <c:pt idx="169">
                  <c:v>29.25785616718893</c:v>
                </c:pt>
                <c:pt idx="170">
                  <c:v>29.25785616718893</c:v>
                </c:pt>
                <c:pt idx="171">
                  <c:v>34.753632998984088</c:v>
                </c:pt>
                <c:pt idx="172">
                  <c:v>37.399747769848432</c:v>
                </c:pt>
                <c:pt idx="173">
                  <c:v>37.399747769848432</c:v>
                </c:pt>
                <c:pt idx="174">
                  <c:v>37.399747769848432</c:v>
                </c:pt>
                <c:pt idx="175">
                  <c:v>42.895524601643586</c:v>
                </c:pt>
                <c:pt idx="176">
                  <c:v>45.541639372507916</c:v>
                </c:pt>
                <c:pt idx="177">
                  <c:v>45.541639372507916</c:v>
                </c:pt>
                <c:pt idx="178">
                  <c:v>45.541639372507916</c:v>
                </c:pt>
                <c:pt idx="179">
                  <c:v>55.108362005632827</c:v>
                </c:pt>
                <c:pt idx="180">
                  <c:v>22.540795594994847</c:v>
                </c:pt>
                <c:pt idx="181">
                  <c:v>22.540795594994847</c:v>
                </c:pt>
                <c:pt idx="182">
                  <c:v>20.432045669906039</c:v>
                </c:pt>
                <c:pt idx="183">
                  <c:v>20.432045669906039</c:v>
                </c:pt>
                <c:pt idx="184">
                  <c:v>20.432045669906039</c:v>
                </c:pt>
                <c:pt idx="185">
                  <c:v>20.432045669906039</c:v>
                </c:pt>
                <c:pt idx="186">
                  <c:v>20.432045669906039</c:v>
                </c:pt>
                <c:pt idx="187">
                  <c:v>24.169173915526745</c:v>
                </c:pt>
                <c:pt idx="188">
                  <c:v>24.169173915526745</c:v>
                </c:pt>
                <c:pt idx="189">
                  <c:v>24.169173915526745</c:v>
                </c:pt>
                <c:pt idx="190">
                  <c:v>24.169173915526745</c:v>
                </c:pt>
                <c:pt idx="191">
                  <c:v>19.284038953931049</c:v>
                </c:pt>
                <c:pt idx="192">
                  <c:v>19.284038953931049</c:v>
                </c:pt>
                <c:pt idx="193">
                  <c:v>19.284038953931049</c:v>
                </c:pt>
                <c:pt idx="194">
                  <c:v>19.284038953931049</c:v>
                </c:pt>
                <c:pt idx="195">
                  <c:v>19.284038953931049</c:v>
                </c:pt>
                <c:pt idx="196">
                  <c:v>20.22849837983955</c:v>
                </c:pt>
                <c:pt idx="197">
                  <c:v>20.22849837983955</c:v>
                </c:pt>
                <c:pt idx="198">
                  <c:v>20.204072705031571</c:v>
                </c:pt>
                <c:pt idx="199">
                  <c:v>20.22849837983955</c:v>
                </c:pt>
                <c:pt idx="200">
                  <c:v>20.22849837983955</c:v>
                </c:pt>
                <c:pt idx="201">
                  <c:v>20.204072705031571</c:v>
                </c:pt>
                <c:pt idx="202">
                  <c:v>28.345964307691066</c:v>
                </c:pt>
                <c:pt idx="203">
                  <c:v>28.345964307691066</c:v>
                </c:pt>
                <c:pt idx="204">
                  <c:v>28.370389982499042</c:v>
                </c:pt>
                <c:pt idx="205">
                  <c:v>28.345964307691066</c:v>
                </c:pt>
                <c:pt idx="206">
                  <c:v>28.370389982499042</c:v>
                </c:pt>
                <c:pt idx="207">
                  <c:v>28.345964307691066</c:v>
                </c:pt>
                <c:pt idx="208">
                  <c:v>36.51228158515854</c:v>
                </c:pt>
                <c:pt idx="209">
                  <c:v>36.487855910350561</c:v>
                </c:pt>
                <c:pt idx="210">
                  <c:v>36.51228158515854</c:v>
                </c:pt>
                <c:pt idx="211">
                  <c:v>36.51228158515854</c:v>
                </c:pt>
                <c:pt idx="212">
                  <c:v>36.51228158515854</c:v>
                </c:pt>
                <c:pt idx="213">
                  <c:v>36.487855910350561</c:v>
                </c:pt>
                <c:pt idx="214">
                  <c:v>44.857720477884527</c:v>
                </c:pt>
                <c:pt idx="215">
                  <c:v>44.857720477884527</c:v>
                </c:pt>
                <c:pt idx="216">
                  <c:v>44.857720477884527</c:v>
                </c:pt>
                <c:pt idx="217">
                  <c:v>44.857720477884527</c:v>
                </c:pt>
                <c:pt idx="218">
                  <c:v>44.857720477884527</c:v>
                </c:pt>
                <c:pt idx="219">
                  <c:v>52.999612080544011</c:v>
                </c:pt>
                <c:pt idx="220">
                  <c:v>52.999612080544011</c:v>
                </c:pt>
                <c:pt idx="221">
                  <c:v>52.999612080544011</c:v>
                </c:pt>
                <c:pt idx="222">
                  <c:v>52.999612080544011</c:v>
                </c:pt>
                <c:pt idx="223">
                  <c:v>63.250253608292326</c:v>
                </c:pt>
                <c:pt idx="224">
                  <c:v>55.108362005632827</c:v>
                </c:pt>
                <c:pt idx="225">
                  <c:v>29.998768303030943</c:v>
                </c:pt>
                <c:pt idx="226">
                  <c:v>29.998768303030943</c:v>
                </c:pt>
                <c:pt idx="227">
                  <c:v>28.57393727256553</c:v>
                </c:pt>
                <c:pt idx="228">
                  <c:v>28.57393727256553</c:v>
                </c:pt>
                <c:pt idx="229">
                  <c:v>28.57393727256553</c:v>
                </c:pt>
                <c:pt idx="230">
                  <c:v>28.57393727256553</c:v>
                </c:pt>
                <c:pt idx="231">
                  <c:v>30.080187219057539</c:v>
                </c:pt>
                <c:pt idx="232">
                  <c:v>28.57393727256553</c:v>
                </c:pt>
                <c:pt idx="233">
                  <c:v>28.57393727256553</c:v>
                </c:pt>
                <c:pt idx="234">
                  <c:v>28.57393727256553</c:v>
                </c:pt>
                <c:pt idx="235">
                  <c:v>28.57393727256553</c:v>
                </c:pt>
                <c:pt idx="236">
                  <c:v>31.830693913629329</c:v>
                </c:pt>
                <c:pt idx="237">
                  <c:v>31.830693913629329</c:v>
                </c:pt>
                <c:pt idx="238">
                  <c:v>31.830693913629329</c:v>
                </c:pt>
                <c:pt idx="239">
                  <c:v>31.830693913629329</c:v>
                </c:pt>
                <c:pt idx="240">
                  <c:v>20.432045669906039</c:v>
                </c:pt>
                <c:pt idx="241">
                  <c:v>20.432045669906039</c:v>
                </c:pt>
                <c:pt idx="242">
                  <c:v>20.432045669906039</c:v>
                </c:pt>
                <c:pt idx="243">
                  <c:v>20.432045669906039</c:v>
                </c:pt>
                <c:pt idx="244">
                  <c:v>21.115964564529435</c:v>
                </c:pt>
                <c:pt idx="245">
                  <c:v>21.115964564529435</c:v>
                </c:pt>
                <c:pt idx="246">
                  <c:v>21.115964564529435</c:v>
                </c:pt>
                <c:pt idx="247">
                  <c:v>21.115964564529435</c:v>
                </c:pt>
                <c:pt idx="248">
                  <c:v>28.57393727256553</c:v>
                </c:pt>
                <c:pt idx="249">
                  <c:v>28.57393727256553</c:v>
                </c:pt>
                <c:pt idx="250">
                  <c:v>28.57393727256553</c:v>
                </c:pt>
                <c:pt idx="251">
                  <c:v>28.57393727256553</c:v>
                </c:pt>
                <c:pt idx="252">
                  <c:v>32.644883073895279</c:v>
                </c:pt>
                <c:pt idx="253">
                  <c:v>32.644883073895279</c:v>
                </c:pt>
                <c:pt idx="254">
                  <c:v>32.644883073895279</c:v>
                </c:pt>
                <c:pt idx="255">
                  <c:v>32.644883073895279</c:v>
                </c:pt>
                <c:pt idx="256">
                  <c:v>36.715828875225029</c:v>
                </c:pt>
                <c:pt idx="257">
                  <c:v>36.715828875225029</c:v>
                </c:pt>
                <c:pt idx="258">
                  <c:v>36.715828875225029</c:v>
                </c:pt>
                <c:pt idx="259">
                  <c:v>36.715828875225029</c:v>
                </c:pt>
                <c:pt idx="260">
                  <c:v>44.857720477884527</c:v>
                </c:pt>
                <c:pt idx="261">
                  <c:v>44.857720477884527</c:v>
                </c:pt>
                <c:pt idx="262">
                  <c:v>44.857720477884527</c:v>
                </c:pt>
                <c:pt idx="263">
                  <c:v>44.613463729804735</c:v>
                </c:pt>
                <c:pt idx="264">
                  <c:v>52.999612080544011</c:v>
                </c:pt>
                <c:pt idx="265">
                  <c:v>52.999612080544011</c:v>
                </c:pt>
                <c:pt idx="266">
                  <c:v>52.999612080544011</c:v>
                </c:pt>
                <c:pt idx="267">
                  <c:v>52.999612080544011</c:v>
                </c:pt>
                <c:pt idx="268">
                  <c:v>55.108362005632827</c:v>
                </c:pt>
                <c:pt idx="269">
                  <c:v>55.108362005632827</c:v>
                </c:pt>
                <c:pt idx="270">
                  <c:v>55.108362005632827</c:v>
                </c:pt>
                <c:pt idx="271">
                  <c:v>29.998768303030943</c:v>
                </c:pt>
                <c:pt idx="272">
                  <c:v>29.998768303030943</c:v>
                </c:pt>
                <c:pt idx="273">
                  <c:v>29.998768303030943</c:v>
                </c:pt>
                <c:pt idx="274">
                  <c:v>28.57393727256553</c:v>
                </c:pt>
                <c:pt idx="275">
                  <c:v>28.57393727256553</c:v>
                </c:pt>
                <c:pt idx="276">
                  <c:v>28.57393727256553</c:v>
                </c:pt>
                <c:pt idx="277">
                  <c:v>32.31106551818624</c:v>
                </c:pt>
                <c:pt idx="278">
                  <c:v>33.328801968518675</c:v>
                </c:pt>
                <c:pt idx="279">
                  <c:v>33.328801968518675</c:v>
                </c:pt>
                <c:pt idx="280">
                  <c:v>33.328801968518675</c:v>
                </c:pt>
                <c:pt idx="281">
                  <c:v>30.682687197654342</c:v>
                </c:pt>
                <c:pt idx="282">
                  <c:v>21.115964564529435</c:v>
                </c:pt>
                <c:pt idx="283">
                  <c:v>21.115964564529435</c:v>
                </c:pt>
                <c:pt idx="284">
                  <c:v>21.115964564529435</c:v>
                </c:pt>
                <c:pt idx="285">
                  <c:v>22.540795594994847</c:v>
                </c:pt>
                <c:pt idx="286">
                  <c:v>21.115964564529435</c:v>
                </c:pt>
                <c:pt idx="287">
                  <c:v>21.115964564529435</c:v>
                </c:pt>
                <c:pt idx="288">
                  <c:v>21.115964564529435</c:v>
                </c:pt>
                <c:pt idx="289">
                  <c:v>22.540795594994847</c:v>
                </c:pt>
                <c:pt idx="290">
                  <c:v>29.25785616718893</c:v>
                </c:pt>
                <c:pt idx="291">
                  <c:v>29.25785616718893</c:v>
                </c:pt>
                <c:pt idx="292">
                  <c:v>29.25785616718893</c:v>
                </c:pt>
                <c:pt idx="293">
                  <c:v>34.753632998984088</c:v>
                </c:pt>
                <c:pt idx="294">
                  <c:v>33.328801968518675</c:v>
                </c:pt>
                <c:pt idx="295">
                  <c:v>33.328801968518675</c:v>
                </c:pt>
                <c:pt idx="296">
                  <c:v>33.328801968518675</c:v>
                </c:pt>
                <c:pt idx="297">
                  <c:v>34.753632998984088</c:v>
                </c:pt>
                <c:pt idx="298">
                  <c:v>37.399747769848432</c:v>
                </c:pt>
                <c:pt idx="299">
                  <c:v>37.399747769848432</c:v>
                </c:pt>
                <c:pt idx="300">
                  <c:v>37.399747769848432</c:v>
                </c:pt>
                <c:pt idx="301">
                  <c:v>42.895524601643586</c:v>
                </c:pt>
                <c:pt idx="302">
                  <c:v>45.541639372507916</c:v>
                </c:pt>
                <c:pt idx="303">
                  <c:v>45.541639372507916</c:v>
                </c:pt>
                <c:pt idx="304">
                  <c:v>45.541639372507916</c:v>
                </c:pt>
                <c:pt idx="305">
                  <c:v>55.108362005632827</c:v>
                </c:pt>
                <c:pt idx="306">
                  <c:v>53.683530975167415</c:v>
                </c:pt>
                <c:pt idx="307">
                  <c:v>53.683530975167415</c:v>
                </c:pt>
                <c:pt idx="308">
                  <c:v>53.683530975167415</c:v>
                </c:pt>
                <c:pt idx="309">
                  <c:v>55.108362005632827</c:v>
                </c:pt>
                <c:pt idx="310">
                  <c:v>55.108362005632827</c:v>
                </c:pt>
              </c:numCache>
            </c:numRef>
          </c:xVal>
          <c:yVal>
            <c:numRef>
              <c:f>'Linear Regression Output 4'!$G$94:$G$404</c:f>
              <c:numCache>
                <c:formatCode>0.000</c:formatCode>
                <c:ptCount val="311"/>
                <c:pt idx="0">
                  <c:v>-0.16673703409582719</c:v>
                </c:pt>
                <c:pt idx="1">
                  <c:v>-0.16673703409582719</c:v>
                </c:pt>
                <c:pt idx="2">
                  <c:v>-0.16673703409582719</c:v>
                </c:pt>
                <c:pt idx="3">
                  <c:v>-0.16673703409582719</c:v>
                </c:pt>
                <c:pt idx="4">
                  <c:v>0.84471093658434837</c:v>
                </c:pt>
                <c:pt idx="5">
                  <c:v>0.64242134244831328</c:v>
                </c:pt>
                <c:pt idx="6">
                  <c:v>-0.26788183116384473</c:v>
                </c:pt>
                <c:pt idx="7">
                  <c:v>0.74356613951633088</c:v>
                </c:pt>
                <c:pt idx="8">
                  <c:v>0.74356613951633088</c:v>
                </c:pt>
                <c:pt idx="9">
                  <c:v>1.7550141101965064</c:v>
                </c:pt>
                <c:pt idx="10">
                  <c:v>0.84471093658434837</c:v>
                </c:pt>
                <c:pt idx="11">
                  <c:v>-1.4697451473822454</c:v>
                </c:pt>
                <c:pt idx="12">
                  <c:v>-0.76173156790612251</c:v>
                </c:pt>
                <c:pt idx="13">
                  <c:v>-0.76173156790612251</c:v>
                </c:pt>
                <c:pt idx="14">
                  <c:v>-0.76173156790612251</c:v>
                </c:pt>
                <c:pt idx="15">
                  <c:v>-0.36432817831237779</c:v>
                </c:pt>
                <c:pt idx="16">
                  <c:v>-6.0893787108325138E-2</c:v>
                </c:pt>
                <c:pt idx="17">
                  <c:v>-0.21261098271035148</c:v>
                </c:pt>
                <c:pt idx="18">
                  <c:v>-0.56661777244841272</c:v>
                </c:pt>
                <c:pt idx="19">
                  <c:v>-1.7175430207467328</c:v>
                </c:pt>
                <c:pt idx="20">
                  <c:v>0.21138392222392627</c:v>
                </c:pt>
                <c:pt idx="21">
                  <c:v>1.3168008912937941</c:v>
                </c:pt>
                <c:pt idx="22">
                  <c:v>1.7213800795658643</c:v>
                </c:pt>
                <c:pt idx="23">
                  <c:v>1.7213800795658643</c:v>
                </c:pt>
                <c:pt idx="24">
                  <c:v>2.0104628734132661</c:v>
                </c:pt>
                <c:pt idx="25">
                  <c:v>1.0811096525249737</c:v>
                </c:pt>
                <c:pt idx="26">
                  <c:v>1.0811096525249737</c:v>
                </c:pt>
                <c:pt idx="27">
                  <c:v>1.0811096525249737</c:v>
                </c:pt>
                <c:pt idx="28">
                  <c:v>0.77519791256208004</c:v>
                </c:pt>
                <c:pt idx="29">
                  <c:v>1.5628288930712451</c:v>
                </c:pt>
                <c:pt idx="30">
                  <c:v>1.4616840960032276</c:v>
                </c:pt>
                <c:pt idx="31">
                  <c:v>1.3605392989352101</c:v>
                </c:pt>
                <c:pt idx="32">
                  <c:v>1.3605392989352101</c:v>
                </c:pt>
                <c:pt idx="33">
                  <c:v>-2.5841077867174747</c:v>
                </c:pt>
                <c:pt idx="34">
                  <c:v>-0.51873103058855607</c:v>
                </c:pt>
                <c:pt idx="35">
                  <c:v>-1.6738046131053168</c:v>
                </c:pt>
                <c:pt idx="36">
                  <c:v>-1.6313237983367492</c:v>
                </c:pt>
                <c:pt idx="37">
                  <c:v>-2.4829629896494572</c:v>
                </c:pt>
                <c:pt idx="38">
                  <c:v>-1.2986122351180118</c:v>
                </c:pt>
                <c:pt idx="39">
                  <c:v>-1.3686003503142279</c:v>
                </c:pt>
                <c:pt idx="40">
                  <c:v>-1.3686003503142279</c:v>
                </c:pt>
                <c:pt idx="41">
                  <c:v>-1.3686003503142279</c:v>
                </c:pt>
                <c:pt idx="42">
                  <c:v>-1.3686003503142279</c:v>
                </c:pt>
                <c:pt idx="43">
                  <c:v>-0.97837275939880797</c:v>
                </c:pt>
                <c:pt idx="44">
                  <c:v>-0.7760831652627731</c:v>
                </c:pt>
                <c:pt idx="45">
                  <c:v>-0.7760831652627731</c:v>
                </c:pt>
                <c:pt idx="46">
                  <c:v>-0.7760831652627731</c:v>
                </c:pt>
                <c:pt idx="47">
                  <c:v>-0.99517784391395903</c:v>
                </c:pt>
                <c:pt idx="48">
                  <c:v>1.4132472384423271</c:v>
                </c:pt>
                <c:pt idx="49">
                  <c:v>1.4557280532108947</c:v>
                </c:pt>
                <c:pt idx="50">
                  <c:v>1.4557280532108947</c:v>
                </c:pt>
                <c:pt idx="51">
                  <c:v>1.4132472384423271</c:v>
                </c:pt>
                <c:pt idx="52">
                  <c:v>1.4132472384423271</c:v>
                </c:pt>
                <c:pt idx="53">
                  <c:v>-1.3463654771074478</c:v>
                </c:pt>
                <c:pt idx="54">
                  <c:v>-1.3463654771074478</c:v>
                </c:pt>
                <c:pt idx="55">
                  <c:v>-1.3463654771074478</c:v>
                </c:pt>
                <c:pt idx="56">
                  <c:v>-0.84064149176736003</c:v>
                </c:pt>
                <c:pt idx="57">
                  <c:v>-3.1483115223219539E-2</c:v>
                </c:pt>
                <c:pt idx="58">
                  <c:v>-2.4876614395689423</c:v>
                </c:pt>
                <c:pt idx="59">
                  <c:v>-0.56591029527660885</c:v>
                </c:pt>
                <c:pt idx="60">
                  <c:v>-2.1417462335963222</c:v>
                </c:pt>
                <c:pt idx="61">
                  <c:v>-0.46476549820859131</c:v>
                </c:pt>
                <c:pt idx="62">
                  <c:v>-3.5530749426290829</c:v>
                </c:pt>
                <c:pt idx="63">
                  <c:v>0.45023612532305196</c:v>
                </c:pt>
                <c:pt idx="64">
                  <c:v>-0.75951046674547817</c:v>
                </c:pt>
                <c:pt idx="65">
                  <c:v>1.0910190475603361</c:v>
                </c:pt>
                <c:pt idx="66">
                  <c:v>1.0910190475603361</c:v>
                </c:pt>
                <c:pt idx="67">
                  <c:v>1.0910190475603361</c:v>
                </c:pt>
                <c:pt idx="68">
                  <c:v>1.0910190475603361</c:v>
                </c:pt>
                <c:pt idx="69">
                  <c:v>1.0910190475603361</c:v>
                </c:pt>
                <c:pt idx="70">
                  <c:v>1.0934895774820381</c:v>
                </c:pt>
                <c:pt idx="71">
                  <c:v>1.0623158528470356</c:v>
                </c:pt>
                <c:pt idx="72">
                  <c:v>-1.8708832621254736</c:v>
                </c:pt>
                <c:pt idx="73">
                  <c:v>-1.8708832621254736</c:v>
                </c:pt>
                <c:pt idx="74">
                  <c:v>1.0623158528470356</c:v>
                </c:pt>
                <c:pt idx="75">
                  <c:v>-2.0731728562615088</c:v>
                </c:pt>
                <c:pt idx="76">
                  <c:v>2.9162999831037975</c:v>
                </c:pt>
                <c:pt idx="77">
                  <c:v>-0.28126970375049415</c:v>
                </c:pt>
                <c:pt idx="78">
                  <c:v>-0.38241450081851175</c:v>
                </c:pt>
                <c:pt idx="79">
                  <c:v>-0.28126970375049415</c:v>
                </c:pt>
                <c:pt idx="80">
                  <c:v>-0.23878888898192663</c:v>
                </c:pt>
                <c:pt idx="81">
                  <c:v>4.5656937050981727E-2</c:v>
                </c:pt>
                <c:pt idx="82">
                  <c:v>-0.94872300390874276</c:v>
                </c:pt>
                <c:pt idx="83">
                  <c:v>-1.2259143851650984</c:v>
                </c:pt>
                <c:pt idx="84">
                  <c:v>-1.2259143851650984</c:v>
                </c:pt>
                <c:pt idx="85">
                  <c:v>-1.2234438552433964</c:v>
                </c:pt>
                <c:pt idx="86">
                  <c:v>-1.2259143851650984</c:v>
                </c:pt>
                <c:pt idx="87">
                  <c:v>-1.2259143851650984</c:v>
                </c:pt>
                <c:pt idx="88">
                  <c:v>-1.2234438552433964</c:v>
                </c:pt>
                <c:pt idx="89">
                  <c:v>-0.15958851942534272</c:v>
                </c:pt>
                <c:pt idx="90">
                  <c:v>-0.72131802780568699</c:v>
                </c:pt>
                <c:pt idx="91">
                  <c:v>-0.82246282487370459</c:v>
                </c:pt>
                <c:pt idx="92">
                  <c:v>-0.82246282487370459</c:v>
                </c:pt>
                <c:pt idx="93">
                  <c:v>0.79585392821457601</c:v>
                </c:pt>
                <c:pt idx="94">
                  <c:v>-0.21559404246559927</c:v>
                </c:pt>
                <c:pt idx="95">
                  <c:v>-0.6201732307376695</c:v>
                </c:pt>
                <c:pt idx="96">
                  <c:v>-1.353876169482197</c:v>
                </c:pt>
                <c:pt idx="97">
                  <c:v>-1.4440214774459441</c:v>
                </c:pt>
                <c:pt idx="98">
                  <c:v>-1.3853574951464942</c:v>
                </c:pt>
                <c:pt idx="99">
                  <c:v>-0.63486310090180409</c:v>
                </c:pt>
                <c:pt idx="100">
                  <c:v>-0.3739095244663182</c:v>
                </c:pt>
                <c:pt idx="101">
                  <c:v>-0.93829749210585633</c:v>
                </c:pt>
                <c:pt idx="102">
                  <c:v>1.5690136829717285</c:v>
                </c:pt>
                <c:pt idx="103">
                  <c:v>-1.1194150230961784</c:v>
                </c:pt>
                <c:pt idx="104">
                  <c:v>-0.10739307511461887</c:v>
                </c:pt>
                <c:pt idx="105">
                  <c:v>-0.53349965942166466</c:v>
                </c:pt>
                <c:pt idx="106">
                  <c:v>0.25413132108750036</c:v>
                </c:pt>
                <c:pt idx="107">
                  <c:v>1.5690136829717285</c:v>
                </c:pt>
                <c:pt idx="108">
                  <c:v>-0.10739307511461887</c:v>
                </c:pt>
                <c:pt idx="109">
                  <c:v>-0.37819456448047567</c:v>
                </c:pt>
                <c:pt idx="110">
                  <c:v>-0.37819456448047567</c:v>
                </c:pt>
                <c:pt idx="111">
                  <c:v>-0.37819456448047567</c:v>
                </c:pt>
                <c:pt idx="112">
                  <c:v>-0.37819456448047567</c:v>
                </c:pt>
                <c:pt idx="113">
                  <c:v>-0.37819456448047567</c:v>
                </c:pt>
                <c:pt idx="114">
                  <c:v>-0.37819456448047567</c:v>
                </c:pt>
                <c:pt idx="115">
                  <c:v>-0.53349965942166466</c:v>
                </c:pt>
                <c:pt idx="116">
                  <c:v>-0.26941261914592024</c:v>
                </c:pt>
                <c:pt idx="117">
                  <c:v>-0.26941261914592024</c:v>
                </c:pt>
                <c:pt idx="118">
                  <c:v>-0.26941261914592024</c:v>
                </c:pt>
                <c:pt idx="119">
                  <c:v>-0.26941261914592024</c:v>
                </c:pt>
                <c:pt idx="120">
                  <c:v>-0.26941261914592024</c:v>
                </c:pt>
                <c:pt idx="121">
                  <c:v>-0.26941261914592024</c:v>
                </c:pt>
                <c:pt idx="122">
                  <c:v>0.57955445791474058</c:v>
                </c:pt>
                <c:pt idx="123">
                  <c:v>1.1021279497931928</c:v>
                </c:pt>
                <c:pt idx="124">
                  <c:v>1.1785674476441859</c:v>
                </c:pt>
                <c:pt idx="125">
                  <c:v>2.2486794006238124</c:v>
                </c:pt>
                <c:pt idx="126">
                  <c:v>1.2372314299436367</c:v>
                </c:pt>
                <c:pt idx="127">
                  <c:v>2.2486794006238124</c:v>
                </c:pt>
                <c:pt idx="128">
                  <c:v>-1.8572213334937537E-3</c:v>
                </c:pt>
                <c:pt idx="129">
                  <c:v>-0.26900592416627167</c:v>
                </c:pt>
                <c:pt idx="130">
                  <c:v>-0.26900592416627167</c:v>
                </c:pt>
                <c:pt idx="131">
                  <c:v>-0.77472990950635945</c:v>
                </c:pt>
                <c:pt idx="132">
                  <c:v>-0.52995950060175745</c:v>
                </c:pt>
                <c:pt idx="133">
                  <c:v>-1.3754035655171728</c:v>
                </c:pt>
                <c:pt idx="134">
                  <c:v>-1.4178843802857395</c:v>
                </c:pt>
                <c:pt idx="135">
                  <c:v>0.31278496689014035</c:v>
                </c:pt>
                <c:pt idx="136">
                  <c:v>0.31278496689014035</c:v>
                </c:pt>
                <c:pt idx="137">
                  <c:v>0.31278496689014035</c:v>
                </c:pt>
                <c:pt idx="138">
                  <c:v>0.23043396950006115</c:v>
                </c:pt>
                <c:pt idx="139">
                  <c:v>0.31278496689014035</c:v>
                </c:pt>
                <c:pt idx="140">
                  <c:v>0.31278496689014035</c:v>
                </c:pt>
                <c:pt idx="141">
                  <c:v>-1.2176820348887741E-2</c:v>
                </c:pt>
                <c:pt idx="142">
                  <c:v>-1.2176820348887741E-2</c:v>
                </c:pt>
                <c:pt idx="143">
                  <c:v>-9.706290427185656E-3</c:v>
                </c:pt>
                <c:pt idx="144">
                  <c:v>-1.2176820348887741E-2</c:v>
                </c:pt>
                <c:pt idx="145">
                  <c:v>-1.2176820348887741E-2</c:v>
                </c:pt>
                <c:pt idx="146">
                  <c:v>-1.2176820348887741E-2</c:v>
                </c:pt>
                <c:pt idx="147">
                  <c:v>-0.26321066525220077</c:v>
                </c:pt>
                <c:pt idx="148">
                  <c:v>-0.26321066525220077</c:v>
                </c:pt>
                <c:pt idx="149">
                  <c:v>-0.26321066525220077</c:v>
                </c:pt>
                <c:pt idx="150">
                  <c:v>-0.26321066525220077</c:v>
                </c:pt>
                <c:pt idx="151">
                  <c:v>-0.26321066525220077</c:v>
                </c:pt>
                <c:pt idx="152">
                  <c:v>-0.26321066525220077</c:v>
                </c:pt>
                <c:pt idx="153">
                  <c:v>1.3501513903183984</c:v>
                </c:pt>
                <c:pt idx="154">
                  <c:v>1.7547305785904685</c:v>
                </c:pt>
                <c:pt idx="155">
                  <c:v>1.6535857815224511</c:v>
                </c:pt>
                <c:pt idx="156">
                  <c:v>1.5949217992230011</c:v>
                </c:pt>
                <c:pt idx="157">
                  <c:v>1.4512961873864159</c:v>
                </c:pt>
                <c:pt idx="158">
                  <c:v>-0.475409654423598</c:v>
                </c:pt>
                <c:pt idx="159">
                  <c:v>-0.3742648573555804</c:v>
                </c:pt>
                <c:pt idx="160">
                  <c:v>-0.3742648573555804</c:v>
                </c:pt>
                <c:pt idx="161">
                  <c:v>-0.3742648573555804</c:v>
                </c:pt>
                <c:pt idx="162">
                  <c:v>-1.0133051920136693</c:v>
                </c:pt>
                <c:pt idx="163">
                  <c:v>-4.5595628974910075E-2</c:v>
                </c:pt>
                <c:pt idx="164">
                  <c:v>0.94577713085058024</c:v>
                </c:pt>
                <c:pt idx="165">
                  <c:v>0.94577713085058024</c:v>
                </c:pt>
                <c:pt idx="166">
                  <c:v>0.94577713085058024</c:v>
                </c:pt>
                <c:pt idx="167">
                  <c:v>0.36615935797548554</c:v>
                </c:pt>
                <c:pt idx="168">
                  <c:v>8.3084213000648565E-3</c:v>
                </c:pt>
                <c:pt idx="169">
                  <c:v>8.3084213000648565E-3</c:v>
                </c:pt>
                <c:pt idx="170">
                  <c:v>8.3084213000648565E-3</c:v>
                </c:pt>
                <c:pt idx="171">
                  <c:v>0.23631136619416754</c:v>
                </c:pt>
                <c:pt idx="172">
                  <c:v>-0.30947756726063858</c:v>
                </c:pt>
                <c:pt idx="173">
                  <c:v>-0.20833277019262103</c:v>
                </c:pt>
                <c:pt idx="174">
                  <c:v>-0.81520155260072669</c:v>
                </c:pt>
                <c:pt idx="175">
                  <c:v>1.6379869277897625</c:v>
                </c:pt>
                <c:pt idx="176">
                  <c:v>1.5979219796750457</c:v>
                </c:pt>
                <c:pt idx="177">
                  <c:v>1.4967771826070282</c:v>
                </c:pt>
                <c:pt idx="178">
                  <c:v>1.5979219796750457</c:v>
                </c:pt>
                <c:pt idx="179">
                  <c:v>-0.60872600374159913</c:v>
                </c:pt>
                <c:pt idx="180">
                  <c:v>-1.1076159981890945</c:v>
                </c:pt>
                <c:pt idx="181">
                  <c:v>-0.85475400551905056</c:v>
                </c:pt>
                <c:pt idx="182">
                  <c:v>0.61374200933535217</c:v>
                </c:pt>
                <c:pt idx="183">
                  <c:v>0.41145241519931702</c:v>
                </c:pt>
                <c:pt idx="184">
                  <c:v>1.3642364035800425</c:v>
                </c:pt>
                <c:pt idx="185">
                  <c:v>1.263091606512025</c:v>
                </c:pt>
                <c:pt idx="186">
                  <c:v>-0.43917532814271065</c:v>
                </c:pt>
                <c:pt idx="187">
                  <c:v>-0.57239599725857082</c:v>
                </c:pt>
                <c:pt idx="188">
                  <c:v>0.39657115865303727</c:v>
                </c:pt>
                <c:pt idx="189">
                  <c:v>0.49771595572105481</c:v>
                </c:pt>
                <c:pt idx="190">
                  <c:v>0.49771595572105481</c:v>
                </c:pt>
                <c:pt idx="191">
                  <c:v>-0.5253500159587341</c:v>
                </c:pt>
                <c:pt idx="192">
                  <c:v>-0.5253500159587341</c:v>
                </c:pt>
                <c:pt idx="193">
                  <c:v>-0.5253500159587341</c:v>
                </c:pt>
                <c:pt idx="194">
                  <c:v>-0.5253500159587341</c:v>
                </c:pt>
                <c:pt idx="195">
                  <c:v>-0.5253500159587341</c:v>
                </c:pt>
                <c:pt idx="196">
                  <c:v>0.305609168211815</c:v>
                </c:pt>
                <c:pt idx="197">
                  <c:v>0.305609168211815</c:v>
                </c:pt>
                <c:pt idx="198">
                  <c:v>0.30807969813351743</c:v>
                </c:pt>
                <c:pt idx="199">
                  <c:v>0.305609168211815</c:v>
                </c:pt>
                <c:pt idx="200">
                  <c:v>0.305609168211815</c:v>
                </c:pt>
                <c:pt idx="201">
                  <c:v>0.61151408933757012</c:v>
                </c:pt>
                <c:pt idx="202">
                  <c:v>9.1438506640831904E-2</c:v>
                </c:pt>
                <c:pt idx="203">
                  <c:v>0.29372810077686701</c:v>
                </c:pt>
                <c:pt idx="204">
                  <c:v>0.19011277378714739</c:v>
                </c:pt>
                <c:pt idx="205">
                  <c:v>0.29372810077686701</c:v>
                </c:pt>
                <c:pt idx="206">
                  <c:v>0.29125757085516496</c:v>
                </c:pt>
                <c:pt idx="207">
                  <c:v>0.39487289784488455</c:v>
                </c:pt>
                <c:pt idx="208">
                  <c:v>-0.53225240304562627</c:v>
                </c:pt>
                <c:pt idx="209">
                  <c:v>-0.42863707605590629</c:v>
                </c:pt>
                <c:pt idx="210">
                  <c:v>-0.53225240304562627</c:v>
                </c:pt>
                <c:pt idx="211">
                  <c:v>-0.43110760597760872</c:v>
                </c:pt>
                <c:pt idx="212">
                  <c:v>-0.53225240304562627</c:v>
                </c:pt>
                <c:pt idx="213">
                  <c:v>-0.73207146725995897</c:v>
                </c:pt>
                <c:pt idx="214">
                  <c:v>1.6832799850135938</c:v>
                </c:pt>
                <c:pt idx="215">
                  <c:v>1.6832799850135938</c:v>
                </c:pt>
                <c:pt idx="216">
                  <c:v>1.3798455938095411</c:v>
                </c:pt>
                <c:pt idx="217">
                  <c:v>1.3211816115100909</c:v>
                </c:pt>
                <c:pt idx="218">
                  <c:v>1.2787007967415236</c:v>
                </c:pt>
                <c:pt idx="219">
                  <c:v>-0.15167795956737162</c:v>
                </c:pt>
                <c:pt idx="220">
                  <c:v>-0.15167795956737162</c:v>
                </c:pt>
                <c:pt idx="221">
                  <c:v>-0.35396755370340677</c:v>
                </c:pt>
                <c:pt idx="222">
                  <c:v>-0.45511235077142431</c:v>
                </c:pt>
                <c:pt idx="223">
                  <c:v>-1.4322359776423903</c:v>
                </c:pt>
                <c:pt idx="224">
                  <c:v>-0.30529161253754644</c:v>
                </c:pt>
                <c:pt idx="225">
                  <c:v>-0.68260280046913391</c:v>
                </c:pt>
                <c:pt idx="226">
                  <c:v>-0.884892394605169</c:v>
                </c:pt>
                <c:pt idx="227">
                  <c:v>-0.61434715283750863</c:v>
                </c:pt>
                <c:pt idx="228">
                  <c:v>-0.61434715283750863</c:v>
                </c:pt>
                <c:pt idx="229">
                  <c:v>-0.10862316749742081</c:v>
                </c:pt>
                <c:pt idx="230">
                  <c:v>-0.26843194686488836</c:v>
                </c:pt>
                <c:pt idx="231">
                  <c:v>0.72518925874410389</c:v>
                </c:pt>
                <c:pt idx="232">
                  <c:v>-0.57186633806894105</c:v>
                </c:pt>
                <c:pt idx="233">
                  <c:v>-0.16728714979687082</c:v>
                </c:pt>
                <c:pt idx="234">
                  <c:v>-0.71549194990552611</c:v>
                </c:pt>
                <c:pt idx="235">
                  <c:v>-0.61434715283750863</c:v>
                </c:pt>
                <c:pt idx="236">
                  <c:v>0.16884162535036815</c:v>
                </c:pt>
                <c:pt idx="237">
                  <c:v>0.16884162535036815</c:v>
                </c:pt>
                <c:pt idx="238">
                  <c:v>-3.3447968785666984E-2</c:v>
                </c:pt>
                <c:pt idx="239">
                  <c:v>6.7696828282350574E-2</c:v>
                </c:pt>
                <c:pt idx="240">
                  <c:v>-0.59999555548085859</c:v>
                </c:pt>
                <c:pt idx="241">
                  <c:v>-0.2965611642768059</c:v>
                </c:pt>
                <c:pt idx="242">
                  <c:v>-0.59999555548085859</c:v>
                </c:pt>
                <c:pt idx="243">
                  <c:v>-0.59999555548085859</c:v>
                </c:pt>
                <c:pt idx="244">
                  <c:v>-0.36573600208447216</c:v>
                </c:pt>
                <c:pt idx="245">
                  <c:v>-0.36573600208447216</c:v>
                </c:pt>
                <c:pt idx="246">
                  <c:v>-0.36573600208447216</c:v>
                </c:pt>
                <c:pt idx="247">
                  <c:v>-0.36573600208447216</c:v>
                </c:pt>
                <c:pt idx="248">
                  <c:v>-0.20976796456543836</c:v>
                </c:pt>
                <c:pt idx="249">
                  <c:v>0.29595602077464944</c:v>
                </c:pt>
                <c:pt idx="250">
                  <c:v>-7.4783704294032402E-3</c:v>
                </c:pt>
                <c:pt idx="251">
                  <c:v>-0.20976796456543836</c:v>
                </c:pt>
                <c:pt idx="252">
                  <c:v>0.18763542502830649</c:v>
                </c:pt>
                <c:pt idx="253">
                  <c:v>0.18763542502830649</c:v>
                </c:pt>
                <c:pt idx="254">
                  <c:v>0.18763542502830649</c:v>
                </c:pt>
                <c:pt idx="255">
                  <c:v>0.18763542502830649</c:v>
                </c:pt>
                <c:pt idx="256">
                  <c:v>-0.68736273249360935</c:v>
                </c:pt>
                <c:pt idx="257">
                  <c:v>-0.58621793542559175</c:v>
                </c:pt>
                <c:pt idx="258">
                  <c:v>-0.52755395312614184</c:v>
                </c:pt>
                <c:pt idx="259">
                  <c:v>-0.22411956192208912</c:v>
                </c:pt>
                <c:pt idx="260">
                  <c:v>2.1890039703536814</c:v>
                </c:pt>
                <c:pt idx="261">
                  <c:v>2.4924383615577343</c:v>
                </c:pt>
                <c:pt idx="262">
                  <c:v>2.3912935644897169</c:v>
                </c:pt>
                <c:pt idx="263">
                  <c:v>2.2137092695707059</c:v>
                </c:pt>
                <c:pt idx="264">
                  <c:v>3.4428467037781019E-2</c:v>
                </c:pt>
                <c:pt idx="265">
                  <c:v>0.13557326410579856</c:v>
                </c:pt>
                <c:pt idx="266">
                  <c:v>0.88606765835048829</c:v>
                </c:pt>
                <c:pt idx="267">
                  <c:v>-0.1678611270982541</c:v>
                </c:pt>
                <c:pt idx="268">
                  <c:v>-0.30529161253754644</c:v>
                </c:pt>
                <c:pt idx="269">
                  <c:v>-0.30529161253754644</c:v>
                </c:pt>
                <c:pt idx="270">
                  <c:v>-0.30529161253754644</c:v>
                </c:pt>
                <c:pt idx="271">
                  <c:v>0.83456915555112943</c:v>
                </c:pt>
                <c:pt idx="272">
                  <c:v>1.3402931408912173</c:v>
                </c:pt>
                <c:pt idx="273">
                  <c:v>2.0483067203673402</c:v>
                </c:pt>
                <c:pt idx="274">
                  <c:v>9.3666426638614311E-2</c:v>
                </c:pt>
                <c:pt idx="275">
                  <c:v>9.3666426638614311E-2</c:v>
                </c:pt>
                <c:pt idx="276">
                  <c:v>0.95339720171676356</c:v>
                </c:pt>
                <c:pt idx="277">
                  <c:v>-6.2817545802890271E-2</c:v>
                </c:pt>
                <c:pt idx="278">
                  <c:v>-0.60573615978636552</c:v>
                </c:pt>
                <c:pt idx="279">
                  <c:v>-0.10001217444627736</c:v>
                </c:pt>
                <c:pt idx="280">
                  <c:v>-0.66440014208581555</c:v>
                </c:pt>
                <c:pt idx="281">
                  <c:v>-2.0403623529233439</c:v>
                </c:pt>
                <c:pt idx="282">
                  <c:v>-0.28077437254733745</c:v>
                </c:pt>
                <c:pt idx="283">
                  <c:v>-0.28077437254733745</c:v>
                </c:pt>
                <c:pt idx="284">
                  <c:v>-0.28077437254733745</c:v>
                </c:pt>
                <c:pt idx="285">
                  <c:v>-1.4616227879271559</c:v>
                </c:pt>
                <c:pt idx="286">
                  <c:v>0.12380481572473281</c:v>
                </c:pt>
                <c:pt idx="287">
                  <c:v>2.2660018656715256E-2</c:v>
                </c:pt>
                <c:pt idx="288">
                  <c:v>2.2660018656715256E-2</c:v>
                </c:pt>
                <c:pt idx="289">
                  <c:v>-0.65246441138301547</c:v>
                </c:pt>
                <c:pt idx="290">
                  <c:v>8.3084213000648565E-3</c:v>
                </c:pt>
                <c:pt idx="291">
                  <c:v>0.10945321836808242</c:v>
                </c:pt>
                <c:pt idx="292">
                  <c:v>0.10945321836808242</c:v>
                </c:pt>
                <c:pt idx="293">
                  <c:v>-0.37055741621393817</c:v>
                </c:pt>
                <c:pt idx="294">
                  <c:v>-0.90917055099041821</c:v>
                </c:pt>
                <c:pt idx="295">
                  <c:v>0.2034222167577753</c:v>
                </c:pt>
                <c:pt idx="296">
                  <c:v>0.2034222167577753</c:v>
                </c:pt>
                <c:pt idx="297">
                  <c:v>0.23631136619416754</c:v>
                </c:pt>
                <c:pt idx="298">
                  <c:v>-6.0431760565859017E-3</c:v>
                </c:pt>
                <c:pt idx="299">
                  <c:v>-6.0431760565859017E-3</c:v>
                </c:pt>
                <c:pt idx="300">
                  <c:v>0.23872723284801603</c:v>
                </c:pt>
                <c:pt idx="301">
                  <c:v>2.0425661160618329</c:v>
                </c:pt>
                <c:pt idx="302">
                  <c:v>2.2047907620831513</c:v>
                </c:pt>
                <c:pt idx="303">
                  <c:v>2.2047907620831513</c:v>
                </c:pt>
                <c:pt idx="304">
                  <c:v>2.2047907620831513</c:v>
                </c:pt>
                <c:pt idx="305">
                  <c:v>0.90844595227866431</c:v>
                </c:pt>
                <c:pt idx="306">
                  <c:v>-0.2370359649059211</c:v>
                </c:pt>
                <c:pt idx="307">
                  <c:v>-0.29569994720537185</c:v>
                </c:pt>
                <c:pt idx="308">
                  <c:v>-0.74275995024600894</c:v>
                </c:pt>
                <c:pt idx="309">
                  <c:v>-0.50758120667358153</c:v>
                </c:pt>
                <c:pt idx="310">
                  <c:v>-0.60872600374159913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F2-46D7-8663-632C8C0865FD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20.22849837983955</c:v>
              </c:pt>
            </c:numLit>
          </c:xVal>
          <c:yVal>
            <c:numLit>
              <c:formatCode>General</c:formatCode>
              <c:ptCount val="1"/>
              <c:pt idx="0">
                <c:v>-0.16673703409582719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1F2-46D7-8663-632C8C086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845760"/>
        <c:axId val="281848064"/>
      </c:scatterChart>
      <c:valAx>
        <c:axId val="281845760"/>
        <c:scaling>
          <c:orientation val="maxMin"/>
          <c:max val="7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Pred(Actual Pile Length (ft.))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848064"/>
        <c:crosses val="autoZero"/>
        <c:crossBetween val="midCat"/>
      </c:valAx>
      <c:valAx>
        <c:axId val="281848064"/>
        <c:scaling>
          <c:orientation val="minMax"/>
          <c:max val="3"/>
          <c:min val="-4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845760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Pred(Actual Pile Length (ft.)) - Actual Pile Length (ft.)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 Output 4'!$E$94:$E$404</c:f>
              <c:numCache>
                <c:formatCode>0.000</c:formatCode>
                <c:ptCount val="311"/>
                <c:pt idx="0">
                  <c:v>20.22849837983955</c:v>
                </c:pt>
                <c:pt idx="1">
                  <c:v>20.22849837983955</c:v>
                </c:pt>
                <c:pt idx="2">
                  <c:v>20.22849837983955</c:v>
                </c:pt>
                <c:pt idx="3">
                  <c:v>20.22849837983955</c:v>
                </c:pt>
                <c:pt idx="4">
                  <c:v>20.22849837983955</c:v>
                </c:pt>
                <c:pt idx="5">
                  <c:v>20.22849837983955</c:v>
                </c:pt>
                <c:pt idx="6">
                  <c:v>20.22849837983955</c:v>
                </c:pt>
                <c:pt idx="7">
                  <c:v>20.22849837983955</c:v>
                </c:pt>
                <c:pt idx="8">
                  <c:v>20.22849837983955</c:v>
                </c:pt>
                <c:pt idx="9">
                  <c:v>20.22849837983955</c:v>
                </c:pt>
                <c:pt idx="10">
                  <c:v>20.22849837983955</c:v>
                </c:pt>
                <c:pt idx="11">
                  <c:v>16.361099868576289</c:v>
                </c:pt>
                <c:pt idx="12">
                  <c:v>16.361099868576289</c:v>
                </c:pt>
                <c:pt idx="13">
                  <c:v>16.361099868576289</c:v>
                </c:pt>
                <c:pt idx="14">
                  <c:v>16.361099868576289</c:v>
                </c:pt>
                <c:pt idx="15">
                  <c:v>20.432045669906039</c:v>
                </c:pt>
                <c:pt idx="16">
                  <c:v>20.432045669906039</c:v>
                </c:pt>
                <c:pt idx="17">
                  <c:v>20.432045669906039</c:v>
                </c:pt>
                <c:pt idx="18">
                  <c:v>20.432045669906039</c:v>
                </c:pt>
                <c:pt idx="19">
                  <c:v>28.981031852698507</c:v>
                </c:pt>
                <c:pt idx="20">
                  <c:v>24.910086051368758</c:v>
                </c:pt>
                <c:pt idx="21">
                  <c:v>28.981031852698507</c:v>
                </c:pt>
                <c:pt idx="22">
                  <c:v>28.981031852698507</c:v>
                </c:pt>
                <c:pt idx="23">
                  <c:v>28.981031852698507</c:v>
                </c:pt>
                <c:pt idx="24">
                  <c:v>37.122923455358006</c:v>
                </c:pt>
                <c:pt idx="25">
                  <c:v>45.061267767951009</c:v>
                </c:pt>
                <c:pt idx="26">
                  <c:v>45.061267767951009</c:v>
                </c:pt>
                <c:pt idx="27">
                  <c:v>45.061267767951009</c:v>
                </c:pt>
                <c:pt idx="28">
                  <c:v>49.335760859347246</c:v>
                </c:pt>
                <c:pt idx="29">
                  <c:v>61.548598263336487</c:v>
                </c:pt>
                <c:pt idx="30">
                  <c:v>61.548598263336487</c:v>
                </c:pt>
                <c:pt idx="31">
                  <c:v>61.548598263336487</c:v>
                </c:pt>
                <c:pt idx="32">
                  <c:v>61.548598263336487</c:v>
                </c:pt>
                <c:pt idx="33">
                  <c:v>61.548598263336487</c:v>
                </c:pt>
                <c:pt idx="34">
                  <c:v>61.548598263336487</c:v>
                </c:pt>
                <c:pt idx="35">
                  <c:v>61.548598263336487</c:v>
                </c:pt>
                <c:pt idx="36">
                  <c:v>61.548598263336487</c:v>
                </c:pt>
                <c:pt idx="37">
                  <c:v>61.548598263336487</c:v>
                </c:pt>
                <c:pt idx="38">
                  <c:v>20.839140250039009</c:v>
                </c:pt>
                <c:pt idx="39">
                  <c:v>16.361099868576289</c:v>
                </c:pt>
                <c:pt idx="40">
                  <c:v>16.361099868576289</c:v>
                </c:pt>
                <c:pt idx="41">
                  <c:v>16.361099868576289</c:v>
                </c:pt>
                <c:pt idx="42">
                  <c:v>16.361099868576289</c:v>
                </c:pt>
                <c:pt idx="43">
                  <c:v>24.502991471235784</c:v>
                </c:pt>
                <c:pt idx="44">
                  <c:v>24.502991471235784</c:v>
                </c:pt>
                <c:pt idx="45">
                  <c:v>24.502991471235784</c:v>
                </c:pt>
                <c:pt idx="46">
                  <c:v>24.502991471235784</c:v>
                </c:pt>
                <c:pt idx="47">
                  <c:v>20.839140250039009</c:v>
                </c:pt>
                <c:pt idx="48">
                  <c:v>28.777484562632019</c:v>
                </c:pt>
                <c:pt idx="49">
                  <c:v>28.777484562632019</c:v>
                </c:pt>
                <c:pt idx="50">
                  <c:v>28.777484562632019</c:v>
                </c:pt>
                <c:pt idx="51">
                  <c:v>28.777484562632019</c:v>
                </c:pt>
                <c:pt idx="52">
                  <c:v>28.777484562632019</c:v>
                </c:pt>
                <c:pt idx="53">
                  <c:v>45.061267767951009</c:v>
                </c:pt>
                <c:pt idx="54">
                  <c:v>45.061267767951009</c:v>
                </c:pt>
                <c:pt idx="55">
                  <c:v>45.061267767951009</c:v>
                </c:pt>
                <c:pt idx="56">
                  <c:v>45.061267767951009</c:v>
                </c:pt>
                <c:pt idx="57">
                  <c:v>45.061267767951009</c:v>
                </c:pt>
                <c:pt idx="58">
                  <c:v>61.345050973270006</c:v>
                </c:pt>
                <c:pt idx="59">
                  <c:v>61.345050973270006</c:v>
                </c:pt>
                <c:pt idx="60">
                  <c:v>61.345050973270006</c:v>
                </c:pt>
                <c:pt idx="61">
                  <c:v>61.345050973270006</c:v>
                </c:pt>
                <c:pt idx="62">
                  <c:v>61.548598263336487</c:v>
                </c:pt>
                <c:pt idx="63">
                  <c:v>61.548598263336487</c:v>
                </c:pt>
                <c:pt idx="64">
                  <c:v>20.839140250039009</c:v>
                </c:pt>
                <c:pt idx="65">
                  <c:v>27.963295402366068</c:v>
                </c:pt>
                <c:pt idx="66">
                  <c:v>27.963295402366068</c:v>
                </c:pt>
                <c:pt idx="67">
                  <c:v>27.963295402366068</c:v>
                </c:pt>
                <c:pt idx="68">
                  <c:v>27.963295402366068</c:v>
                </c:pt>
                <c:pt idx="69">
                  <c:v>27.963295402366068</c:v>
                </c:pt>
                <c:pt idx="70">
                  <c:v>27.938869727558092</c:v>
                </c:pt>
                <c:pt idx="71">
                  <c:v>44.247078607685054</c:v>
                </c:pt>
                <c:pt idx="72">
                  <c:v>44.247078607685054</c:v>
                </c:pt>
                <c:pt idx="73">
                  <c:v>44.247078607685054</c:v>
                </c:pt>
                <c:pt idx="74">
                  <c:v>44.247078607685054</c:v>
                </c:pt>
                <c:pt idx="75">
                  <c:v>44.247078607685054</c:v>
                </c:pt>
                <c:pt idx="76">
                  <c:v>44.247078607685054</c:v>
                </c:pt>
                <c:pt idx="77">
                  <c:v>60.530861813004051</c:v>
                </c:pt>
                <c:pt idx="78">
                  <c:v>60.530861813004051</c:v>
                </c:pt>
                <c:pt idx="79">
                  <c:v>60.530861813004051</c:v>
                </c:pt>
                <c:pt idx="80">
                  <c:v>60.530861813004051</c:v>
                </c:pt>
                <c:pt idx="81">
                  <c:v>61.548598263336487</c:v>
                </c:pt>
                <c:pt idx="82">
                  <c:v>18.469849793665098</c:v>
                </c:pt>
                <c:pt idx="83">
                  <c:v>28.370389982499042</c:v>
                </c:pt>
                <c:pt idx="84">
                  <c:v>28.370389982499042</c:v>
                </c:pt>
                <c:pt idx="85">
                  <c:v>28.345964307691066</c:v>
                </c:pt>
                <c:pt idx="86">
                  <c:v>28.370389982499042</c:v>
                </c:pt>
                <c:pt idx="87">
                  <c:v>28.370389982499042</c:v>
                </c:pt>
                <c:pt idx="88">
                  <c:v>28.345964307691066</c:v>
                </c:pt>
                <c:pt idx="89">
                  <c:v>30.747822330475618</c:v>
                </c:pt>
                <c:pt idx="90">
                  <c:v>28.321538632883087</c:v>
                </c:pt>
                <c:pt idx="91">
                  <c:v>28.321538632883087</c:v>
                </c:pt>
                <c:pt idx="92">
                  <c:v>28.321538632883087</c:v>
                </c:pt>
                <c:pt idx="93">
                  <c:v>28.321538632883087</c:v>
                </c:pt>
                <c:pt idx="94">
                  <c:v>28.321538632883087</c:v>
                </c:pt>
                <c:pt idx="95">
                  <c:v>28.321538632883087</c:v>
                </c:pt>
                <c:pt idx="96">
                  <c:v>42.895524601643586</c:v>
                </c:pt>
                <c:pt idx="97">
                  <c:v>40.786774676554771</c:v>
                </c:pt>
                <c:pt idx="98">
                  <c:v>40.786774676554771</c:v>
                </c:pt>
                <c:pt idx="99">
                  <c:v>40.786774676554771</c:v>
                </c:pt>
                <c:pt idx="100">
                  <c:v>40.786774676554771</c:v>
                </c:pt>
                <c:pt idx="101">
                  <c:v>40.786774676554771</c:v>
                </c:pt>
                <c:pt idx="102">
                  <c:v>39.907450383467548</c:v>
                </c:pt>
                <c:pt idx="103">
                  <c:v>39.907450383467548</c:v>
                </c:pt>
                <c:pt idx="104">
                  <c:v>15.481775575489063</c:v>
                </c:pt>
                <c:pt idx="105">
                  <c:v>27.694612979478308</c:v>
                </c:pt>
                <c:pt idx="106">
                  <c:v>39.907450383467548</c:v>
                </c:pt>
                <c:pt idx="107">
                  <c:v>39.907450383467548</c:v>
                </c:pt>
                <c:pt idx="108">
                  <c:v>15.481775575489063</c:v>
                </c:pt>
                <c:pt idx="109">
                  <c:v>25.659140078813433</c:v>
                </c:pt>
                <c:pt idx="110">
                  <c:v>25.659140078813433</c:v>
                </c:pt>
                <c:pt idx="111">
                  <c:v>25.659140078813433</c:v>
                </c:pt>
                <c:pt idx="112">
                  <c:v>25.659140078813433</c:v>
                </c:pt>
                <c:pt idx="113">
                  <c:v>25.659140078813433</c:v>
                </c:pt>
                <c:pt idx="114">
                  <c:v>25.659140078813433</c:v>
                </c:pt>
                <c:pt idx="115">
                  <c:v>27.694612979478308</c:v>
                </c:pt>
                <c:pt idx="116">
                  <c:v>34.753632998984088</c:v>
                </c:pt>
                <c:pt idx="117">
                  <c:v>34.753632998984088</c:v>
                </c:pt>
                <c:pt idx="118">
                  <c:v>34.753632998984088</c:v>
                </c:pt>
                <c:pt idx="119">
                  <c:v>34.753632998984088</c:v>
                </c:pt>
                <c:pt idx="120">
                  <c:v>34.753632998984088</c:v>
                </c:pt>
                <c:pt idx="121">
                  <c:v>34.753632998984088</c:v>
                </c:pt>
                <c:pt idx="122">
                  <c:v>40.860051700978715</c:v>
                </c:pt>
                <c:pt idx="123">
                  <c:v>44.613463729804735</c:v>
                </c:pt>
                <c:pt idx="124">
                  <c:v>44.857720477884527</c:v>
                </c:pt>
                <c:pt idx="125">
                  <c:v>44.857720477884527</c:v>
                </c:pt>
                <c:pt idx="126">
                  <c:v>44.857720477884527</c:v>
                </c:pt>
                <c:pt idx="127">
                  <c:v>44.857720477884527</c:v>
                </c:pt>
                <c:pt idx="128">
                  <c:v>55.108362005632827</c:v>
                </c:pt>
                <c:pt idx="129">
                  <c:v>52.999612080544011</c:v>
                </c:pt>
                <c:pt idx="130">
                  <c:v>52.999612080544011</c:v>
                </c:pt>
                <c:pt idx="131">
                  <c:v>52.999612080544011</c:v>
                </c:pt>
                <c:pt idx="132">
                  <c:v>52.999612080544011</c:v>
                </c:pt>
                <c:pt idx="133">
                  <c:v>55.108362005632827</c:v>
                </c:pt>
                <c:pt idx="134">
                  <c:v>55.108362005632827</c:v>
                </c:pt>
                <c:pt idx="135">
                  <c:v>16.157552578509801</c:v>
                </c:pt>
                <c:pt idx="136">
                  <c:v>16.157552578509801</c:v>
                </c:pt>
                <c:pt idx="137">
                  <c:v>16.157552578509801</c:v>
                </c:pt>
                <c:pt idx="138">
                  <c:v>16.971741738775751</c:v>
                </c:pt>
                <c:pt idx="139">
                  <c:v>16.157552578509801</c:v>
                </c:pt>
                <c:pt idx="140">
                  <c:v>16.157552578509801</c:v>
                </c:pt>
                <c:pt idx="141">
                  <c:v>28.370389982499042</c:v>
                </c:pt>
                <c:pt idx="142">
                  <c:v>28.370389982499042</c:v>
                </c:pt>
                <c:pt idx="143">
                  <c:v>28.345964307691066</c:v>
                </c:pt>
                <c:pt idx="144">
                  <c:v>28.370389982499042</c:v>
                </c:pt>
                <c:pt idx="145">
                  <c:v>28.370389982499042</c:v>
                </c:pt>
                <c:pt idx="146">
                  <c:v>28.370389982499042</c:v>
                </c:pt>
                <c:pt idx="147">
                  <c:v>35.022315421871852</c:v>
                </c:pt>
                <c:pt idx="148">
                  <c:v>35.022315421871852</c:v>
                </c:pt>
                <c:pt idx="149">
                  <c:v>35.022315421871852</c:v>
                </c:pt>
                <c:pt idx="150">
                  <c:v>35.022315421871852</c:v>
                </c:pt>
                <c:pt idx="151">
                  <c:v>35.022315421871852</c:v>
                </c:pt>
                <c:pt idx="152">
                  <c:v>35.022315421871852</c:v>
                </c:pt>
                <c:pt idx="153">
                  <c:v>43.571301604664328</c:v>
                </c:pt>
                <c:pt idx="154">
                  <c:v>43.571301604664328</c:v>
                </c:pt>
                <c:pt idx="155">
                  <c:v>43.571301604664328</c:v>
                </c:pt>
                <c:pt idx="156">
                  <c:v>43.571301604664328</c:v>
                </c:pt>
                <c:pt idx="157">
                  <c:v>43.571301604664328</c:v>
                </c:pt>
                <c:pt idx="158">
                  <c:v>52.120287787456789</c:v>
                </c:pt>
                <c:pt idx="159">
                  <c:v>52.120287787456789</c:v>
                </c:pt>
                <c:pt idx="160">
                  <c:v>52.120287787456789</c:v>
                </c:pt>
                <c:pt idx="161">
                  <c:v>52.120287787456789</c:v>
                </c:pt>
                <c:pt idx="162">
                  <c:v>55.108362005632827</c:v>
                </c:pt>
                <c:pt idx="163">
                  <c:v>22.540795594994847</c:v>
                </c:pt>
                <c:pt idx="164">
                  <c:v>17.28927551127947</c:v>
                </c:pt>
                <c:pt idx="165">
                  <c:v>17.28927551127947</c:v>
                </c:pt>
                <c:pt idx="166">
                  <c:v>17.28927551127947</c:v>
                </c:pt>
                <c:pt idx="167">
                  <c:v>18.469849793665098</c:v>
                </c:pt>
                <c:pt idx="168">
                  <c:v>29.25785616718893</c:v>
                </c:pt>
                <c:pt idx="169">
                  <c:v>29.25785616718893</c:v>
                </c:pt>
                <c:pt idx="170">
                  <c:v>29.25785616718893</c:v>
                </c:pt>
                <c:pt idx="171">
                  <c:v>34.753632998984088</c:v>
                </c:pt>
                <c:pt idx="172">
                  <c:v>37.399747769848432</c:v>
                </c:pt>
                <c:pt idx="173">
                  <c:v>37.399747769848432</c:v>
                </c:pt>
                <c:pt idx="174">
                  <c:v>37.399747769848432</c:v>
                </c:pt>
                <c:pt idx="175">
                  <c:v>42.895524601643586</c:v>
                </c:pt>
                <c:pt idx="176">
                  <c:v>45.541639372507916</c:v>
                </c:pt>
                <c:pt idx="177">
                  <c:v>45.541639372507916</c:v>
                </c:pt>
                <c:pt idx="178">
                  <c:v>45.541639372507916</c:v>
                </c:pt>
                <c:pt idx="179">
                  <c:v>55.108362005632827</c:v>
                </c:pt>
                <c:pt idx="180">
                  <c:v>22.540795594994847</c:v>
                </c:pt>
                <c:pt idx="181">
                  <c:v>22.540795594994847</c:v>
                </c:pt>
                <c:pt idx="182">
                  <c:v>20.432045669906039</c:v>
                </c:pt>
                <c:pt idx="183">
                  <c:v>20.432045669906039</c:v>
                </c:pt>
                <c:pt idx="184">
                  <c:v>20.432045669906039</c:v>
                </c:pt>
                <c:pt idx="185">
                  <c:v>20.432045669906039</c:v>
                </c:pt>
                <c:pt idx="186">
                  <c:v>20.432045669906039</c:v>
                </c:pt>
                <c:pt idx="187">
                  <c:v>24.169173915526745</c:v>
                </c:pt>
                <c:pt idx="188">
                  <c:v>24.169173915526745</c:v>
                </c:pt>
                <c:pt idx="189">
                  <c:v>24.169173915526745</c:v>
                </c:pt>
                <c:pt idx="190">
                  <c:v>24.169173915526745</c:v>
                </c:pt>
                <c:pt idx="191">
                  <c:v>19.284038953931049</c:v>
                </c:pt>
                <c:pt idx="192">
                  <c:v>19.284038953931049</c:v>
                </c:pt>
                <c:pt idx="193">
                  <c:v>19.284038953931049</c:v>
                </c:pt>
                <c:pt idx="194">
                  <c:v>19.284038953931049</c:v>
                </c:pt>
                <c:pt idx="195">
                  <c:v>19.284038953931049</c:v>
                </c:pt>
                <c:pt idx="196">
                  <c:v>20.22849837983955</c:v>
                </c:pt>
                <c:pt idx="197">
                  <c:v>20.22849837983955</c:v>
                </c:pt>
                <c:pt idx="198">
                  <c:v>20.204072705031571</c:v>
                </c:pt>
                <c:pt idx="199">
                  <c:v>20.22849837983955</c:v>
                </c:pt>
                <c:pt idx="200">
                  <c:v>20.22849837983955</c:v>
                </c:pt>
                <c:pt idx="201">
                  <c:v>20.204072705031571</c:v>
                </c:pt>
                <c:pt idx="202">
                  <c:v>28.345964307691066</c:v>
                </c:pt>
                <c:pt idx="203">
                  <c:v>28.345964307691066</c:v>
                </c:pt>
                <c:pt idx="204">
                  <c:v>28.370389982499042</c:v>
                </c:pt>
                <c:pt idx="205">
                  <c:v>28.345964307691066</c:v>
                </c:pt>
                <c:pt idx="206">
                  <c:v>28.370389982499042</c:v>
                </c:pt>
                <c:pt idx="207">
                  <c:v>28.345964307691066</c:v>
                </c:pt>
                <c:pt idx="208">
                  <c:v>36.51228158515854</c:v>
                </c:pt>
                <c:pt idx="209">
                  <c:v>36.487855910350561</c:v>
                </c:pt>
                <c:pt idx="210">
                  <c:v>36.51228158515854</c:v>
                </c:pt>
                <c:pt idx="211">
                  <c:v>36.51228158515854</c:v>
                </c:pt>
                <c:pt idx="212">
                  <c:v>36.51228158515854</c:v>
                </c:pt>
                <c:pt idx="213">
                  <c:v>36.487855910350561</c:v>
                </c:pt>
                <c:pt idx="214">
                  <c:v>44.857720477884527</c:v>
                </c:pt>
                <c:pt idx="215">
                  <c:v>44.857720477884527</c:v>
                </c:pt>
                <c:pt idx="216">
                  <c:v>44.857720477884527</c:v>
                </c:pt>
                <c:pt idx="217">
                  <c:v>44.857720477884527</c:v>
                </c:pt>
                <c:pt idx="218">
                  <c:v>44.857720477884527</c:v>
                </c:pt>
                <c:pt idx="219">
                  <c:v>52.999612080544011</c:v>
                </c:pt>
                <c:pt idx="220">
                  <c:v>52.999612080544011</c:v>
                </c:pt>
                <c:pt idx="221">
                  <c:v>52.999612080544011</c:v>
                </c:pt>
                <c:pt idx="222">
                  <c:v>52.999612080544011</c:v>
                </c:pt>
                <c:pt idx="223">
                  <c:v>63.250253608292326</c:v>
                </c:pt>
                <c:pt idx="224">
                  <c:v>55.108362005632827</c:v>
                </c:pt>
                <c:pt idx="225">
                  <c:v>29.998768303030943</c:v>
                </c:pt>
                <c:pt idx="226">
                  <c:v>29.998768303030943</c:v>
                </c:pt>
                <c:pt idx="227">
                  <c:v>28.57393727256553</c:v>
                </c:pt>
                <c:pt idx="228">
                  <c:v>28.57393727256553</c:v>
                </c:pt>
                <c:pt idx="229">
                  <c:v>28.57393727256553</c:v>
                </c:pt>
                <c:pt idx="230">
                  <c:v>28.57393727256553</c:v>
                </c:pt>
                <c:pt idx="231">
                  <c:v>30.080187219057539</c:v>
                </c:pt>
                <c:pt idx="232">
                  <c:v>28.57393727256553</c:v>
                </c:pt>
                <c:pt idx="233">
                  <c:v>28.57393727256553</c:v>
                </c:pt>
                <c:pt idx="234">
                  <c:v>28.57393727256553</c:v>
                </c:pt>
                <c:pt idx="235">
                  <c:v>28.57393727256553</c:v>
                </c:pt>
                <c:pt idx="236">
                  <c:v>31.830693913629329</c:v>
                </c:pt>
                <c:pt idx="237">
                  <c:v>31.830693913629329</c:v>
                </c:pt>
                <c:pt idx="238">
                  <c:v>31.830693913629329</c:v>
                </c:pt>
                <c:pt idx="239">
                  <c:v>31.830693913629329</c:v>
                </c:pt>
                <c:pt idx="240">
                  <c:v>20.432045669906039</c:v>
                </c:pt>
                <c:pt idx="241">
                  <c:v>20.432045669906039</c:v>
                </c:pt>
                <c:pt idx="242">
                  <c:v>20.432045669906039</c:v>
                </c:pt>
                <c:pt idx="243">
                  <c:v>20.432045669906039</c:v>
                </c:pt>
                <c:pt idx="244">
                  <c:v>21.115964564529435</c:v>
                </c:pt>
                <c:pt idx="245">
                  <c:v>21.115964564529435</c:v>
                </c:pt>
                <c:pt idx="246">
                  <c:v>21.115964564529435</c:v>
                </c:pt>
                <c:pt idx="247">
                  <c:v>21.115964564529435</c:v>
                </c:pt>
                <c:pt idx="248">
                  <c:v>28.57393727256553</c:v>
                </c:pt>
                <c:pt idx="249">
                  <c:v>28.57393727256553</c:v>
                </c:pt>
                <c:pt idx="250">
                  <c:v>28.57393727256553</c:v>
                </c:pt>
                <c:pt idx="251">
                  <c:v>28.57393727256553</c:v>
                </c:pt>
                <c:pt idx="252">
                  <c:v>32.644883073895279</c:v>
                </c:pt>
                <c:pt idx="253">
                  <c:v>32.644883073895279</c:v>
                </c:pt>
                <c:pt idx="254">
                  <c:v>32.644883073895279</c:v>
                </c:pt>
                <c:pt idx="255">
                  <c:v>32.644883073895279</c:v>
                </c:pt>
                <c:pt idx="256">
                  <c:v>36.715828875225029</c:v>
                </c:pt>
                <c:pt idx="257">
                  <c:v>36.715828875225029</c:v>
                </c:pt>
                <c:pt idx="258">
                  <c:v>36.715828875225029</c:v>
                </c:pt>
                <c:pt idx="259">
                  <c:v>36.715828875225029</c:v>
                </c:pt>
                <c:pt idx="260">
                  <c:v>44.857720477884527</c:v>
                </c:pt>
                <c:pt idx="261">
                  <c:v>44.857720477884527</c:v>
                </c:pt>
                <c:pt idx="262">
                  <c:v>44.857720477884527</c:v>
                </c:pt>
                <c:pt idx="263">
                  <c:v>44.613463729804735</c:v>
                </c:pt>
                <c:pt idx="264">
                  <c:v>52.999612080544011</c:v>
                </c:pt>
                <c:pt idx="265">
                  <c:v>52.999612080544011</c:v>
                </c:pt>
                <c:pt idx="266">
                  <c:v>52.999612080544011</c:v>
                </c:pt>
                <c:pt idx="267">
                  <c:v>52.999612080544011</c:v>
                </c:pt>
                <c:pt idx="268">
                  <c:v>55.108362005632827</c:v>
                </c:pt>
                <c:pt idx="269">
                  <c:v>55.108362005632827</c:v>
                </c:pt>
                <c:pt idx="270">
                  <c:v>55.108362005632827</c:v>
                </c:pt>
                <c:pt idx="271">
                  <c:v>29.998768303030943</c:v>
                </c:pt>
                <c:pt idx="272">
                  <c:v>29.998768303030943</c:v>
                </c:pt>
                <c:pt idx="273">
                  <c:v>29.998768303030943</c:v>
                </c:pt>
                <c:pt idx="274">
                  <c:v>28.57393727256553</c:v>
                </c:pt>
                <c:pt idx="275">
                  <c:v>28.57393727256553</c:v>
                </c:pt>
                <c:pt idx="276">
                  <c:v>28.57393727256553</c:v>
                </c:pt>
                <c:pt idx="277">
                  <c:v>32.31106551818624</c:v>
                </c:pt>
                <c:pt idx="278">
                  <c:v>33.328801968518675</c:v>
                </c:pt>
                <c:pt idx="279">
                  <c:v>33.328801968518675</c:v>
                </c:pt>
                <c:pt idx="280">
                  <c:v>33.328801968518675</c:v>
                </c:pt>
                <c:pt idx="281">
                  <c:v>30.682687197654342</c:v>
                </c:pt>
                <c:pt idx="282">
                  <c:v>21.115964564529435</c:v>
                </c:pt>
                <c:pt idx="283">
                  <c:v>21.115964564529435</c:v>
                </c:pt>
                <c:pt idx="284">
                  <c:v>21.115964564529435</c:v>
                </c:pt>
                <c:pt idx="285">
                  <c:v>22.540795594994847</c:v>
                </c:pt>
                <c:pt idx="286">
                  <c:v>21.115964564529435</c:v>
                </c:pt>
                <c:pt idx="287">
                  <c:v>21.115964564529435</c:v>
                </c:pt>
                <c:pt idx="288">
                  <c:v>21.115964564529435</c:v>
                </c:pt>
                <c:pt idx="289">
                  <c:v>22.540795594994847</c:v>
                </c:pt>
                <c:pt idx="290">
                  <c:v>29.25785616718893</c:v>
                </c:pt>
                <c:pt idx="291">
                  <c:v>29.25785616718893</c:v>
                </c:pt>
                <c:pt idx="292">
                  <c:v>29.25785616718893</c:v>
                </c:pt>
                <c:pt idx="293">
                  <c:v>34.753632998984088</c:v>
                </c:pt>
                <c:pt idx="294">
                  <c:v>33.328801968518675</c:v>
                </c:pt>
                <c:pt idx="295">
                  <c:v>33.328801968518675</c:v>
                </c:pt>
                <c:pt idx="296">
                  <c:v>33.328801968518675</c:v>
                </c:pt>
                <c:pt idx="297">
                  <c:v>34.753632998984088</c:v>
                </c:pt>
                <c:pt idx="298">
                  <c:v>37.399747769848432</c:v>
                </c:pt>
                <c:pt idx="299">
                  <c:v>37.399747769848432</c:v>
                </c:pt>
                <c:pt idx="300">
                  <c:v>37.399747769848432</c:v>
                </c:pt>
                <c:pt idx="301">
                  <c:v>42.895524601643586</c:v>
                </c:pt>
                <c:pt idx="302">
                  <c:v>45.541639372507916</c:v>
                </c:pt>
                <c:pt idx="303">
                  <c:v>45.541639372507916</c:v>
                </c:pt>
                <c:pt idx="304">
                  <c:v>45.541639372507916</c:v>
                </c:pt>
                <c:pt idx="305">
                  <c:v>55.108362005632827</c:v>
                </c:pt>
                <c:pt idx="306">
                  <c:v>53.683530975167415</c:v>
                </c:pt>
                <c:pt idx="307">
                  <c:v>53.683530975167415</c:v>
                </c:pt>
                <c:pt idx="308">
                  <c:v>53.683530975167415</c:v>
                </c:pt>
                <c:pt idx="309">
                  <c:v>55.108362005632827</c:v>
                </c:pt>
                <c:pt idx="310">
                  <c:v>55.108362005632827</c:v>
                </c:pt>
              </c:numCache>
            </c:numRef>
          </c:xVal>
          <c:yVal>
            <c:numRef>
              <c:f>'Linear Regression Output 4'!$D$94:$D$404</c:f>
              <c:numCache>
                <c:formatCode>0.000</c:formatCode>
                <c:ptCount val="311"/>
                <c:pt idx="0">
                  <c:v>18.579999999999998</c:v>
                </c:pt>
                <c:pt idx="1">
                  <c:v>18.579999999999998</c:v>
                </c:pt>
                <c:pt idx="2">
                  <c:v>18.579999999999998</c:v>
                </c:pt>
                <c:pt idx="3">
                  <c:v>18.579999999999998</c:v>
                </c:pt>
                <c:pt idx="4">
                  <c:v>28.58</c:v>
                </c:pt>
                <c:pt idx="5">
                  <c:v>26.58</c:v>
                </c:pt>
                <c:pt idx="6">
                  <c:v>17.579999999999998</c:v>
                </c:pt>
                <c:pt idx="7">
                  <c:v>27.58</c:v>
                </c:pt>
                <c:pt idx="8">
                  <c:v>27.58</c:v>
                </c:pt>
                <c:pt idx="9">
                  <c:v>37.58</c:v>
                </c:pt>
                <c:pt idx="10">
                  <c:v>28.58</c:v>
                </c:pt>
                <c:pt idx="11">
                  <c:v>1.83</c:v>
                </c:pt>
                <c:pt idx="12">
                  <c:v>8.83</c:v>
                </c:pt>
                <c:pt idx="13">
                  <c:v>8.83</c:v>
                </c:pt>
                <c:pt idx="14">
                  <c:v>8.83</c:v>
                </c:pt>
                <c:pt idx="15">
                  <c:v>16.829999999999998</c:v>
                </c:pt>
                <c:pt idx="16">
                  <c:v>19.829999999999998</c:v>
                </c:pt>
                <c:pt idx="17">
                  <c:v>18.329999999999998</c:v>
                </c:pt>
                <c:pt idx="18">
                  <c:v>14.83</c:v>
                </c:pt>
                <c:pt idx="19">
                  <c:v>12</c:v>
                </c:pt>
                <c:pt idx="20">
                  <c:v>27</c:v>
                </c:pt>
                <c:pt idx="21">
                  <c:v>42</c:v>
                </c:pt>
                <c:pt idx="22">
                  <c:v>46</c:v>
                </c:pt>
                <c:pt idx="23">
                  <c:v>46</c:v>
                </c:pt>
                <c:pt idx="24">
                  <c:v>57</c:v>
                </c:pt>
                <c:pt idx="25">
                  <c:v>55.75</c:v>
                </c:pt>
                <c:pt idx="26">
                  <c:v>55.75</c:v>
                </c:pt>
                <c:pt idx="27">
                  <c:v>55.75</c:v>
                </c:pt>
                <c:pt idx="28">
                  <c:v>57</c:v>
                </c:pt>
                <c:pt idx="29">
                  <c:v>77</c:v>
                </c:pt>
                <c:pt idx="30">
                  <c:v>76</c:v>
                </c:pt>
                <c:pt idx="31">
                  <c:v>75</c:v>
                </c:pt>
                <c:pt idx="32">
                  <c:v>75</c:v>
                </c:pt>
                <c:pt idx="33">
                  <c:v>36</c:v>
                </c:pt>
                <c:pt idx="34">
                  <c:v>56.42</c:v>
                </c:pt>
                <c:pt idx="35">
                  <c:v>45</c:v>
                </c:pt>
                <c:pt idx="36">
                  <c:v>45.42</c:v>
                </c:pt>
                <c:pt idx="37">
                  <c:v>37</c:v>
                </c:pt>
                <c:pt idx="38">
                  <c:v>8</c:v>
                </c:pt>
                <c:pt idx="39">
                  <c:v>2.83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14.83</c:v>
                </c:pt>
                <c:pt idx="44">
                  <c:v>16.829999999999998</c:v>
                </c:pt>
                <c:pt idx="45">
                  <c:v>16.829999999999998</c:v>
                </c:pt>
                <c:pt idx="46">
                  <c:v>16.829999999999998</c:v>
                </c:pt>
                <c:pt idx="47">
                  <c:v>11</c:v>
                </c:pt>
                <c:pt idx="48">
                  <c:v>42.75</c:v>
                </c:pt>
                <c:pt idx="49">
                  <c:v>43.17</c:v>
                </c:pt>
                <c:pt idx="50">
                  <c:v>43.17</c:v>
                </c:pt>
                <c:pt idx="51">
                  <c:v>42.75</c:v>
                </c:pt>
                <c:pt idx="52">
                  <c:v>42.75</c:v>
                </c:pt>
                <c:pt idx="53">
                  <c:v>31.75</c:v>
                </c:pt>
                <c:pt idx="54">
                  <c:v>31.75</c:v>
                </c:pt>
                <c:pt idx="55">
                  <c:v>31.75</c:v>
                </c:pt>
                <c:pt idx="56">
                  <c:v>36.75</c:v>
                </c:pt>
                <c:pt idx="57">
                  <c:v>44.75</c:v>
                </c:pt>
                <c:pt idx="58">
                  <c:v>36.75</c:v>
                </c:pt>
                <c:pt idx="59">
                  <c:v>55.75</c:v>
                </c:pt>
                <c:pt idx="60">
                  <c:v>40.17</c:v>
                </c:pt>
                <c:pt idx="61">
                  <c:v>56.75</c:v>
                </c:pt>
                <c:pt idx="62">
                  <c:v>26.42</c:v>
                </c:pt>
                <c:pt idx="63">
                  <c:v>66</c:v>
                </c:pt>
                <c:pt idx="64">
                  <c:v>13.33</c:v>
                </c:pt>
                <c:pt idx="65">
                  <c:v>38.75</c:v>
                </c:pt>
                <c:pt idx="66">
                  <c:v>38.75</c:v>
                </c:pt>
                <c:pt idx="67">
                  <c:v>38.75</c:v>
                </c:pt>
                <c:pt idx="68">
                  <c:v>38.75</c:v>
                </c:pt>
                <c:pt idx="69">
                  <c:v>38.75</c:v>
                </c:pt>
                <c:pt idx="70">
                  <c:v>38.75</c:v>
                </c:pt>
                <c:pt idx="71">
                  <c:v>54.75</c:v>
                </c:pt>
                <c:pt idx="72">
                  <c:v>25.75</c:v>
                </c:pt>
                <c:pt idx="73">
                  <c:v>25.75</c:v>
                </c:pt>
                <c:pt idx="74">
                  <c:v>54.75</c:v>
                </c:pt>
                <c:pt idx="75">
                  <c:v>23.75</c:v>
                </c:pt>
                <c:pt idx="76">
                  <c:v>73.08</c:v>
                </c:pt>
                <c:pt idx="77">
                  <c:v>57.75</c:v>
                </c:pt>
                <c:pt idx="78">
                  <c:v>56.75</c:v>
                </c:pt>
                <c:pt idx="79">
                  <c:v>57.75</c:v>
                </c:pt>
                <c:pt idx="80">
                  <c:v>58.17</c:v>
                </c:pt>
                <c:pt idx="81">
                  <c:v>62</c:v>
                </c:pt>
                <c:pt idx="82">
                  <c:v>9.09</c:v>
                </c:pt>
                <c:pt idx="83">
                  <c:v>16.25</c:v>
                </c:pt>
                <c:pt idx="84">
                  <c:v>16.25</c:v>
                </c:pt>
                <c:pt idx="85">
                  <c:v>16.25</c:v>
                </c:pt>
                <c:pt idx="86">
                  <c:v>16.25</c:v>
                </c:pt>
                <c:pt idx="87">
                  <c:v>16.25</c:v>
                </c:pt>
                <c:pt idx="88">
                  <c:v>16.25</c:v>
                </c:pt>
                <c:pt idx="89">
                  <c:v>29.17</c:v>
                </c:pt>
                <c:pt idx="90">
                  <c:v>21.19</c:v>
                </c:pt>
                <c:pt idx="91">
                  <c:v>20.190000000000001</c:v>
                </c:pt>
                <c:pt idx="92">
                  <c:v>20.190000000000001</c:v>
                </c:pt>
                <c:pt idx="93">
                  <c:v>36.19</c:v>
                </c:pt>
                <c:pt idx="94">
                  <c:v>26.19</c:v>
                </c:pt>
                <c:pt idx="95">
                  <c:v>22.19</c:v>
                </c:pt>
                <c:pt idx="96">
                  <c:v>29.51</c:v>
                </c:pt>
                <c:pt idx="97">
                  <c:v>26.51</c:v>
                </c:pt>
                <c:pt idx="98">
                  <c:v>27.09</c:v>
                </c:pt>
                <c:pt idx="99">
                  <c:v>34.51</c:v>
                </c:pt>
                <c:pt idx="100">
                  <c:v>37.090000000000003</c:v>
                </c:pt>
                <c:pt idx="101">
                  <c:v>31.51</c:v>
                </c:pt>
                <c:pt idx="102">
                  <c:v>55.42</c:v>
                </c:pt>
                <c:pt idx="103">
                  <c:v>28.84</c:v>
                </c:pt>
                <c:pt idx="104">
                  <c:v>14.42</c:v>
                </c:pt>
                <c:pt idx="105">
                  <c:v>22.42</c:v>
                </c:pt>
                <c:pt idx="106">
                  <c:v>42.42</c:v>
                </c:pt>
                <c:pt idx="107">
                  <c:v>55.42</c:v>
                </c:pt>
                <c:pt idx="108">
                  <c:v>14.42</c:v>
                </c:pt>
                <c:pt idx="109">
                  <c:v>21.92</c:v>
                </c:pt>
                <c:pt idx="110">
                  <c:v>21.92</c:v>
                </c:pt>
                <c:pt idx="111">
                  <c:v>21.92</c:v>
                </c:pt>
                <c:pt idx="112">
                  <c:v>21.92</c:v>
                </c:pt>
                <c:pt idx="113">
                  <c:v>21.92</c:v>
                </c:pt>
                <c:pt idx="114">
                  <c:v>21.92</c:v>
                </c:pt>
                <c:pt idx="115">
                  <c:v>22.42</c:v>
                </c:pt>
                <c:pt idx="116">
                  <c:v>32.090000000000003</c:v>
                </c:pt>
                <c:pt idx="117">
                  <c:v>32.090000000000003</c:v>
                </c:pt>
                <c:pt idx="118">
                  <c:v>32.090000000000003</c:v>
                </c:pt>
                <c:pt idx="119">
                  <c:v>32.090000000000003</c:v>
                </c:pt>
                <c:pt idx="120">
                  <c:v>32.090000000000003</c:v>
                </c:pt>
                <c:pt idx="121">
                  <c:v>32.090000000000003</c:v>
                </c:pt>
                <c:pt idx="122">
                  <c:v>46.59</c:v>
                </c:pt>
                <c:pt idx="123">
                  <c:v>55.51</c:v>
                </c:pt>
                <c:pt idx="124">
                  <c:v>56.51</c:v>
                </c:pt>
                <c:pt idx="125">
                  <c:v>67.09</c:v>
                </c:pt>
                <c:pt idx="126">
                  <c:v>57.09</c:v>
                </c:pt>
                <c:pt idx="127">
                  <c:v>67.09</c:v>
                </c:pt>
                <c:pt idx="128">
                  <c:v>55.09</c:v>
                </c:pt>
                <c:pt idx="129">
                  <c:v>50.34</c:v>
                </c:pt>
                <c:pt idx="130">
                  <c:v>50.34</c:v>
                </c:pt>
                <c:pt idx="131">
                  <c:v>45.34</c:v>
                </c:pt>
                <c:pt idx="132">
                  <c:v>47.76</c:v>
                </c:pt>
                <c:pt idx="133">
                  <c:v>41.51</c:v>
                </c:pt>
                <c:pt idx="134">
                  <c:v>41.09</c:v>
                </c:pt>
                <c:pt idx="135">
                  <c:v>19.25</c:v>
                </c:pt>
                <c:pt idx="136">
                  <c:v>19.25</c:v>
                </c:pt>
                <c:pt idx="137">
                  <c:v>19.25</c:v>
                </c:pt>
                <c:pt idx="138">
                  <c:v>19.25</c:v>
                </c:pt>
                <c:pt idx="139">
                  <c:v>19.25</c:v>
                </c:pt>
                <c:pt idx="140">
                  <c:v>19.25</c:v>
                </c:pt>
                <c:pt idx="141">
                  <c:v>28.25</c:v>
                </c:pt>
                <c:pt idx="142">
                  <c:v>28.25</c:v>
                </c:pt>
                <c:pt idx="143">
                  <c:v>28.25</c:v>
                </c:pt>
                <c:pt idx="144">
                  <c:v>28.25</c:v>
                </c:pt>
                <c:pt idx="145">
                  <c:v>28.25</c:v>
                </c:pt>
                <c:pt idx="146">
                  <c:v>28.25</c:v>
                </c:pt>
                <c:pt idx="147">
                  <c:v>32.42</c:v>
                </c:pt>
                <c:pt idx="148">
                  <c:v>32.42</c:v>
                </c:pt>
                <c:pt idx="149">
                  <c:v>32.42</c:v>
                </c:pt>
                <c:pt idx="150">
                  <c:v>32.42</c:v>
                </c:pt>
                <c:pt idx="151">
                  <c:v>32.42</c:v>
                </c:pt>
                <c:pt idx="152">
                  <c:v>32.42</c:v>
                </c:pt>
                <c:pt idx="153">
                  <c:v>56.92</c:v>
                </c:pt>
                <c:pt idx="154">
                  <c:v>60.92</c:v>
                </c:pt>
                <c:pt idx="155">
                  <c:v>59.92</c:v>
                </c:pt>
                <c:pt idx="156">
                  <c:v>59.34</c:v>
                </c:pt>
                <c:pt idx="157">
                  <c:v>57.92</c:v>
                </c:pt>
                <c:pt idx="158">
                  <c:v>47.42</c:v>
                </c:pt>
                <c:pt idx="159">
                  <c:v>48.42</c:v>
                </c:pt>
                <c:pt idx="160">
                  <c:v>48.42</c:v>
                </c:pt>
                <c:pt idx="161">
                  <c:v>48.42</c:v>
                </c:pt>
                <c:pt idx="162">
                  <c:v>45.09</c:v>
                </c:pt>
                <c:pt idx="163">
                  <c:v>22.09</c:v>
                </c:pt>
                <c:pt idx="164">
                  <c:v>26.64</c:v>
                </c:pt>
                <c:pt idx="165">
                  <c:v>26.64</c:v>
                </c:pt>
                <c:pt idx="166">
                  <c:v>26.64</c:v>
                </c:pt>
                <c:pt idx="167">
                  <c:v>22.09</c:v>
                </c:pt>
                <c:pt idx="168">
                  <c:v>29.34</c:v>
                </c:pt>
                <c:pt idx="169">
                  <c:v>29.34</c:v>
                </c:pt>
                <c:pt idx="170">
                  <c:v>29.34</c:v>
                </c:pt>
                <c:pt idx="171">
                  <c:v>37.090000000000003</c:v>
                </c:pt>
                <c:pt idx="172">
                  <c:v>34.340000000000003</c:v>
                </c:pt>
                <c:pt idx="173">
                  <c:v>35.340000000000003</c:v>
                </c:pt>
                <c:pt idx="174">
                  <c:v>29.34</c:v>
                </c:pt>
                <c:pt idx="175">
                  <c:v>59.09</c:v>
                </c:pt>
                <c:pt idx="176">
                  <c:v>61.34</c:v>
                </c:pt>
                <c:pt idx="177">
                  <c:v>60.34</c:v>
                </c:pt>
                <c:pt idx="178">
                  <c:v>61.34</c:v>
                </c:pt>
                <c:pt idx="179">
                  <c:v>49.09</c:v>
                </c:pt>
                <c:pt idx="180">
                  <c:v>11.59</c:v>
                </c:pt>
                <c:pt idx="181">
                  <c:v>14.09</c:v>
                </c:pt>
                <c:pt idx="182">
                  <c:v>26.5</c:v>
                </c:pt>
                <c:pt idx="183">
                  <c:v>24.5</c:v>
                </c:pt>
                <c:pt idx="184">
                  <c:v>33.92</c:v>
                </c:pt>
                <c:pt idx="185">
                  <c:v>32.92</c:v>
                </c:pt>
                <c:pt idx="186">
                  <c:v>16.09</c:v>
                </c:pt>
                <c:pt idx="187">
                  <c:v>18.510000000000002</c:v>
                </c:pt>
                <c:pt idx="188">
                  <c:v>28.09</c:v>
                </c:pt>
                <c:pt idx="189">
                  <c:v>29.09</c:v>
                </c:pt>
                <c:pt idx="190">
                  <c:v>29.09</c:v>
                </c:pt>
                <c:pt idx="191">
                  <c:v>14.09</c:v>
                </c:pt>
                <c:pt idx="192">
                  <c:v>14.09</c:v>
                </c:pt>
                <c:pt idx="193">
                  <c:v>14.09</c:v>
                </c:pt>
                <c:pt idx="194">
                  <c:v>14.09</c:v>
                </c:pt>
                <c:pt idx="195">
                  <c:v>14.09</c:v>
                </c:pt>
                <c:pt idx="196">
                  <c:v>23.25</c:v>
                </c:pt>
                <c:pt idx="197">
                  <c:v>23.25</c:v>
                </c:pt>
                <c:pt idx="198">
                  <c:v>23.25</c:v>
                </c:pt>
                <c:pt idx="199">
                  <c:v>23.25</c:v>
                </c:pt>
                <c:pt idx="200">
                  <c:v>23.25</c:v>
                </c:pt>
                <c:pt idx="201">
                  <c:v>26.25</c:v>
                </c:pt>
                <c:pt idx="202">
                  <c:v>29.25</c:v>
                </c:pt>
                <c:pt idx="203">
                  <c:v>31.25</c:v>
                </c:pt>
                <c:pt idx="204">
                  <c:v>30.25</c:v>
                </c:pt>
                <c:pt idx="205">
                  <c:v>31.25</c:v>
                </c:pt>
                <c:pt idx="206">
                  <c:v>31.25</c:v>
                </c:pt>
                <c:pt idx="207">
                  <c:v>32.25</c:v>
                </c:pt>
                <c:pt idx="208">
                  <c:v>31.25</c:v>
                </c:pt>
                <c:pt idx="209">
                  <c:v>32.25</c:v>
                </c:pt>
                <c:pt idx="210">
                  <c:v>31.25</c:v>
                </c:pt>
                <c:pt idx="211">
                  <c:v>32.25</c:v>
                </c:pt>
                <c:pt idx="212">
                  <c:v>31.25</c:v>
                </c:pt>
                <c:pt idx="213">
                  <c:v>29.25</c:v>
                </c:pt>
                <c:pt idx="214">
                  <c:v>61.5</c:v>
                </c:pt>
                <c:pt idx="215">
                  <c:v>61.5</c:v>
                </c:pt>
                <c:pt idx="216">
                  <c:v>58.5</c:v>
                </c:pt>
                <c:pt idx="217">
                  <c:v>57.92</c:v>
                </c:pt>
                <c:pt idx="218">
                  <c:v>57.5</c:v>
                </c:pt>
                <c:pt idx="219">
                  <c:v>51.5</c:v>
                </c:pt>
                <c:pt idx="220">
                  <c:v>51.5</c:v>
                </c:pt>
                <c:pt idx="221">
                  <c:v>49.5</c:v>
                </c:pt>
                <c:pt idx="222">
                  <c:v>48.5</c:v>
                </c:pt>
                <c:pt idx="223">
                  <c:v>49.09</c:v>
                </c:pt>
                <c:pt idx="224">
                  <c:v>52.09</c:v>
                </c:pt>
                <c:pt idx="225">
                  <c:v>23.25</c:v>
                </c:pt>
                <c:pt idx="226">
                  <c:v>21.25</c:v>
                </c:pt>
                <c:pt idx="227">
                  <c:v>22.5</c:v>
                </c:pt>
                <c:pt idx="228">
                  <c:v>22.5</c:v>
                </c:pt>
                <c:pt idx="229">
                  <c:v>27.5</c:v>
                </c:pt>
                <c:pt idx="230">
                  <c:v>25.92</c:v>
                </c:pt>
                <c:pt idx="231">
                  <c:v>37.25</c:v>
                </c:pt>
                <c:pt idx="232">
                  <c:v>22.92</c:v>
                </c:pt>
                <c:pt idx="233">
                  <c:v>26.92</c:v>
                </c:pt>
                <c:pt idx="234">
                  <c:v>21.5</c:v>
                </c:pt>
                <c:pt idx="235">
                  <c:v>22.5</c:v>
                </c:pt>
                <c:pt idx="236">
                  <c:v>33.5</c:v>
                </c:pt>
                <c:pt idx="237">
                  <c:v>33.5</c:v>
                </c:pt>
                <c:pt idx="238">
                  <c:v>31.5</c:v>
                </c:pt>
                <c:pt idx="239">
                  <c:v>32.5</c:v>
                </c:pt>
                <c:pt idx="240">
                  <c:v>14.5</c:v>
                </c:pt>
                <c:pt idx="241">
                  <c:v>17.5</c:v>
                </c:pt>
                <c:pt idx="242">
                  <c:v>14.5</c:v>
                </c:pt>
                <c:pt idx="243">
                  <c:v>14.5</c:v>
                </c:pt>
                <c:pt idx="244">
                  <c:v>17.5</c:v>
                </c:pt>
                <c:pt idx="245">
                  <c:v>17.5</c:v>
                </c:pt>
                <c:pt idx="246">
                  <c:v>17.5</c:v>
                </c:pt>
                <c:pt idx="247">
                  <c:v>17.5</c:v>
                </c:pt>
                <c:pt idx="248">
                  <c:v>26.5</c:v>
                </c:pt>
                <c:pt idx="249">
                  <c:v>31.5</c:v>
                </c:pt>
                <c:pt idx="250">
                  <c:v>28.5</c:v>
                </c:pt>
                <c:pt idx="251">
                  <c:v>26.5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29.92</c:v>
                </c:pt>
                <c:pt idx="257">
                  <c:v>30.92</c:v>
                </c:pt>
                <c:pt idx="258">
                  <c:v>31.5</c:v>
                </c:pt>
                <c:pt idx="259">
                  <c:v>34.5</c:v>
                </c:pt>
                <c:pt idx="260">
                  <c:v>66.5</c:v>
                </c:pt>
                <c:pt idx="261">
                  <c:v>69.5</c:v>
                </c:pt>
                <c:pt idx="262">
                  <c:v>68.5</c:v>
                </c:pt>
                <c:pt idx="263">
                  <c:v>66.5</c:v>
                </c:pt>
                <c:pt idx="264">
                  <c:v>53.34</c:v>
                </c:pt>
                <c:pt idx="265">
                  <c:v>54.34</c:v>
                </c:pt>
                <c:pt idx="266">
                  <c:v>61.76</c:v>
                </c:pt>
                <c:pt idx="267">
                  <c:v>51.34</c:v>
                </c:pt>
                <c:pt idx="268">
                  <c:v>52.09</c:v>
                </c:pt>
                <c:pt idx="269">
                  <c:v>52.09</c:v>
                </c:pt>
                <c:pt idx="270">
                  <c:v>52.09</c:v>
                </c:pt>
                <c:pt idx="271">
                  <c:v>38.25</c:v>
                </c:pt>
                <c:pt idx="272">
                  <c:v>43.25</c:v>
                </c:pt>
                <c:pt idx="273">
                  <c:v>50.25</c:v>
                </c:pt>
                <c:pt idx="274">
                  <c:v>29.5</c:v>
                </c:pt>
                <c:pt idx="275">
                  <c:v>29.5</c:v>
                </c:pt>
                <c:pt idx="276">
                  <c:v>38</c:v>
                </c:pt>
                <c:pt idx="277">
                  <c:v>31.69</c:v>
                </c:pt>
                <c:pt idx="278">
                  <c:v>27.34</c:v>
                </c:pt>
                <c:pt idx="279">
                  <c:v>32.340000000000003</c:v>
                </c:pt>
                <c:pt idx="280">
                  <c:v>26.76</c:v>
                </c:pt>
                <c:pt idx="281">
                  <c:v>10.51</c:v>
                </c:pt>
                <c:pt idx="282">
                  <c:v>18.34</c:v>
                </c:pt>
                <c:pt idx="283">
                  <c:v>18.34</c:v>
                </c:pt>
                <c:pt idx="284">
                  <c:v>18.34</c:v>
                </c:pt>
                <c:pt idx="285">
                  <c:v>8.09</c:v>
                </c:pt>
                <c:pt idx="286">
                  <c:v>22.34</c:v>
                </c:pt>
                <c:pt idx="287">
                  <c:v>21.34</c:v>
                </c:pt>
                <c:pt idx="288">
                  <c:v>21.34</c:v>
                </c:pt>
                <c:pt idx="289">
                  <c:v>16.09</c:v>
                </c:pt>
                <c:pt idx="290">
                  <c:v>29.34</c:v>
                </c:pt>
                <c:pt idx="291">
                  <c:v>30.34</c:v>
                </c:pt>
                <c:pt idx="292">
                  <c:v>30.34</c:v>
                </c:pt>
                <c:pt idx="293">
                  <c:v>31.09</c:v>
                </c:pt>
                <c:pt idx="294">
                  <c:v>24.34</c:v>
                </c:pt>
                <c:pt idx="295">
                  <c:v>35.340000000000003</c:v>
                </c:pt>
                <c:pt idx="296">
                  <c:v>35.340000000000003</c:v>
                </c:pt>
                <c:pt idx="297">
                  <c:v>37.090000000000003</c:v>
                </c:pt>
                <c:pt idx="298">
                  <c:v>37.340000000000003</c:v>
                </c:pt>
                <c:pt idx="299">
                  <c:v>37.340000000000003</c:v>
                </c:pt>
                <c:pt idx="300">
                  <c:v>39.76</c:v>
                </c:pt>
                <c:pt idx="301">
                  <c:v>63.09</c:v>
                </c:pt>
                <c:pt idx="302">
                  <c:v>67.34</c:v>
                </c:pt>
                <c:pt idx="303">
                  <c:v>67.34</c:v>
                </c:pt>
                <c:pt idx="304">
                  <c:v>67.34</c:v>
                </c:pt>
                <c:pt idx="305">
                  <c:v>64.09</c:v>
                </c:pt>
                <c:pt idx="306">
                  <c:v>51.34</c:v>
                </c:pt>
                <c:pt idx="307">
                  <c:v>50.76</c:v>
                </c:pt>
                <c:pt idx="308">
                  <c:v>46.34</c:v>
                </c:pt>
                <c:pt idx="309">
                  <c:v>50.09</c:v>
                </c:pt>
                <c:pt idx="310">
                  <c:v>49.09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8-4A04-973D-BAB25EB75824}"/>
            </c:ext>
          </c:extLst>
        </c:ser>
        <c:ser>
          <c:idx val="1"/>
          <c:order val="1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20.22849837983955</c:v>
              </c:pt>
            </c:numLit>
          </c:xVal>
          <c:yVal>
            <c:numLit>
              <c:formatCode>General</c:formatCode>
              <c:ptCount val="1"/>
              <c:pt idx="0">
                <c:v>18.579999999999998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B78-4A04-973D-BAB25EB75824}"/>
            </c:ext>
          </c:extLst>
        </c:ser>
        <c:ser>
          <c:idx val="2"/>
          <c:order val="2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Sheet12_HID!xdata5</c:f>
              <c:numCache>
                <c:formatCode>General</c:formatCode>
                <c:ptCount val="70"/>
                <c:pt idx="0">
                  <c:v>13.5710364541769</c:v>
                </c:pt>
                <c:pt idx="1">
                  <c:v>14.474359177014202</c:v>
                </c:pt>
                <c:pt idx="2">
                  <c:v>15.377681899851504</c:v>
                </c:pt>
                <c:pt idx="3">
                  <c:v>16.281004622688805</c:v>
                </c:pt>
                <c:pt idx="4">
                  <c:v>17.184327345526107</c:v>
                </c:pt>
                <c:pt idx="5">
                  <c:v>18.087650068363409</c:v>
                </c:pt>
                <c:pt idx="6">
                  <c:v>18.990972791200711</c:v>
                </c:pt>
                <c:pt idx="7">
                  <c:v>19.894295514038014</c:v>
                </c:pt>
                <c:pt idx="8">
                  <c:v>20.797618236875316</c:v>
                </c:pt>
                <c:pt idx="9">
                  <c:v>21.700940959712618</c:v>
                </c:pt>
                <c:pt idx="10">
                  <c:v>22.60426368254992</c:v>
                </c:pt>
                <c:pt idx="11">
                  <c:v>23.507586405387222</c:v>
                </c:pt>
                <c:pt idx="12">
                  <c:v>24.410909128224525</c:v>
                </c:pt>
                <c:pt idx="13">
                  <c:v>25.314231851061827</c:v>
                </c:pt>
                <c:pt idx="14">
                  <c:v>26.217554573899129</c:v>
                </c:pt>
                <c:pt idx="15">
                  <c:v>27.120877296736431</c:v>
                </c:pt>
                <c:pt idx="16">
                  <c:v>28.024200019573733</c:v>
                </c:pt>
                <c:pt idx="17">
                  <c:v>28.927522742411035</c:v>
                </c:pt>
                <c:pt idx="18">
                  <c:v>29.830845465248338</c:v>
                </c:pt>
                <c:pt idx="19">
                  <c:v>30.73416818808564</c:v>
                </c:pt>
                <c:pt idx="20">
                  <c:v>31.637490910922942</c:v>
                </c:pt>
                <c:pt idx="21">
                  <c:v>32.540813633760244</c:v>
                </c:pt>
                <c:pt idx="22">
                  <c:v>33.444136356597546</c:v>
                </c:pt>
                <c:pt idx="23">
                  <c:v>34.347459079434849</c:v>
                </c:pt>
                <c:pt idx="24">
                  <c:v>35.250781802272144</c:v>
                </c:pt>
                <c:pt idx="25">
                  <c:v>36.154104525109446</c:v>
                </c:pt>
                <c:pt idx="26">
                  <c:v>37.057427247946748</c:v>
                </c:pt>
                <c:pt idx="27">
                  <c:v>37.96074997078405</c:v>
                </c:pt>
                <c:pt idx="28">
                  <c:v>38.864072693621353</c:v>
                </c:pt>
                <c:pt idx="29">
                  <c:v>39.767395416458655</c:v>
                </c:pt>
                <c:pt idx="30">
                  <c:v>40.670718139295957</c:v>
                </c:pt>
                <c:pt idx="31">
                  <c:v>41.574040862133259</c:v>
                </c:pt>
                <c:pt idx="32">
                  <c:v>42.477363584970561</c:v>
                </c:pt>
                <c:pt idx="33">
                  <c:v>43.380686307807863</c:v>
                </c:pt>
                <c:pt idx="34">
                  <c:v>44.284009030645166</c:v>
                </c:pt>
                <c:pt idx="35">
                  <c:v>45.187331753482468</c:v>
                </c:pt>
                <c:pt idx="36">
                  <c:v>46.09065447631977</c:v>
                </c:pt>
                <c:pt idx="37">
                  <c:v>46.993977199157072</c:v>
                </c:pt>
                <c:pt idx="38">
                  <c:v>47.897299921994374</c:v>
                </c:pt>
                <c:pt idx="39">
                  <c:v>48.800622644831677</c:v>
                </c:pt>
                <c:pt idx="40">
                  <c:v>49.703945367668979</c:v>
                </c:pt>
                <c:pt idx="41">
                  <c:v>50.607268090506281</c:v>
                </c:pt>
                <c:pt idx="42">
                  <c:v>51.510590813343583</c:v>
                </c:pt>
                <c:pt idx="43">
                  <c:v>52.413913536180885</c:v>
                </c:pt>
                <c:pt idx="44">
                  <c:v>53.317236259018188</c:v>
                </c:pt>
                <c:pt idx="45">
                  <c:v>54.22055898185549</c:v>
                </c:pt>
                <c:pt idx="46">
                  <c:v>55.123881704692792</c:v>
                </c:pt>
                <c:pt idx="47">
                  <c:v>56.027204427530094</c:v>
                </c:pt>
                <c:pt idx="48">
                  <c:v>56.930527150367389</c:v>
                </c:pt>
                <c:pt idx="49">
                  <c:v>57.833849873204692</c:v>
                </c:pt>
                <c:pt idx="50">
                  <c:v>58.737172596041994</c:v>
                </c:pt>
                <c:pt idx="51">
                  <c:v>59.640495318879296</c:v>
                </c:pt>
                <c:pt idx="52">
                  <c:v>60.543818041716598</c:v>
                </c:pt>
                <c:pt idx="53">
                  <c:v>61.4471407645539</c:v>
                </c:pt>
                <c:pt idx="54">
                  <c:v>62.350463487391202</c:v>
                </c:pt>
                <c:pt idx="55">
                  <c:v>63.253786210228505</c:v>
                </c:pt>
                <c:pt idx="56">
                  <c:v>64.157108933065814</c:v>
                </c:pt>
                <c:pt idx="57">
                  <c:v>65.060431655903116</c:v>
                </c:pt>
                <c:pt idx="58">
                  <c:v>65.963754378740418</c:v>
                </c:pt>
                <c:pt idx="59">
                  <c:v>66.867077101577721</c:v>
                </c:pt>
                <c:pt idx="60">
                  <c:v>67.770399824415023</c:v>
                </c:pt>
                <c:pt idx="61">
                  <c:v>68.673722547252325</c:v>
                </c:pt>
                <c:pt idx="62">
                  <c:v>69.577045270089627</c:v>
                </c:pt>
                <c:pt idx="63">
                  <c:v>70.480367992926929</c:v>
                </c:pt>
                <c:pt idx="64">
                  <c:v>71.383690715764232</c:v>
                </c:pt>
                <c:pt idx="65">
                  <c:v>72.287013438601534</c:v>
                </c:pt>
                <c:pt idx="66">
                  <c:v>73.190336161438836</c:v>
                </c:pt>
                <c:pt idx="67">
                  <c:v>74.093658884276138</c:v>
                </c:pt>
                <c:pt idx="68">
                  <c:v>74.99698160711344</c:v>
                </c:pt>
                <c:pt idx="69">
                  <c:v>75.900304329950742</c:v>
                </c:pt>
              </c:numCache>
            </c:numRef>
          </c:xVal>
          <c:yVal>
            <c:numRef>
              <c:f>Sheet12_HID!ydata5</c:f>
              <c:numCache>
                <c:formatCode>General</c:formatCode>
                <c:ptCount val="70"/>
                <c:pt idx="0">
                  <c:v>-5.9953997415468709</c:v>
                </c:pt>
                <c:pt idx="1">
                  <c:v>-5.0852511377459546</c:v>
                </c:pt>
                <c:pt idx="2">
                  <c:v>-4.175400593889707</c:v>
                </c:pt>
                <c:pt idx="3">
                  <c:v>-3.2658484085963266</c:v>
                </c:pt>
                <c:pt idx="4">
                  <c:v>-2.3565948672075265</c:v>
                </c:pt>
                <c:pt idx="5">
                  <c:v>-1.4476402417237928</c:v>
                </c:pt>
                <c:pt idx="6">
                  <c:v>-0.53898479074252137</c:v>
                </c:pt>
                <c:pt idx="7">
                  <c:v>0.36937124060096949</c:v>
                </c:pt>
                <c:pt idx="8">
                  <c:v>1.2774276206893447</c:v>
                </c:pt>
                <c:pt idx="9">
                  <c:v>2.1851841314762908</c:v>
                </c:pt>
                <c:pt idx="10">
                  <c:v>3.0926405685364351</c:v>
                </c:pt>
                <c:pt idx="11">
                  <c:v>3.9997967411122843</c:v>
                </c:pt>
                <c:pt idx="12">
                  <c:v>4.9066524721580471</c:v>
                </c:pt>
                <c:pt idx="13">
                  <c:v>5.8132075983803979</c:v>
                </c:pt>
                <c:pt idx="14">
                  <c:v>6.7194619702760896</c:v>
                </c:pt>
                <c:pt idx="15">
                  <c:v>7.6254154521664468</c:v>
                </c:pt>
                <c:pt idx="16">
                  <c:v>8.5310679222287042</c:v>
                </c:pt>
                <c:pt idx="17">
                  <c:v>9.4364192725241551</c:v>
                </c:pt>
                <c:pt idx="18">
                  <c:v>10.341469409023134</c:v>
                </c:pt>
                <c:pt idx="19">
                  <c:v>11.246218251626789</c:v>
                </c:pt>
                <c:pt idx="20">
                  <c:v>12.15066573418563</c:v>
                </c:pt>
                <c:pt idx="21">
                  <c:v>13.05481180451487</c:v>
                </c:pt>
                <c:pt idx="22">
                  <c:v>13.958656424406509</c:v>
                </c:pt>
                <c:pt idx="23">
                  <c:v>14.862199569638232</c:v>
                </c:pt>
                <c:pt idx="24">
                  <c:v>15.765441229978986</c:v>
                </c:pt>
                <c:pt idx="25">
                  <c:v>16.668381409191404</c:v>
                </c:pt>
                <c:pt idx="26">
                  <c:v>17.571020125030895</c:v>
                </c:pt>
                <c:pt idx="27">
                  <c:v>18.473357409241515</c:v>
                </c:pt>
                <c:pt idx="28">
                  <c:v>19.375393307548645</c:v>
                </c:pt>
                <c:pt idx="29">
                  <c:v>20.277127879648344</c:v>
                </c:pt>
                <c:pt idx="30">
                  <c:v>21.178561199193545</c:v>
                </c:pt>
                <c:pt idx="31">
                  <c:v>22.079693353776946</c:v>
                </c:pt>
                <c:pt idx="32">
                  <c:v>22.980524444910767</c:v>
                </c:pt>
                <c:pt idx="33">
                  <c:v>23.881054588003213</c:v>
                </c:pt>
                <c:pt idx="34">
                  <c:v>24.781283912331823</c:v>
                </c:pt>
                <c:pt idx="35">
                  <c:v>25.681212561013577</c:v>
                </c:pt>
                <c:pt idx="36">
                  <c:v>26.580840690971883</c:v>
                </c:pt>
                <c:pt idx="37">
                  <c:v>27.480168472900374</c:v>
                </c:pt>
                <c:pt idx="38">
                  <c:v>28.379196091223609</c:v>
                </c:pt>
                <c:pt idx="39">
                  <c:v>29.277923744054693</c:v>
                </c:pt>
                <c:pt idx="40">
                  <c:v>30.176351643149722</c:v>
                </c:pt>
                <c:pt idx="41">
                  <c:v>31.074480013859272</c:v>
                </c:pt>
                <c:pt idx="42">
                  <c:v>31.97230909507682</c:v>
                </c:pt>
                <c:pt idx="43">
                  <c:v>32.869839139184094</c:v>
                </c:pt>
                <c:pt idx="44">
                  <c:v>33.767070411993558</c:v>
                </c:pt>
                <c:pt idx="45">
                  <c:v>34.664003192687879</c:v>
                </c:pt>
                <c:pt idx="46">
                  <c:v>35.560637773756469</c:v>
                </c:pt>
                <c:pt idx="47">
                  <c:v>36.456974460929224</c:v>
                </c:pt>
                <c:pt idx="48">
                  <c:v>37.353013573107305</c:v>
                </c:pt>
                <c:pt idx="49">
                  <c:v>38.248755442291227</c:v>
                </c:pt>
                <c:pt idx="50">
                  <c:v>39.144200413506056</c:v>
                </c:pt>
                <c:pt idx="51">
                  <c:v>40.039348844724003</c:v>
                </c:pt>
                <c:pt idx="52">
                  <c:v>40.934201106784172</c:v>
                </c:pt>
                <c:pt idx="53">
                  <c:v>41.828757583309809</c:v>
                </c:pt>
                <c:pt idx="54">
                  <c:v>42.723018670622821</c:v>
                </c:pt>
                <c:pt idx="55">
                  <c:v>43.616984777655809</c:v>
                </c:pt>
                <c:pt idx="56">
                  <c:v>44.510656325861504</c:v>
                </c:pt>
                <c:pt idx="57">
                  <c:v>45.404033749119819</c:v>
                </c:pt>
                <c:pt idx="58">
                  <c:v>46.297117493642361</c:v>
                </c:pt>
                <c:pt idx="59">
                  <c:v>47.189908017874686</c:v>
                </c:pt>
                <c:pt idx="60">
                  <c:v>48.082405792396131</c:v>
                </c:pt>
                <c:pt idx="61">
                  <c:v>48.97461129981734</c:v>
                </c:pt>
                <c:pt idx="62">
                  <c:v>49.866525034675703</c:v>
                </c:pt>
                <c:pt idx="63">
                  <c:v>50.758147503328445</c:v>
                </c:pt>
                <c:pt idx="64">
                  <c:v>51.64947922384367</c:v>
                </c:pt>
                <c:pt idx="65">
                  <c:v>52.540520725889365</c:v>
                </c:pt>
                <c:pt idx="66">
                  <c:v>53.431272550620264</c:v>
                </c:pt>
                <c:pt idx="67">
                  <c:v>54.321735250562881</c:v>
                </c:pt>
                <c:pt idx="68">
                  <c:v>55.211909389498523</c:v>
                </c:pt>
                <c:pt idx="69">
                  <c:v>56.101795542344519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78-4A04-973D-BAB25EB75824}"/>
            </c:ext>
          </c:extLst>
        </c:ser>
        <c:ser>
          <c:idx val="3"/>
          <c:order val="3"/>
          <c:tx>
            <c:v/>
          </c:tx>
          <c:spPr>
            <a:ln w="1270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Sheet12_HID!xdata6</c:f>
              <c:numCache>
                <c:formatCode>General</c:formatCode>
                <c:ptCount val="70"/>
                <c:pt idx="0">
                  <c:v>12.3854204603913</c:v>
                </c:pt>
                <c:pt idx="1">
                  <c:v>13.30592602371825</c:v>
                </c:pt>
                <c:pt idx="2">
                  <c:v>14.2264315870452</c:v>
                </c:pt>
                <c:pt idx="3">
                  <c:v>15.14693715037215</c:v>
                </c:pt>
                <c:pt idx="4">
                  <c:v>16.067442713699101</c:v>
                </c:pt>
                <c:pt idx="5">
                  <c:v>16.987948277026049</c:v>
                </c:pt>
                <c:pt idx="6">
                  <c:v>17.908453840353001</c:v>
                </c:pt>
                <c:pt idx="7">
                  <c:v>18.828959403679949</c:v>
                </c:pt>
                <c:pt idx="8">
                  <c:v>19.749464967006901</c:v>
                </c:pt>
                <c:pt idx="9">
                  <c:v>20.669970530333849</c:v>
                </c:pt>
                <c:pt idx="10">
                  <c:v>21.590476093660801</c:v>
                </c:pt>
                <c:pt idx="11">
                  <c:v>22.510981656987752</c:v>
                </c:pt>
                <c:pt idx="12">
                  <c:v>23.4314872203147</c:v>
                </c:pt>
                <c:pt idx="13">
                  <c:v>24.351992783641649</c:v>
                </c:pt>
                <c:pt idx="14">
                  <c:v>25.2724983469686</c:v>
                </c:pt>
                <c:pt idx="15">
                  <c:v>26.193003910295552</c:v>
                </c:pt>
                <c:pt idx="16">
                  <c:v>27.1135094736225</c:v>
                </c:pt>
                <c:pt idx="17">
                  <c:v>28.034015036949448</c:v>
                </c:pt>
                <c:pt idx="18">
                  <c:v>28.954520600276403</c:v>
                </c:pt>
                <c:pt idx="19">
                  <c:v>29.875026163603351</c:v>
                </c:pt>
                <c:pt idx="20">
                  <c:v>30.795531726930299</c:v>
                </c:pt>
                <c:pt idx="21">
                  <c:v>31.716037290257248</c:v>
                </c:pt>
                <c:pt idx="22">
                  <c:v>32.636542853584203</c:v>
                </c:pt>
                <c:pt idx="23">
                  <c:v>33.557048416911151</c:v>
                </c:pt>
                <c:pt idx="24">
                  <c:v>34.477553980238099</c:v>
                </c:pt>
                <c:pt idx="25">
                  <c:v>35.398059543565047</c:v>
                </c:pt>
                <c:pt idx="26">
                  <c:v>36.318565106892002</c:v>
                </c:pt>
                <c:pt idx="27">
                  <c:v>37.23907067021895</c:v>
                </c:pt>
                <c:pt idx="28">
                  <c:v>38.159576233545899</c:v>
                </c:pt>
                <c:pt idx="29">
                  <c:v>39.080081796872847</c:v>
                </c:pt>
                <c:pt idx="30">
                  <c:v>40.000587360199802</c:v>
                </c:pt>
                <c:pt idx="31">
                  <c:v>40.92109292352675</c:v>
                </c:pt>
                <c:pt idx="32">
                  <c:v>41.841598486853698</c:v>
                </c:pt>
                <c:pt idx="33">
                  <c:v>42.762104050180653</c:v>
                </c:pt>
                <c:pt idx="34">
                  <c:v>43.682609613507601</c:v>
                </c:pt>
                <c:pt idx="35">
                  <c:v>44.60311517683455</c:v>
                </c:pt>
                <c:pt idx="36">
                  <c:v>45.523620740161505</c:v>
                </c:pt>
                <c:pt idx="37">
                  <c:v>46.444126303488453</c:v>
                </c:pt>
                <c:pt idx="38">
                  <c:v>47.364631866815401</c:v>
                </c:pt>
                <c:pt idx="39">
                  <c:v>48.285137430142349</c:v>
                </c:pt>
                <c:pt idx="40">
                  <c:v>49.205642993469304</c:v>
                </c:pt>
                <c:pt idx="41">
                  <c:v>50.126148556796252</c:v>
                </c:pt>
                <c:pt idx="42">
                  <c:v>51.0466541201232</c:v>
                </c:pt>
                <c:pt idx="43">
                  <c:v>51.967159683450149</c:v>
                </c:pt>
                <c:pt idx="44">
                  <c:v>52.887665246777104</c:v>
                </c:pt>
                <c:pt idx="45">
                  <c:v>53.808170810104052</c:v>
                </c:pt>
                <c:pt idx="46">
                  <c:v>54.728676373431</c:v>
                </c:pt>
                <c:pt idx="47">
                  <c:v>55.649181936757948</c:v>
                </c:pt>
                <c:pt idx="48">
                  <c:v>56.569687500084903</c:v>
                </c:pt>
                <c:pt idx="49">
                  <c:v>57.490193063411851</c:v>
                </c:pt>
                <c:pt idx="50">
                  <c:v>58.4106986267388</c:v>
                </c:pt>
                <c:pt idx="51">
                  <c:v>59.331204190065755</c:v>
                </c:pt>
                <c:pt idx="52">
                  <c:v>60.251709753392703</c:v>
                </c:pt>
                <c:pt idx="53">
                  <c:v>61.172215316719651</c:v>
                </c:pt>
                <c:pt idx="54">
                  <c:v>62.092720880046599</c:v>
                </c:pt>
                <c:pt idx="55">
                  <c:v>63.013226443373554</c:v>
                </c:pt>
                <c:pt idx="56">
                  <c:v>63.933732006700502</c:v>
                </c:pt>
                <c:pt idx="57">
                  <c:v>64.85423757002745</c:v>
                </c:pt>
                <c:pt idx="58">
                  <c:v>65.774743133354391</c:v>
                </c:pt>
                <c:pt idx="59">
                  <c:v>66.695248696681347</c:v>
                </c:pt>
                <c:pt idx="60">
                  <c:v>67.615754260008302</c:v>
                </c:pt>
                <c:pt idx="61">
                  <c:v>68.536259823335243</c:v>
                </c:pt>
                <c:pt idx="62">
                  <c:v>69.456765386662198</c:v>
                </c:pt>
                <c:pt idx="63">
                  <c:v>70.377270949989153</c:v>
                </c:pt>
                <c:pt idx="64">
                  <c:v>71.297776513316094</c:v>
                </c:pt>
                <c:pt idx="65">
                  <c:v>72.21828207664305</c:v>
                </c:pt>
                <c:pt idx="66">
                  <c:v>73.138787639970005</c:v>
                </c:pt>
                <c:pt idx="67">
                  <c:v>74.059293203296946</c:v>
                </c:pt>
                <c:pt idx="68">
                  <c:v>74.979798766623901</c:v>
                </c:pt>
                <c:pt idx="69">
                  <c:v>75.900304329950842</c:v>
                </c:pt>
              </c:numCache>
            </c:numRef>
          </c:xVal>
          <c:yVal>
            <c:numRef>
              <c:f>Sheet12_HID!ydata6</c:f>
              <c:numCache>
                <c:formatCode>General</c:formatCode>
                <c:ptCount val="70"/>
                <c:pt idx="0">
                  <c:v>31.961267470010867</c:v>
                </c:pt>
                <c:pt idx="1">
                  <c:v>32.874422033046365</c:v>
                </c:pt>
                <c:pt idx="2">
                  <c:v>33.787885681687293</c:v>
                </c:pt>
                <c:pt idx="3">
                  <c:v>34.70165874985112</c:v>
                </c:pt>
                <c:pt idx="4">
                  <c:v>35.615741557233008</c:v>
                </c:pt>
                <c:pt idx="5">
                  <c:v>36.530134409230627</c:v>
                </c:pt>
                <c:pt idx="6">
                  <c:v>37.444837596872247</c:v>
                </c:pt>
                <c:pt idx="7">
                  <c:v>38.359851396747985</c:v>
                </c:pt>
                <c:pt idx="8">
                  <c:v>39.275176070944433</c:v>
                </c:pt>
                <c:pt idx="9">
                  <c:v>40.190811866982472</c:v>
                </c:pt>
                <c:pt idx="10">
                  <c:v>41.106759017758577</c:v>
                </c:pt>
                <c:pt idx="11">
                  <c:v>42.023017741489312</c:v>
                </c:pt>
                <c:pt idx="12">
                  <c:v>42.93958824165945</c:v>
                </c:pt>
                <c:pt idx="13">
                  <c:v>43.85647070697334</c:v>
                </c:pt>
                <c:pt idx="14">
                  <c:v>44.773665311309848</c:v>
                </c:pt>
                <c:pt idx="15">
                  <c:v>45.691172213680765</c:v>
                </c:pt>
                <c:pt idx="16">
                  <c:v>46.608991558192699</c:v>
                </c:pt>
                <c:pt idx="17">
                  <c:v>47.527123474012512</c:v>
                </c:pt>
                <c:pt idx="18">
                  <c:v>48.445568075336354</c:v>
                </c:pt>
                <c:pt idx="19">
                  <c:v>49.364325461362185</c:v>
                </c:pt>
                <c:pt idx="20">
                  <c:v>50.283395716265943</c:v>
                </c:pt>
                <c:pt idx="21">
                  <c:v>51.202778909181319</c:v>
                </c:pt>
                <c:pt idx="22">
                  <c:v>52.122475094183059</c:v>
                </c:pt>
                <c:pt idx="23">
                  <c:v>53.042484310273977</c:v>
                </c:pt>
                <c:pt idx="24">
                  <c:v>53.962806581375588</c:v>
                </c:pt>
                <c:pt idx="25">
                  <c:v>54.883441916322283</c:v>
                </c:pt>
                <c:pt idx="26">
                  <c:v>55.80439030885924</c:v>
                </c:pt>
                <c:pt idx="27">
                  <c:v>56.725651737643901</c:v>
                </c:pt>
                <c:pt idx="28">
                  <c:v>57.647226166251173</c:v>
                </c:pt>
                <c:pt idx="29">
                  <c:v>58.569113543182141</c:v>
                </c:pt>
                <c:pt idx="30">
                  <c:v>59.491313801876501</c:v>
                </c:pt>
                <c:pt idx="31">
                  <c:v>60.413826860728562</c:v>
                </c:pt>
                <c:pt idx="32">
                  <c:v>61.3366526231069</c:v>
                </c:pt>
                <c:pt idx="33">
                  <c:v>62.259790977377612</c:v>
                </c:pt>
                <c:pt idx="34">
                  <c:v>63.183241796931085</c:v>
                </c:pt>
                <c:pt idx="35">
                  <c:v>64.10700494021242</c:v>
                </c:pt>
                <c:pt idx="36">
                  <c:v>65.031080250755409</c:v>
                </c:pt>
                <c:pt idx="37">
                  <c:v>65.955467557219976</c:v>
                </c:pt>
                <c:pt idx="38">
                  <c:v>66.880166673433195</c:v>
                </c:pt>
                <c:pt idx="39">
                  <c:v>67.805177398433798</c:v>
                </c:pt>
                <c:pt idx="40">
                  <c:v>68.73049951652014</c:v>
                </c:pt>
                <c:pt idx="41">
                  <c:v>69.656132797301581</c:v>
                </c:pt>
                <c:pt idx="42">
                  <c:v>70.582076995753312</c:v>
                </c:pt>
                <c:pt idx="43">
                  <c:v>71.508331852274551</c:v>
                </c:pt>
                <c:pt idx="44">
                  <c:v>72.434897092750163</c:v>
                </c:pt>
                <c:pt idx="45">
                  <c:v>73.361772428615396</c:v>
                </c:pt>
                <c:pt idx="46">
                  <c:v>74.288957556924146</c:v>
                </c:pt>
                <c:pt idx="47">
                  <c:v>75.21645216042026</c:v>
                </c:pt>
                <c:pt idx="48">
                  <c:v>76.144255907612276</c:v>
                </c:pt>
                <c:pt idx="49">
                  <c:v>77.072368452850981</c:v>
                </c:pt>
                <c:pt idx="50">
                  <c:v>78.000789436410457</c:v>
                </c:pt>
                <c:pt idx="51">
                  <c:v>78.929518484572029</c:v>
                </c:pt>
                <c:pt idx="52">
                  <c:v>79.85855520971117</c:v>
                </c:pt>
                <c:pt idx="53">
                  <c:v>80.787899210387579</c:v>
                </c:pt>
                <c:pt idx="54">
                  <c:v>81.717550071438069</c:v>
                </c:pt>
                <c:pt idx="55">
                  <c:v>82.647507364072396</c:v>
                </c:pt>
                <c:pt idx="56">
                  <c:v>83.577770645971867</c:v>
                </c:pt>
                <c:pt idx="57">
                  <c:v>84.508339461390847</c:v>
                </c:pt>
                <c:pt idx="58">
                  <c:v>85.439213341260881</c:v>
                </c:pt>
                <c:pt idx="59">
                  <c:v>86.370391803297636</c:v>
                </c:pt>
                <c:pt idx="60">
                  <c:v>87.301874352110218</c:v>
                </c:pt>
                <c:pt idx="61">
                  <c:v>88.233660479313357</c:v>
                </c:pt>
                <c:pt idx="62">
                  <c:v>89.165749663641975</c:v>
                </c:pt>
                <c:pt idx="63">
                  <c:v>90.098141371068053</c:v>
                </c:pt>
                <c:pt idx="64">
                  <c:v>91.030835054920175</c:v>
                </c:pt>
                <c:pt idx="65">
                  <c:v>91.963830156005216</c:v>
                </c:pt>
                <c:pt idx="66">
                  <c:v>92.897126102732301</c:v>
                </c:pt>
                <c:pt idx="67">
                  <c:v>93.830722311239072</c:v>
                </c:pt>
                <c:pt idx="68">
                  <c:v>94.764618185520078</c:v>
                </c:pt>
                <c:pt idx="69">
                  <c:v>95.698813117557066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78-4A04-973D-BAB25EB75824}"/>
            </c:ext>
          </c:extLst>
        </c:ser>
        <c:ser>
          <c:idx val="4"/>
          <c:order val="4"/>
          <c:spPr>
            <a:ln w="3175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-20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B78-4A04-973D-BAB25EB75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970176"/>
        <c:axId val="281972096"/>
      </c:scatterChart>
      <c:valAx>
        <c:axId val="281970176"/>
        <c:scaling>
          <c:orientation val="maxMin"/>
          <c:max val="10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Pred(Actual Pile Length (ft.))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1972096"/>
        <c:crosses val="autoZero"/>
        <c:crossBetween val="midCat"/>
      </c:valAx>
      <c:valAx>
        <c:axId val="281972096"/>
        <c:scaling>
          <c:orientation val="minMax"/>
          <c:max val="100"/>
          <c:min val="-2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19701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Standardized residuals / Actual Pile Length (ft.)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 Output 4'!$A$94:$A$404</c:f>
              <c:strCache>
                <c:ptCount val="311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</c:strCache>
            </c:strRef>
          </c:cat>
          <c:val>
            <c:numRef>
              <c:f>'Linear Regression Output 4'!$G$94:$G$404</c:f>
              <c:numCache>
                <c:formatCode>0.000</c:formatCode>
                <c:ptCount val="311"/>
                <c:pt idx="0">
                  <c:v>-0.16673703409582719</c:v>
                </c:pt>
                <c:pt idx="1">
                  <c:v>-0.16673703409582719</c:v>
                </c:pt>
                <c:pt idx="2">
                  <c:v>-0.16673703409582719</c:v>
                </c:pt>
                <c:pt idx="3">
                  <c:v>-0.16673703409582719</c:v>
                </c:pt>
                <c:pt idx="4">
                  <c:v>0.84471093658434837</c:v>
                </c:pt>
                <c:pt idx="5">
                  <c:v>0.64242134244831328</c:v>
                </c:pt>
                <c:pt idx="6">
                  <c:v>-0.26788183116384473</c:v>
                </c:pt>
                <c:pt idx="7">
                  <c:v>0.74356613951633088</c:v>
                </c:pt>
                <c:pt idx="8">
                  <c:v>0.74356613951633088</c:v>
                </c:pt>
                <c:pt idx="9">
                  <c:v>1.7550141101965064</c:v>
                </c:pt>
                <c:pt idx="10">
                  <c:v>0.84471093658434837</c:v>
                </c:pt>
                <c:pt idx="11">
                  <c:v>-1.4697451473822454</c:v>
                </c:pt>
                <c:pt idx="12">
                  <c:v>-0.76173156790612251</c:v>
                </c:pt>
                <c:pt idx="13">
                  <c:v>-0.76173156790612251</c:v>
                </c:pt>
                <c:pt idx="14">
                  <c:v>-0.76173156790612251</c:v>
                </c:pt>
                <c:pt idx="15">
                  <c:v>-0.36432817831237779</c:v>
                </c:pt>
                <c:pt idx="16">
                  <c:v>-6.0893787108325138E-2</c:v>
                </c:pt>
                <c:pt idx="17">
                  <c:v>-0.21261098271035148</c:v>
                </c:pt>
                <c:pt idx="18">
                  <c:v>-0.56661777244841272</c:v>
                </c:pt>
                <c:pt idx="19">
                  <c:v>-1.7175430207467328</c:v>
                </c:pt>
                <c:pt idx="20">
                  <c:v>0.21138392222392627</c:v>
                </c:pt>
                <c:pt idx="21">
                  <c:v>1.3168008912937941</c:v>
                </c:pt>
                <c:pt idx="22">
                  <c:v>1.7213800795658643</c:v>
                </c:pt>
                <c:pt idx="23">
                  <c:v>1.7213800795658643</c:v>
                </c:pt>
                <c:pt idx="24">
                  <c:v>2.0104628734132661</c:v>
                </c:pt>
                <c:pt idx="25">
                  <c:v>1.0811096525249737</c:v>
                </c:pt>
                <c:pt idx="26">
                  <c:v>1.0811096525249737</c:v>
                </c:pt>
                <c:pt idx="27">
                  <c:v>1.0811096525249737</c:v>
                </c:pt>
                <c:pt idx="28">
                  <c:v>0.77519791256208004</c:v>
                </c:pt>
                <c:pt idx="29">
                  <c:v>1.5628288930712451</c:v>
                </c:pt>
                <c:pt idx="30">
                  <c:v>1.4616840960032276</c:v>
                </c:pt>
                <c:pt idx="31">
                  <c:v>1.3605392989352101</c:v>
                </c:pt>
                <c:pt idx="32">
                  <c:v>1.3605392989352101</c:v>
                </c:pt>
                <c:pt idx="33">
                  <c:v>-2.5841077867174747</c:v>
                </c:pt>
                <c:pt idx="34">
                  <c:v>-0.51873103058855607</c:v>
                </c:pt>
                <c:pt idx="35">
                  <c:v>-1.6738046131053168</c:v>
                </c:pt>
                <c:pt idx="36">
                  <c:v>-1.6313237983367492</c:v>
                </c:pt>
                <c:pt idx="37">
                  <c:v>-2.4829629896494572</c:v>
                </c:pt>
                <c:pt idx="38">
                  <c:v>-1.2986122351180118</c:v>
                </c:pt>
                <c:pt idx="39">
                  <c:v>-1.3686003503142279</c:v>
                </c:pt>
                <c:pt idx="40">
                  <c:v>-1.3686003503142279</c:v>
                </c:pt>
                <c:pt idx="41">
                  <c:v>-1.3686003503142279</c:v>
                </c:pt>
                <c:pt idx="42">
                  <c:v>-1.3686003503142279</c:v>
                </c:pt>
                <c:pt idx="43">
                  <c:v>-0.97837275939880797</c:v>
                </c:pt>
                <c:pt idx="44">
                  <c:v>-0.7760831652627731</c:v>
                </c:pt>
                <c:pt idx="45">
                  <c:v>-0.7760831652627731</c:v>
                </c:pt>
                <c:pt idx="46">
                  <c:v>-0.7760831652627731</c:v>
                </c:pt>
                <c:pt idx="47">
                  <c:v>-0.99517784391395903</c:v>
                </c:pt>
                <c:pt idx="48">
                  <c:v>1.4132472384423271</c:v>
                </c:pt>
                <c:pt idx="49">
                  <c:v>1.4557280532108947</c:v>
                </c:pt>
                <c:pt idx="50">
                  <c:v>1.4557280532108947</c:v>
                </c:pt>
                <c:pt idx="51">
                  <c:v>1.4132472384423271</c:v>
                </c:pt>
                <c:pt idx="52">
                  <c:v>1.4132472384423271</c:v>
                </c:pt>
                <c:pt idx="53">
                  <c:v>-1.3463654771074478</c:v>
                </c:pt>
                <c:pt idx="54">
                  <c:v>-1.3463654771074478</c:v>
                </c:pt>
                <c:pt idx="55">
                  <c:v>-1.3463654771074478</c:v>
                </c:pt>
                <c:pt idx="56">
                  <c:v>-0.84064149176736003</c:v>
                </c:pt>
                <c:pt idx="57">
                  <c:v>-3.1483115223219539E-2</c:v>
                </c:pt>
                <c:pt idx="58">
                  <c:v>-2.4876614395689423</c:v>
                </c:pt>
                <c:pt idx="59">
                  <c:v>-0.56591029527660885</c:v>
                </c:pt>
                <c:pt idx="60">
                  <c:v>-2.1417462335963222</c:v>
                </c:pt>
                <c:pt idx="61">
                  <c:v>-0.46476549820859131</c:v>
                </c:pt>
                <c:pt idx="62">
                  <c:v>-3.5530749426290829</c:v>
                </c:pt>
                <c:pt idx="63">
                  <c:v>0.45023612532305196</c:v>
                </c:pt>
                <c:pt idx="64">
                  <c:v>-0.75951046674547817</c:v>
                </c:pt>
                <c:pt idx="65">
                  <c:v>1.0910190475603361</c:v>
                </c:pt>
                <c:pt idx="66">
                  <c:v>1.0910190475603361</c:v>
                </c:pt>
                <c:pt idx="67">
                  <c:v>1.0910190475603361</c:v>
                </c:pt>
                <c:pt idx="68">
                  <c:v>1.0910190475603361</c:v>
                </c:pt>
                <c:pt idx="69">
                  <c:v>1.0910190475603361</c:v>
                </c:pt>
                <c:pt idx="70">
                  <c:v>1.0934895774820381</c:v>
                </c:pt>
                <c:pt idx="71">
                  <c:v>1.0623158528470356</c:v>
                </c:pt>
                <c:pt idx="72">
                  <c:v>-1.8708832621254736</c:v>
                </c:pt>
                <c:pt idx="73">
                  <c:v>-1.8708832621254736</c:v>
                </c:pt>
                <c:pt idx="74">
                  <c:v>1.0623158528470356</c:v>
                </c:pt>
                <c:pt idx="75">
                  <c:v>-2.0731728562615088</c:v>
                </c:pt>
                <c:pt idx="76">
                  <c:v>2.9162999831037975</c:v>
                </c:pt>
                <c:pt idx="77">
                  <c:v>-0.28126970375049415</c:v>
                </c:pt>
                <c:pt idx="78">
                  <c:v>-0.38241450081851175</c:v>
                </c:pt>
                <c:pt idx="79">
                  <c:v>-0.28126970375049415</c:v>
                </c:pt>
                <c:pt idx="80">
                  <c:v>-0.23878888898192663</c:v>
                </c:pt>
                <c:pt idx="81">
                  <c:v>4.5656937050981727E-2</c:v>
                </c:pt>
                <c:pt idx="82">
                  <c:v>-0.94872300390874276</c:v>
                </c:pt>
                <c:pt idx="83">
                  <c:v>-1.2259143851650984</c:v>
                </c:pt>
                <c:pt idx="84">
                  <c:v>-1.2259143851650984</c:v>
                </c:pt>
                <c:pt idx="85">
                  <c:v>-1.2234438552433964</c:v>
                </c:pt>
                <c:pt idx="86">
                  <c:v>-1.2259143851650984</c:v>
                </c:pt>
                <c:pt idx="87">
                  <c:v>-1.2259143851650984</c:v>
                </c:pt>
                <c:pt idx="88">
                  <c:v>-1.2234438552433964</c:v>
                </c:pt>
                <c:pt idx="89">
                  <c:v>-0.15958851942534272</c:v>
                </c:pt>
                <c:pt idx="90">
                  <c:v>-0.72131802780568699</c:v>
                </c:pt>
                <c:pt idx="91">
                  <c:v>-0.82246282487370459</c:v>
                </c:pt>
                <c:pt idx="92">
                  <c:v>-0.82246282487370459</c:v>
                </c:pt>
                <c:pt idx="93">
                  <c:v>0.79585392821457601</c:v>
                </c:pt>
                <c:pt idx="94">
                  <c:v>-0.21559404246559927</c:v>
                </c:pt>
                <c:pt idx="95">
                  <c:v>-0.6201732307376695</c:v>
                </c:pt>
                <c:pt idx="96">
                  <c:v>-1.353876169482197</c:v>
                </c:pt>
                <c:pt idx="97">
                  <c:v>-1.4440214774459441</c:v>
                </c:pt>
                <c:pt idx="98">
                  <c:v>-1.3853574951464942</c:v>
                </c:pt>
                <c:pt idx="99">
                  <c:v>-0.63486310090180409</c:v>
                </c:pt>
                <c:pt idx="100">
                  <c:v>-0.3739095244663182</c:v>
                </c:pt>
                <c:pt idx="101">
                  <c:v>-0.93829749210585633</c:v>
                </c:pt>
                <c:pt idx="102">
                  <c:v>1.5690136829717285</c:v>
                </c:pt>
                <c:pt idx="103">
                  <c:v>-1.1194150230961784</c:v>
                </c:pt>
                <c:pt idx="104">
                  <c:v>-0.10739307511461887</c:v>
                </c:pt>
                <c:pt idx="105">
                  <c:v>-0.53349965942166466</c:v>
                </c:pt>
                <c:pt idx="106">
                  <c:v>0.25413132108750036</c:v>
                </c:pt>
                <c:pt idx="107">
                  <c:v>1.5690136829717285</c:v>
                </c:pt>
                <c:pt idx="108">
                  <c:v>-0.10739307511461887</c:v>
                </c:pt>
                <c:pt idx="109">
                  <c:v>-0.37819456448047567</c:v>
                </c:pt>
                <c:pt idx="110">
                  <c:v>-0.37819456448047567</c:v>
                </c:pt>
                <c:pt idx="111">
                  <c:v>-0.37819456448047567</c:v>
                </c:pt>
                <c:pt idx="112">
                  <c:v>-0.37819456448047567</c:v>
                </c:pt>
                <c:pt idx="113">
                  <c:v>-0.37819456448047567</c:v>
                </c:pt>
                <c:pt idx="114">
                  <c:v>-0.37819456448047567</c:v>
                </c:pt>
                <c:pt idx="115">
                  <c:v>-0.53349965942166466</c:v>
                </c:pt>
                <c:pt idx="116">
                  <c:v>-0.26941261914592024</c:v>
                </c:pt>
                <c:pt idx="117">
                  <c:v>-0.26941261914592024</c:v>
                </c:pt>
                <c:pt idx="118">
                  <c:v>-0.26941261914592024</c:v>
                </c:pt>
                <c:pt idx="119">
                  <c:v>-0.26941261914592024</c:v>
                </c:pt>
                <c:pt idx="120">
                  <c:v>-0.26941261914592024</c:v>
                </c:pt>
                <c:pt idx="121">
                  <c:v>-0.26941261914592024</c:v>
                </c:pt>
                <c:pt idx="122">
                  <c:v>0.57955445791474058</c:v>
                </c:pt>
                <c:pt idx="123">
                  <c:v>1.1021279497931928</c:v>
                </c:pt>
                <c:pt idx="124">
                  <c:v>1.1785674476441859</c:v>
                </c:pt>
                <c:pt idx="125">
                  <c:v>2.2486794006238124</c:v>
                </c:pt>
                <c:pt idx="126">
                  <c:v>1.2372314299436367</c:v>
                </c:pt>
                <c:pt idx="127">
                  <c:v>2.2486794006238124</c:v>
                </c:pt>
                <c:pt idx="128">
                  <c:v>-1.8572213334937537E-3</c:v>
                </c:pt>
                <c:pt idx="129">
                  <c:v>-0.26900592416627167</c:v>
                </c:pt>
                <c:pt idx="130">
                  <c:v>-0.26900592416627167</c:v>
                </c:pt>
                <c:pt idx="131">
                  <c:v>-0.77472990950635945</c:v>
                </c:pt>
                <c:pt idx="132">
                  <c:v>-0.52995950060175745</c:v>
                </c:pt>
                <c:pt idx="133">
                  <c:v>-1.3754035655171728</c:v>
                </c:pt>
                <c:pt idx="134">
                  <c:v>-1.4178843802857395</c:v>
                </c:pt>
                <c:pt idx="135">
                  <c:v>0.31278496689014035</c:v>
                </c:pt>
                <c:pt idx="136">
                  <c:v>0.31278496689014035</c:v>
                </c:pt>
                <c:pt idx="137">
                  <c:v>0.31278496689014035</c:v>
                </c:pt>
                <c:pt idx="138">
                  <c:v>0.23043396950006115</c:v>
                </c:pt>
                <c:pt idx="139">
                  <c:v>0.31278496689014035</c:v>
                </c:pt>
                <c:pt idx="140">
                  <c:v>0.31278496689014035</c:v>
                </c:pt>
                <c:pt idx="141">
                  <c:v>-1.2176820348887741E-2</c:v>
                </c:pt>
                <c:pt idx="142">
                  <c:v>-1.2176820348887741E-2</c:v>
                </c:pt>
                <c:pt idx="143">
                  <c:v>-9.706290427185656E-3</c:v>
                </c:pt>
                <c:pt idx="144">
                  <c:v>-1.2176820348887741E-2</c:v>
                </c:pt>
                <c:pt idx="145">
                  <c:v>-1.2176820348887741E-2</c:v>
                </c:pt>
                <c:pt idx="146">
                  <c:v>-1.2176820348887741E-2</c:v>
                </c:pt>
                <c:pt idx="147">
                  <c:v>-0.26321066525220077</c:v>
                </c:pt>
                <c:pt idx="148">
                  <c:v>-0.26321066525220077</c:v>
                </c:pt>
                <c:pt idx="149">
                  <c:v>-0.26321066525220077</c:v>
                </c:pt>
                <c:pt idx="150">
                  <c:v>-0.26321066525220077</c:v>
                </c:pt>
                <c:pt idx="151">
                  <c:v>-0.26321066525220077</c:v>
                </c:pt>
                <c:pt idx="152">
                  <c:v>-0.26321066525220077</c:v>
                </c:pt>
                <c:pt idx="153">
                  <c:v>1.3501513903183984</c:v>
                </c:pt>
                <c:pt idx="154">
                  <c:v>1.7547305785904685</c:v>
                </c:pt>
                <c:pt idx="155">
                  <c:v>1.6535857815224511</c:v>
                </c:pt>
                <c:pt idx="156">
                  <c:v>1.5949217992230011</c:v>
                </c:pt>
                <c:pt idx="157">
                  <c:v>1.4512961873864159</c:v>
                </c:pt>
                <c:pt idx="158">
                  <c:v>-0.475409654423598</c:v>
                </c:pt>
                <c:pt idx="159">
                  <c:v>-0.3742648573555804</c:v>
                </c:pt>
                <c:pt idx="160">
                  <c:v>-0.3742648573555804</c:v>
                </c:pt>
                <c:pt idx="161">
                  <c:v>-0.3742648573555804</c:v>
                </c:pt>
                <c:pt idx="162">
                  <c:v>-1.0133051920136693</c:v>
                </c:pt>
                <c:pt idx="163">
                  <c:v>-4.5595628974910075E-2</c:v>
                </c:pt>
                <c:pt idx="164">
                  <c:v>0.94577713085058024</c:v>
                </c:pt>
                <c:pt idx="165">
                  <c:v>0.94577713085058024</c:v>
                </c:pt>
                <c:pt idx="166">
                  <c:v>0.94577713085058024</c:v>
                </c:pt>
                <c:pt idx="167">
                  <c:v>0.36615935797548554</c:v>
                </c:pt>
                <c:pt idx="168">
                  <c:v>8.3084213000648565E-3</c:v>
                </c:pt>
                <c:pt idx="169">
                  <c:v>8.3084213000648565E-3</c:v>
                </c:pt>
                <c:pt idx="170">
                  <c:v>8.3084213000648565E-3</c:v>
                </c:pt>
                <c:pt idx="171">
                  <c:v>0.23631136619416754</c:v>
                </c:pt>
                <c:pt idx="172">
                  <c:v>-0.30947756726063858</c:v>
                </c:pt>
                <c:pt idx="173">
                  <c:v>-0.20833277019262103</c:v>
                </c:pt>
                <c:pt idx="174">
                  <c:v>-0.81520155260072669</c:v>
                </c:pt>
                <c:pt idx="175">
                  <c:v>1.6379869277897625</c:v>
                </c:pt>
                <c:pt idx="176">
                  <c:v>1.5979219796750457</c:v>
                </c:pt>
                <c:pt idx="177">
                  <c:v>1.4967771826070282</c:v>
                </c:pt>
                <c:pt idx="178">
                  <c:v>1.5979219796750457</c:v>
                </c:pt>
                <c:pt idx="179">
                  <c:v>-0.60872600374159913</c:v>
                </c:pt>
                <c:pt idx="180">
                  <c:v>-1.1076159981890945</c:v>
                </c:pt>
                <c:pt idx="181">
                  <c:v>-0.85475400551905056</c:v>
                </c:pt>
                <c:pt idx="182">
                  <c:v>0.61374200933535217</c:v>
                </c:pt>
                <c:pt idx="183">
                  <c:v>0.41145241519931702</c:v>
                </c:pt>
                <c:pt idx="184">
                  <c:v>1.3642364035800425</c:v>
                </c:pt>
                <c:pt idx="185">
                  <c:v>1.263091606512025</c:v>
                </c:pt>
                <c:pt idx="186">
                  <c:v>-0.43917532814271065</c:v>
                </c:pt>
                <c:pt idx="187">
                  <c:v>-0.57239599725857082</c:v>
                </c:pt>
                <c:pt idx="188">
                  <c:v>0.39657115865303727</c:v>
                </c:pt>
                <c:pt idx="189">
                  <c:v>0.49771595572105481</c:v>
                </c:pt>
                <c:pt idx="190">
                  <c:v>0.49771595572105481</c:v>
                </c:pt>
                <c:pt idx="191">
                  <c:v>-0.5253500159587341</c:v>
                </c:pt>
                <c:pt idx="192">
                  <c:v>-0.5253500159587341</c:v>
                </c:pt>
                <c:pt idx="193">
                  <c:v>-0.5253500159587341</c:v>
                </c:pt>
                <c:pt idx="194">
                  <c:v>-0.5253500159587341</c:v>
                </c:pt>
                <c:pt idx="195">
                  <c:v>-0.5253500159587341</c:v>
                </c:pt>
                <c:pt idx="196">
                  <c:v>0.305609168211815</c:v>
                </c:pt>
                <c:pt idx="197">
                  <c:v>0.305609168211815</c:v>
                </c:pt>
                <c:pt idx="198">
                  <c:v>0.30807969813351743</c:v>
                </c:pt>
                <c:pt idx="199">
                  <c:v>0.305609168211815</c:v>
                </c:pt>
                <c:pt idx="200">
                  <c:v>0.305609168211815</c:v>
                </c:pt>
                <c:pt idx="201">
                  <c:v>0.61151408933757012</c:v>
                </c:pt>
                <c:pt idx="202">
                  <c:v>9.1438506640831904E-2</c:v>
                </c:pt>
                <c:pt idx="203">
                  <c:v>0.29372810077686701</c:v>
                </c:pt>
                <c:pt idx="204">
                  <c:v>0.19011277378714739</c:v>
                </c:pt>
                <c:pt idx="205">
                  <c:v>0.29372810077686701</c:v>
                </c:pt>
                <c:pt idx="206">
                  <c:v>0.29125757085516496</c:v>
                </c:pt>
                <c:pt idx="207">
                  <c:v>0.39487289784488455</c:v>
                </c:pt>
                <c:pt idx="208">
                  <c:v>-0.53225240304562627</c:v>
                </c:pt>
                <c:pt idx="209">
                  <c:v>-0.42863707605590629</c:v>
                </c:pt>
                <c:pt idx="210">
                  <c:v>-0.53225240304562627</c:v>
                </c:pt>
                <c:pt idx="211">
                  <c:v>-0.43110760597760872</c:v>
                </c:pt>
                <c:pt idx="212">
                  <c:v>-0.53225240304562627</c:v>
                </c:pt>
                <c:pt idx="213">
                  <c:v>-0.73207146725995897</c:v>
                </c:pt>
                <c:pt idx="214">
                  <c:v>1.6832799850135938</c:v>
                </c:pt>
                <c:pt idx="215">
                  <c:v>1.6832799850135938</c:v>
                </c:pt>
                <c:pt idx="216">
                  <c:v>1.3798455938095411</c:v>
                </c:pt>
                <c:pt idx="217">
                  <c:v>1.3211816115100909</c:v>
                </c:pt>
                <c:pt idx="218">
                  <c:v>1.2787007967415236</c:v>
                </c:pt>
                <c:pt idx="219">
                  <c:v>-0.15167795956737162</c:v>
                </c:pt>
                <c:pt idx="220">
                  <c:v>-0.15167795956737162</c:v>
                </c:pt>
                <c:pt idx="221">
                  <c:v>-0.35396755370340677</c:v>
                </c:pt>
                <c:pt idx="222">
                  <c:v>-0.45511235077142431</c:v>
                </c:pt>
                <c:pt idx="223">
                  <c:v>-1.4322359776423903</c:v>
                </c:pt>
                <c:pt idx="224">
                  <c:v>-0.30529161253754644</c:v>
                </c:pt>
                <c:pt idx="225">
                  <c:v>-0.68260280046913391</c:v>
                </c:pt>
                <c:pt idx="226">
                  <c:v>-0.884892394605169</c:v>
                </c:pt>
                <c:pt idx="227">
                  <c:v>-0.61434715283750863</c:v>
                </c:pt>
                <c:pt idx="228">
                  <c:v>-0.61434715283750863</c:v>
                </c:pt>
                <c:pt idx="229">
                  <c:v>-0.10862316749742081</c:v>
                </c:pt>
                <c:pt idx="230">
                  <c:v>-0.26843194686488836</c:v>
                </c:pt>
                <c:pt idx="231">
                  <c:v>0.72518925874410389</c:v>
                </c:pt>
                <c:pt idx="232">
                  <c:v>-0.57186633806894105</c:v>
                </c:pt>
                <c:pt idx="233">
                  <c:v>-0.16728714979687082</c:v>
                </c:pt>
                <c:pt idx="234">
                  <c:v>-0.71549194990552611</c:v>
                </c:pt>
                <c:pt idx="235">
                  <c:v>-0.61434715283750863</c:v>
                </c:pt>
                <c:pt idx="236">
                  <c:v>0.16884162535036815</c:v>
                </c:pt>
                <c:pt idx="237">
                  <c:v>0.16884162535036815</c:v>
                </c:pt>
                <c:pt idx="238">
                  <c:v>-3.3447968785666984E-2</c:v>
                </c:pt>
                <c:pt idx="239">
                  <c:v>6.7696828282350574E-2</c:v>
                </c:pt>
                <c:pt idx="240">
                  <c:v>-0.59999555548085859</c:v>
                </c:pt>
                <c:pt idx="241">
                  <c:v>-0.2965611642768059</c:v>
                </c:pt>
                <c:pt idx="242">
                  <c:v>-0.59999555548085859</c:v>
                </c:pt>
                <c:pt idx="243">
                  <c:v>-0.59999555548085859</c:v>
                </c:pt>
                <c:pt idx="244">
                  <c:v>-0.36573600208447216</c:v>
                </c:pt>
                <c:pt idx="245">
                  <c:v>-0.36573600208447216</c:v>
                </c:pt>
                <c:pt idx="246">
                  <c:v>-0.36573600208447216</c:v>
                </c:pt>
                <c:pt idx="247">
                  <c:v>-0.36573600208447216</c:v>
                </c:pt>
                <c:pt idx="248">
                  <c:v>-0.20976796456543836</c:v>
                </c:pt>
                <c:pt idx="249">
                  <c:v>0.29595602077464944</c:v>
                </c:pt>
                <c:pt idx="250">
                  <c:v>-7.4783704294032402E-3</c:v>
                </c:pt>
                <c:pt idx="251">
                  <c:v>-0.20976796456543836</c:v>
                </c:pt>
                <c:pt idx="252">
                  <c:v>0.18763542502830649</c:v>
                </c:pt>
                <c:pt idx="253">
                  <c:v>0.18763542502830649</c:v>
                </c:pt>
                <c:pt idx="254">
                  <c:v>0.18763542502830649</c:v>
                </c:pt>
                <c:pt idx="255">
                  <c:v>0.18763542502830649</c:v>
                </c:pt>
                <c:pt idx="256">
                  <c:v>-0.68736273249360935</c:v>
                </c:pt>
                <c:pt idx="257">
                  <c:v>-0.58621793542559175</c:v>
                </c:pt>
                <c:pt idx="258">
                  <c:v>-0.52755395312614184</c:v>
                </c:pt>
                <c:pt idx="259">
                  <c:v>-0.22411956192208912</c:v>
                </c:pt>
                <c:pt idx="260">
                  <c:v>2.1890039703536814</c:v>
                </c:pt>
                <c:pt idx="261">
                  <c:v>2.4924383615577343</c:v>
                </c:pt>
                <c:pt idx="262">
                  <c:v>2.3912935644897169</c:v>
                </c:pt>
                <c:pt idx="263">
                  <c:v>2.2137092695707059</c:v>
                </c:pt>
                <c:pt idx="264">
                  <c:v>3.4428467037781019E-2</c:v>
                </c:pt>
                <c:pt idx="265">
                  <c:v>0.13557326410579856</c:v>
                </c:pt>
                <c:pt idx="266">
                  <c:v>0.88606765835048829</c:v>
                </c:pt>
                <c:pt idx="267">
                  <c:v>-0.1678611270982541</c:v>
                </c:pt>
                <c:pt idx="268">
                  <c:v>-0.30529161253754644</c:v>
                </c:pt>
                <c:pt idx="269">
                  <c:v>-0.30529161253754644</c:v>
                </c:pt>
                <c:pt idx="270">
                  <c:v>-0.30529161253754644</c:v>
                </c:pt>
                <c:pt idx="271">
                  <c:v>0.83456915555112943</c:v>
                </c:pt>
                <c:pt idx="272">
                  <c:v>1.3402931408912173</c:v>
                </c:pt>
                <c:pt idx="273">
                  <c:v>2.0483067203673402</c:v>
                </c:pt>
                <c:pt idx="274">
                  <c:v>9.3666426638614311E-2</c:v>
                </c:pt>
                <c:pt idx="275">
                  <c:v>9.3666426638614311E-2</c:v>
                </c:pt>
                <c:pt idx="276">
                  <c:v>0.95339720171676356</c:v>
                </c:pt>
                <c:pt idx="277">
                  <c:v>-6.2817545802890271E-2</c:v>
                </c:pt>
                <c:pt idx="278">
                  <c:v>-0.60573615978636552</c:v>
                </c:pt>
                <c:pt idx="279">
                  <c:v>-0.10001217444627736</c:v>
                </c:pt>
                <c:pt idx="280">
                  <c:v>-0.66440014208581555</c:v>
                </c:pt>
                <c:pt idx="281">
                  <c:v>-2.0403623529233439</c:v>
                </c:pt>
                <c:pt idx="282">
                  <c:v>-0.28077437254733745</c:v>
                </c:pt>
                <c:pt idx="283">
                  <c:v>-0.28077437254733745</c:v>
                </c:pt>
                <c:pt idx="284">
                  <c:v>-0.28077437254733745</c:v>
                </c:pt>
                <c:pt idx="285">
                  <c:v>-1.4616227879271559</c:v>
                </c:pt>
                <c:pt idx="286">
                  <c:v>0.12380481572473281</c:v>
                </c:pt>
                <c:pt idx="287">
                  <c:v>2.2660018656715256E-2</c:v>
                </c:pt>
                <c:pt idx="288">
                  <c:v>2.2660018656715256E-2</c:v>
                </c:pt>
                <c:pt idx="289">
                  <c:v>-0.65246441138301547</c:v>
                </c:pt>
                <c:pt idx="290">
                  <c:v>8.3084213000648565E-3</c:v>
                </c:pt>
                <c:pt idx="291">
                  <c:v>0.10945321836808242</c:v>
                </c:pt>
                <c:pt idx="292">
                  <c:v>0.10945321836808242</c:v>
                </c:pt>
                <c:pt idx="293">
                  <c:v>-0.37055741621393817</c:v>
                </c:pt>
                <c:pt idx="294">
                  <c:v>-0.90917055099041821</c:v>
                </c:pt>
                <c:pt idx="295">
                  <c:v>0.2034222167577753</c:v>
                </c:pt>
                <c:pt idx="296">
                  <c:v>0.2034222167577753</c:v>
                </c:pt>
                <c:pt idx="297">
                  <c:v>0.23631136619416754</c:v>
                </c:pt>
                <c:pt idx="298">
                  <c:v>-6.0431760565859017E-3</c:v>
                </c:pt>
                <c:pt idx="299">
                  <c:v>-6.0431760565859017E-3</c:v>
                </c:pt>
                <c:pt idx="300">
                  <c:v>0.23872723284801603</c:v>
                </c:pt>
                <c:pt idx="301">
                  <c:v>2.0425661160618329</c:v>
                </c:pt>
                <c:pt idx="302">
                  <c:v>2.2047907620831513</c:v>
                </c:pt>
                <c:pt idx="303">
                  <c:v>2.2047907620831513</c:v>
                </c:pt>
                <c:pt idx="304">
                  <c:v>2.2047907620831513</c:v>
                </c:pt>
                <c:pt idx="305">
                  <c:v>0.90844595227866431</c:v>
                </c:pt>
                <c:pt idx="306">
                  <c:v>-0.2370359649059211</c:v>
                </c:pt>
                <c:pt idx="307">
                  <c:v>-0.29569994720537185</c:v>
                </c:pt>
                <c:pt idx="308">
                  <c:v>-0.74275995024600894</c:v>
                </c:pt>
                <c:pt idx="309">
                  <c:v>-0.50758120667358153</c:v>
                </c:pt>
                <c:pt idx="310">
                  <c:v>-0.60872600374159913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D-47D0-9111-2FF387435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282074496"/>
        <c:axId val="282084864"/>
      </c:barChart>
      <c:catAx>
        <c:axId val="28207449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82084864"/>
        <c:crosses val="autoZero"/>
        <c:auto val="1"/>
        <c:lblAlgn val="ctr"/>
        <c:lblOffset val="100"/>
        <c:noMultiLvlLbl val="0"/>
      </c:catAx>
      <c:valAx>
        <c:axId val="282084864"/>
        <c:scaling>
          <c:orientation val="maxMin"/>
          <c:max val="4"/>
          <c:min val="-4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28207449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US"/>
              <a:t>Scatter plot (Actual Pile Length (ft.) vs Estimated Pile Length (ft.))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1905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2A7498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Sheet10_HID!$A$1:$A$311</c:f>
              <c:numCache>
                <c:formatCode>General</c:formatCode>
                <c:ptCount val="311"/>
                <c:pt idx="0">
                  <c:v>10.58</c:v>
                </c:pt>
                <c:pt idx="1">
                  <c:v>10.58</c:v>
                </c:pt>
                <c:pt idx="2">
                  <c:v>10.58</c:v>
                </c:pt>
                <c:pt idx="3">
                  <c:v>10.58</c:v>
                </c:pt>
                <c:pt idx="4">
                  <c:v>10.58</c:v>
                </c:pt>
                <c:pt idx="5">
                  <c:v>10.58</c:v>
                </c:pt>
                <c:pt idx="6">
                  <c:v>10.58</c:v>
                </c:pt>
                <c:pt idx="7">
                  <c:v>10.58</c:v>
                </c:pt>
                <c:pt idx="8">
                  <c:v>10.58</c:v>
                </c:pt>
                <c:pt idx="9">
                  <c:v>10.58</c:v>
                </c:pt>
                <c:pt idx="10">
                  <c:v>10.58</c:v>
                </c:pt>
                <c:pt idx="11">
                  <c:v>5.83</c:v>
                </c:pt>
                <c:pt idx="12">
                  <c:v>5.83</c:v>
                </c:pt>
                <c:pt idx="13">
                  <c:v>5.83</c:v>
                </c:pt>
                <c:pt idx="14">
                  <c:v>5.83</c:v>
                </c:pt>
                <c:pt idx="15">
                  <c:v>10.83</c:v>
                </c:pt>
                <c:pt idx="16">
                  <c:v>10.83</c:v>
                </c:pt>
                <c:pt idx="17">
                  <c:v>10.83</c:v>
                </c:pt>
                <c:pt idx="18">
                  <c:v>10.83</c:v>
                </c:pt>
                <c:pt idx="19">
                  <c:v>21.33</c:v>
                </c:pt>
                <c:pt idx="20">
                  <c:v>16.329999999999998</c:v>
                </c:pt>
                <c:pt idx="21">
                  <c:v>21.33</c:v>
                </c:pt>
                <c:pt idx="22">
                  <c:v>21.33</c:v>
                </c:pt>
                <c:pt idx="23">
                  <c:v>21.33</c:v>
                </c:pt>
                <c:pt idx="24">
                  <c:v>31.33</c:v>
                </c:pt>
                <c:pt idx="25">
                  <c:v>41.08</c:v>
                </c:pt>
                <c:pt idx="26">
                  <c:v>41.08</c:v>
                </c:pt>
                <c:pt idx="27">
                  <c:v>41.08</c:v>
                </c:pt>
                <c:pt idx="28">
                  <c:v>46.33</c:v>
                </c:pt>
                <c:pt idx="29">
                  <c:v>61.33</c:v>
                </c:pt>
                <c:pt idx="30">
                  <c:v>61.33</c:v>
                </c:pt>
                <c:pt idx="31">
                  <c:v>61.33</c:v>
                </c:pt>
                <c:pt idx="32">
                  <c:v>61.33</c:v>
                </c:pt>
                <c:pt idx="33">
                  <c:v>61.33</c:v>
                </c:pt>
                <c:pt idx="34">
                  <c:v>61.33</c:v>
                </c:pt>
                <c:pt idx="35">
                  <c:v>61.33</c:v>
                </c:pt>
                <c:pt idx="36">
                  <c:v>61.33</c:v>
                </c:pt>
                <c:pt idx="37">
                  <c:v>61.33</c:v>
                </c:pt>
                <c:pt idx="38">
                  <c:v>11.33</c:v>
                </c:pt>
                <c:pt idx="39">
                  <c:v>5.83</c:v>
                </c:pt>
                <c:pt idx="40">
                  <c:v>5.83</c:v>
                </c:pt>
                <c:pt idx="41">
                  <c:v>5.83</c:v>
                </c:pt>
                <c:pt idx="42">
                  <c:v>5.83</c:v>
                </c:pt>
                <c:pt idx="43">
                  <c:v>15.83</c:v>
                </c:pt>
                <c:pt idx="44">
                  <c:v>15.83</c:v>
                </c:pt>
                <c:pt idx="45">
                  <c:v>15.83</c:v>
                </c:pt>
                <c:pt idx="46">
                  <c:v>15.83</c:v>
                </c:pt>
                <c:pt idx="47">
                  <c:v>11.33</c:v>
                </c:pt>
                <c:pt idx="48">
                  <c:v>21.08</c:v>
                </c:pt>
                <c:pt idx="49">
                  <c:v>21.08</c:v>
                </c:pt>
                <c:pt idx="50">
                  <c:v>21.08</c:v>
                </c:pt>
                <c:pt idx="51">
                  <c:v>21.08</c:v>
                </c:pt>
                <c:pt idx="52">
                  <c:v>21.08</c:v>
                </c:pt>
                <c:pt idx="53">
                  <c:v>41.08</c:v>
                </c:pt>
                <c:pt idx="54">
                  <c:v>41.08</c:v>
                </c:pt>
                <c:pt idx="55">
                  <c:v>41.08</c:v>
                </c:pt>
                <c:pt idx="56">
                  <c:v>41.08</c:v>
                </c:pt>
                <c:pt idx="57">
                  <c:v>41.08</c:v>
                </c:pt>
                <c:pt idx="58">
                  <c:v>61.08</c:v>
                </c:pt>
                <c:pt idx="59">
                  <c:v>61.08</c:v>
                </c:pt>
                <c:pt idx="60">
                  <c:v>61.08</c:v>
                </c:pt>
                <c:pt idx="61">
                  <c:v>61.08</c:v>
                </c:pt>
                <c:pt idx="62">
                  <c:v>61.33</c:v>
                </c:pt>
                <c:pt idx="63">
                  <c:v>61.33</c:v>
                </c:pt>
                <c:pt idx="64">
                  <c:v>11.33</c:v>
                </c:pt>
                <c:pt idx="65">
                  <c:v>20.079999999999998</c:v>
                </c:pt>
                <c:pt idx="66">
                  <c:v>20.079999999999998</c:v>
                </c:pt>
                <c:pt idx="67">
                  <c:v>20.079999999999998</c:v>
                </c:pt>
                <c:pt idx="68">
                  <c:v>20.079999999999998</c:v>
                </c:pt>
                <c:pt idx="69">
                  <c:v>20.079999999999998</c:v>
                </c:pt>
                <c:pt idx="70">
                  <c:v>20.05</c:v>
                </c:pt>
                <c:pt idx="71">
                  <c:v>40.08</c:v>
                </c:pt>
                <c:pt idx="72">
                  <c:v>40.08</c:v>
                </c:pt>
                <c:pt idx="73">
                  <c:v>40.08</c:v>
                </c:pt>
                <c:pt idx="74">
                  <c:v>40.08</c:v>
                </c:pt>
                <c:pt idx="75">
                  <c:v>40.08</c:v>
                </c:pt>
                <c:pt idx="76">
                  <c:v>40.08</c:v>
                </c:pt>
                <c:pt idx="77">
                  <c:v>60.08</c:v>
                </c:pt>
                <c:pt idx="78">
                  <c:v>60.08</c:v>
                </c:pt>
                <c:pt idx="79">
                  <c:v>60.08</c:v>
                </c:pt>
                <c:pt idx="80">
                  <c:v>60.08</c:v>
                </c:pt>
                <c:pt idx="81">
                  <c:v>61.33</c:v>
                </c:pt>
                <c:pt idx="82">
                  <c:v>8.42</c:v>
                </c:pt>
                <c:pt idx="83">
                  <c:v>20.58</c:v>
                </c:pt>
                <c:pt idx="84">
                  <c:v>20.58</c:v>
                </c:pt>
                <c:pt idx="85">
                  <c:v>20.55</c:v>
                </c:pt>
                <c:pt idx="86">
                  <c:v>20.58</c:v>
                </c:pt>
                <c:pt idx="87">
                  <c:v>20.58</c:v>
                </c:pt>
                <c:pt idx="88">
                  <c:v>20.55</c:v>
                </c:pt>
                <c:pt idx="89">
                  <c:v>23.5</c:v>
                </c:pt>
                <c:pt idx="90">
                  <c:v>20.52</c:v>
                </c:pt>
                <c:pt idx="91">
                  <c:v>20.52</c:v>
                </c:pt>
                <c:pt idx="92">
                  <c:v>20.52</c:v>
                </c:pt>
                <c:pt idx="93">
                  <c:v>20.52</c:v>
                </c:pt>
                <c:pt idx="94">
                  <c:v>20.52</c:v>
                </c:pt>
                <c:pt idx="95">
                  <c:v>20.52</c:v>
                </c:pt>
                <c:pt idx="96">
                  <c:v>38.42</c:v>
                </c:pt>
                <c:pt idx="97">
                  <c:v>35.83</c:v>
                </c:pt>
                <c:pt idx="98">
                  <c:v>35.83</c:v>
                </c:pt>
                <c:pt idx="99">
                  <c:v>35.83</c:v>
                </c:pt>
                <c:pt idx="100">
                  <c:v>35.83</c:v>
                </c:pt>
                <c:pt idx="101">
                  <c:v>35.83</c:v>
                </c:pt>
                <c:pt idx="102">
                  <c:v>34.75</c:v>
                </c:pt>
                <c:pt idx="103">
                  <c:v>34.75</c:v>
                </c:pt>
                <c:pt idx="104">
                  <c:v>4.75</c:v>
                </c:pt>
                <c:pt idx="105">
                  <c:v>19.75</c:v>
                </c:pt>
                <c:pt idx="106">
                  <c:v>34.75</c:v>
                </c:pt>
                <c:pt idx="107">
                  <c:v>34.75</c:v>
                </c:pt>
                <c:pt idx="108">
                  <c:v>4.75</c:v>
                </c:pt>
                <c:pt idx="109">
                  <c:v>17.25</c:v>
                </c:pt>
                <c:pt idx="110">
                  <c:v>17.25</c:v>
                </c:pt>
                <c:pt idx="111">
                  <c:v>17.25</c:v>
                </c:pt>
                <c:pt idx="112">
                  <c:v>17.25</c:v>
                </c:pt>
                <c:pt idx="113">
                  <c:v>17.25</c:v>
                </c:pt>
                <c:pt idx="114">
                  <c:v>17.25</c:v>
                </c:pt>
                <c:pt idx="115">
                  <c:v>19.75</c:v>
                </c:pt>
                <c:pt idx="116">
                  <c:v>28.42</c:v>
                </c:pt>
                <c:pt idx="117">
                  <c:v>28.42</c:v>
                </c:pt>
                <c:pt idx="118">
                  <c:v>28.42</c:v>
                </c:pt>
                <c:pt idx="119">
                  <c:v>28.42</c:v>
                </c:pt>
                <c:pt idx="120">
                  <c:v>28.42</c:v>
                </c:pt>
                <c:pt idx="121">
                  <c:v>28.42</c:v>
                </c:pt>
                <c:pt idx="122">
                  <c:v>35.92</c:v>
                </c:pt>
                <c:pt idx="123">
                  <c:v>40.53</c:v>
                </c:pt>
                <c:pt idx="124">
                  <c:v>40.83</c:v>
                </c:pt>
                <c:pt idx="125">
                  <c:v>40.83</c:v>
                </c:pt>
                <c:pt idx="126">
                  <c:v>40.83</c:v>
                </c:pt>
                <c:pt idx="127">
                  <c:v>40.83</c:v>
                </c:pt>
                <c:pt idx="128">
                  <c:v>53.42</c:v>
                </c:pt>
                <c:pt idx="129">
                  <c:v>50.83</c:v>
                </c:pt>
                <c:pt idx="130">
                  <c:v>50.83</c:v>
                </c:pt>
                <c:pt idx="131">
                  <c:v>50.83</c:v>
                </c:pt>
                <c:pt idx="132">
                  <c:v>50.83</c:v>
                </c:pt>
                <c:pt idx="133">
                  <c:v>53.42</c:v>
                </c:pt>
                <c:pt idx="134">
                  <c:v>53.42</c:v>
                </c:pt>
                <c:pt idx="135">
                  <c:v>5.58</c:v>
                </c:pt>
                <c:pt idx="136">
                  <c:v>5.58</c:v>
                </c:pt>
                <c:pt idx="137">
                  <c:v>5.58</c:v>
                </c:pt>
                <c:pt idx="138">
                  <c:v>6.58</c:v>
                </c:pt>
                <c:pt idx="139">
                  <c:v>5.58</c:v>
                </c:pt>
                <c:pt idx="140">
                  <c:v>5.58</c:v>
                </c:pt>
                <c:pt idx="141">
                  <c:v>20.58</c:v>
                </c:pt>
                <c:pt idx="142">
                  <c:v>20.58</c:v>
                </c:pt>
                <c:pt idx="143">
                  <c:v>20.55</c:v>
                </c:pt>
                <c:pt idx="144">
                  <c:v>20.58</c:v>
                </c:pt>
                <c:pt idx="145">
                  <c:v>20.58</c:v>
                </c:pt>
                <c:pt idx="146">
                  <c:v>20.58</c:v>
                </c:pt>
                <c:pt idx="147">
                  <c:v>28.75</c:v>
                </c:pt>
                <c:pt idx="148">
                  <c:v>28.75</c:v>
                </c:pt>
                <c:pt idx="149">
                  <c:v>28.75</c:v>
                </c:pt>
                <c:pt idx="150">
                  <c:v>28.75</c:v>
                </c:pt>
                <c:pt idx="151">
                  <c:v>28.75</c:v>
                </c:pt>
                <c:pt idx="152">
                  <c:v>28.75</c:v>
                </c:pt>
                <c:pt idx="153">
                  <c:v>39.25</c:v>
                </c:pt>
                <c:pt idx="154">
                  <c:v>39.25</c:v>
                </c:pt>
                <c:pt idx="155">
                  <c:v>39.25</c:v>
                </c:pt>
                <c:pt idx="156">
                  <c:v>39.25</c:v>
                </c:pt>
                <c:pt idx="157">
                  <c:v>39.25</c:v>
                </c:pt>
                <c:pt idx="158">
                  <c:v>49.75</c:v>
                </c:pt>
                <c:pt idx="159">
                  <c:v>49.75</c:v>
                </c:pt>
                <c:pt idx="160">
                  <c:v>49.75</c:v>
                </c:pt>
                <c:pt idx="161">
                  <c:v>49.75</c:v>
                </c:pt>
                <c:pt idx="162">
                  <c:v>53.42</c:v>
                </c:pt>
                <c:pt idx="163">
                  <c:v>13.42</c:v>
                </c:pt>
                <c:pt idx="164">
                  <c:v>6.97</c:v>
                </c:pt>
                <c:pt idx="165">
                  <c:v>6.97</c:v>
                </c:pt>
                <c:pt idx="166">
                  <c:v>6.97</c:v>
                </c:pt>
                <c:pt idx="167">
                  <c:v>8.42</c:v>
                </c:pt>
                <c:pt idx="168">
                  <c:v>21.67</c:v>
                </c:pt>
                <c:pt idx="169">
                  <c:v>21.67</c:v>
                </c:pt>
                <c:pt idx="170">
                  <c:v>21.67</c:v>
                </c:pt>
                <c:pt idx="171">
                  <c:v>28.42</c:v>
                </c:pt>
                <c:pt idx="172">
                  <c:v>31.67</c:v>
                </c:pt>
                <c:pt idx="173">
                  <c:v>31.67</c:v>
                </c:pt>
                <c:pt idx="174">
                  <c:v>31.67</c:v>
                </c:pt>
                <c:pt idx="175">
                  <c:v>38.42</c:v>
                </c:pt>
                <c:pt idx="176">
                  <c:v>41.67</c:v>
                </c:pt>
                <c:pt idx="177">
                  <c:v>41.67</c:v>
                </c:pt>
                <c:pt idx="178">
                  <c:v>41.67</c:v>
                </c:pt>
                <c:pt idx="179">
                  <c:v>53.42</c:v>
                </c:pt>
                <c:pt idx="180">
                  <c:v>13.42</c:v>
                </c:pt>
                <c:pt idx="181">
                  <c:v>13.42</c:v>
                </c:pt>
                <c:pt idx="182">
                  <c:v>10.83</c:v>
                </c:pt>
                <c:pt idx="183">
                  <c:v>10.83</c:v>
                </c:pt>
                <c:pt idx="184">
                  <c:v>10.83</c:v>
                </c:pt>
                <c:pt idx="185">
                  <c:v>10.83</c:v>
                </c:pt>
                <c:pt idx="186">
                  <c:v>10.83</c:v>
                </c:pt>
                <c:pt idx="187">
                  <c:v>15.42</c:v>
                </c:pt>
                <c:pt idx="188">
                  <c:v>15.42</c:v>
                </c:pt>
                <c:pt idx="189">
                  <c:v>15.42</c:v>
                </c:pt>
                <c:pt idx="190">
                  <c:v>15.42</c:v>
                </c:pt>
                <c:pt idx="191">
                  <c:v>9.42</c:v>
                </c:pt>
                <c:pt idx="192">
                  <c:v>9.42</c:v>
                </c:pt>
                <c:pt idx="193">
                  <c:v>9.42</c:v>
                </c:pt>
                <c:pt idx="194">
                  <c:v>9.42</c:v>
                </c:pt>
                <c:pt idx="195">
                  <c:v>9.42</c:v>
                </c:pt>
                <c:pt idx="196">
                  <c:v>10.58</c:v>
                </c:pt>
                <c:pt idx="197">
                  <c:v>10.58</c:v>
                </c:pt>
                <c:pt idx="198">
                  <c:v>10.55</c:v>
                </c:pt>
                <c:pt idx="199">
                  <c:v>10.58</c:v>
                </c:pt>
                <c:pt idx="200">
                  <c:v>10.58</c:v>
                </c:pt>
                <c:pt idx="201">
                  <c:v>10.55</c:v>
                </c:pt>
                <c:pt idx="202">
                  <c:v>20.55</c:v>
                </c:pt>
                <c:pt idx="203">
                  <c:v>20.55</c:v>
                </c:pt>
                <c:pt idx="204">
                  <c:v>20.58</c:v>
                </c:pt>
                <c:pt idx="205">
                  <c:v>20.55</c:v>
                </c:pt>
                <c:pt idx="206">
                  <c:v>20.58</c:v>
                </c:pt>
                <c:pt idx="207">
                  <c:v>20.55</c:v>
                </c:pt>
                <c:pt idx="208">
                  <c:v>30.58</c:v>
                </c:pt>
                <c:pt idx="209">
                  <c:v>30.55</c:v>
                </c:pt>
                <c:pt idx="210">
                  <c:v>30.58</c:v>
                </c:pt>
                <c:pt idx="211">
                  <c:v>30.58</c:v>
                </c:pt>
                <c:pt idx="212">
                  <c:v>30.58</c:v>
                </c:pt>
                <c:pt idx="213">
                  <c:v>30.55</c:v>
                </c:pt>
                <c:pt idx="214">
                  <c:v>40.83</c:v>
                </c:pt>
                <c:pt idx="215">
                  <c:v>40.83</c:v>
                </c:pt>
                <c:pt idx="216">
                  <c:v>40.83</c:v>
                </c:pt>
                <c:pt idx="217">
                  <c:v>40.83</c:v>
                </c:pt>
                <c:pt idx="218">
                  <c:v>40.83</c:v>
                </c:pt>
                <c:pt idx="219">
                  <c:v>50.83</c:v>
                </c:pt>
                <c:pt idx="220">
                  <c:v>50.83</c:v>
                </c:pt>
                <c:pt idx="221">
                  <c:v>50.83</c:v>
                </c:pt>
                <c:pt idx="222">
                  <c:v>50.83</c:v>
                </c:pt>
                <c:pt idx="223">
                  <c:v>63.42</c:v>
                </c:pt>
                <c:pt idx="224">
                  <c:v>53.42</c:v>
                </c:pt>
                <c:pt idx="225">
                  <c:v>22.58</c:v>
                </c:pt>
                <c:pt idx="226">
                  <c:v>22.58</c:v>
                </c:pt>
                <c:pt idx="227">
                  <c:v>20.83</c:v>
                </c:pt>
                <c:pt idx="228">
                  <c:v>20.83</c:v>
                </c:pt>
                <c:pt idx="229">
                  <c:v>20.83</c:v>
                </c:pt>
                <c:pt idx="230">
                  <c:v>20.83</c:v>
                </c:pt>
                <c:pt idx="231">
                  <c:v>22.68</c:v>
                </c:pt>
                <c:pt idx="232">
                  <c:v>20.83</c:v>
                </c:pt>
                <c:pt idx="233">
                  <c:v>20.83</c:v>
                </c:pt>
                <c:pt idx="234">
                  <c:v>20.83</c:v>
                </c:pt>
                <c:pt idx="235">
                  <c:v>20.83</c:v>
                </c:pt>
                <c:pt idx="236">
                  <c:v>24.83</c:v>
                </c:pt>
                <c:pt idx="237">
                  <c:v>24.83</c:v>
                </c:pt>
                <c:pt idx="238">
                  <c:v>24.83</c:v>
                </c:pt>
                <c:pt idx="239">
                  <c:v>24.83</c:v>
                </c:pt>
                <c:pt idx="240">
                  <c:v>10.83</c:v>
                </c:pt>
                <c:pt idx="241">
                  <c:v>10.83</c:v>
                </c:pt>
                <c:pt idx="242">
                  <c:v>10.83</c:v>
                </c:pt>
                <c:pt idx="243">
                  <c:v>10.83</c:v>
                </c:pt>
                <c:pt idx="244">
                  <c:v>11.67</c:v>
                </c:pt>
                <c:pt idx="245">
                  <c:v>11.67</c:v>
                </c:pt>
                <c:pt idx="246">
                  <c:v>11.67</c:v>
                </c:pt>
                <c:pt idx="247">
                  <c:v>11.67</c:v>
                </c:pt>
                <c:pt idx="248">
                  <c:v>20.83</c:v>
                </c:pt>
                <c:pt idx="249">
                  <c:v>20.83</c:v>
                </c:pt>
                <c:pt idx="250">
                  <c:v>20.83</c:v>
                </c:pt>
                <c:pt idx="251">
                  <c:v>20.83</c:v>
                </c:pt>
                <c:pt idx="252">
                  <c:v>25.83</c:v>
                </c:pt>
                <c:pt idx="253">
                  <c:v>25.83</c:v>
                </c:pt>
                <c:pt idx="254">
                  <c:v>25.83</c:v>
                </c:pt>
                <c:pt idx="255">
                  <c:v>25.83</c:v>
                </c:pt>
                <c:pt idx="256">
                  <c:v>30.83</c:v>
                </c:pt>
                <c:pt idx="257">
                  <c:v>30.83</c:v>
                </c:pt>
                <c:pt idx="258">
                  <c:v>30.83</c:v>
                </c:pt>
                <c:pt idx="259">
                  <c:v>30.83</c:v>
                </c:pt>
                <c:pt idx="260">
                  <c:v>40.83</c:v>
                </c:pt>
                <c:pt idx="261">
                  <c:v>40.83</c:v>
                </c:pt>
                <c:pt idx="262">
                  <c:v>40.83</c:v>
                </c:pt>
                <c:pt idx="263">
                  <c:v>40.53</c:v>
                </c:pt>
                <c:pt idx="264">
                  <c:v>50.83</c:v>
                </c:pt>
                <c:pt idx="265">
                  <c:v>50.83</c:v>
                </c:pt>
                <c:pt idx="266">
                  <c:v>50.83</c:v>
                </c:pt>
                <c:pt idx="267">
                  <c:v>50.83</c:v>
                </c:pt>
                <c:pt idx="268">
                  <c:v>53.42</c:v>
                </c:pt>
                <c:pt idx="269">
                  <c:v>53.42</c:v>
                </c:pt>
                <c:pt idx="270">
                  <c:v>53.42</c:v>
                </c:pt>
                <c:pt idx="271">
                  <c:v>22.58</c:v>
                </c:pt>
                <c:pt idx="272">
                  <c:v>22.58</c:v>
                </c:pt>
                <c:pt idx="273">
                  <c:v>22.58</c:v>
                </c:pt>
                <c:pt idx="274">
                  <c:v>20.83</c:v>
                </c:pt>
                <c:pt idx="275">
                  <c:v>20.83</c:v>
                </c:pt>
                <c:pt idx="276">
                  <c:v>20.83</c:v>
                </c:pt>
                <c:pt idx="277">
                  <c:v>25.42</c:v>
                </c:pt>
                <c:pt idx="278">
                  <c:v>26.67</c:v>
                </c:pt>
                <c:pt idx="279">
                  <c:v>26.67</c:v>
                </c:pt>
                <c:pt idx="280">
                  <c:v>26.67</c:v>
                </c:pt>
                <c:pt idx="281">
                  <c:v>23.42</c:v>
                </c:pt>
                <c:pt idx="282">
                  <c:v>11.67</c:v>
                </c:pt>
                <c:pt idx="283">
                  <c:v>11.67</c:v>
                </c:pt>
                <c:pt idx="284">
                  <c:v>11.67</c:v>
                </c:pt>
                <c:pt idx="285">
                  <c:v>13.42</c:v>
                </c:pt>
                <c:pt idx="286">
                  <c:v>11.67</c:v>
                </c:pt>
                <c:pt idx="287">
                  <c:v>11.67</c:v>
                </c:pt>
                <c:pt idx="288">
                  <c:v>11.67</c:v>
                </c:pt>
                <c:pt idx="289">
                  <c:v>13.42</c:v>
                </c:pt>
                <c:pt idx="290">
                  <c:v>21.67</c:v>
                </c:pt>
                <c:pt idx="291">
                  <c:v>21.67</c:v>
                </c:pt>
                <c:pt idx="292">
                  <c:v>21.67</c:v>
                </c:pt>
                <c:pt idx="293">
                  <c:v>28.42</c:v>
                </c:pt>
                <c:pt idx="294">
                  <c:v>26.67</c:v>
                </c:pt>
                <c:pt idx="295">
                  <c:v>26.67</c:v>
                </c:pt>
                <c:pt idx="296">
                  <c:v>26.67</c:v>
                </c:pt>
                <c:pt idx="297">
                  <c:v>28.42</c:v>
                </c:pt>
                <c:pt idx="298">
                  <c:v>31.67</c:v>
                </c:pt>
                <c:pt idx="299">
                  <c:v>31.67</c:v>
                </c:pt>
                <c:pt idx="300">
                  <c:v>31.67</c:v>
                </c:pt>
                <c:pt idx="301">
                  <c:v>38.42</c:v>
                </c:pt>
                <c:pt idx="302">
                  <c:v>41.67</c:v>
                </c:pt>
                <c:pt idx="303">
                  <c:v>41.67</c:v>
                </c:pt>
                <c:pt idx="304">
                  <c:v>41.67</c:v>
                </c:pt>
                <c:pt idx="305">
                  <c:v>53.42</c:v>
                </c:pt>
                <c:pt idx="306">
                  <c:v>51.67</c:v>
                </c:pt>
                <c:pt idx="307">
                  <c:v>51.67</c:v>
                </c:pt>
                <c:pt idx="308">
                  <c:v>51.67</c:v>
                </c:pt>
                <c:pt idx="309">
                  <c:v>53.42</c:v>
                </c:pt>
                <c:pt idx="310">
                  <c:v>53.42</c:v>
                </c:pt>
              </c:numCache>
            </c:numRef>
          </c:xVal>
          <c:yVal>
            <c:numRef>
              <c:f>Sheet10_HID!$B$1:$B$311</c:f>
              <c:numCache>
                <c:formatCode>General</c:formatCode>
                <c:ptCount val="311"/>
                <c:pt idx="0">
                  <c:v>18.579999999999998</c:v>
                </c:pt>
                <c:pt idx="1">
                  <c:v>18.579999999999998</c:v>
                </c:pt>
                <c:pt idx="2">
                  <c:v>18.579999999999998</c:v>
                </c:pt>
                <c:pt idx="3">
                  <c:v>18.579999999999998</c:v>
                </c:pt>
                <c:pt idx="4">
                  <c:v>28.58</c:v>
                </c:pt>
                <c:pt idx="5">
                  <c:v>26.58</c:v>
                </c:pt>
                <c:pt idx="6">
                  <c:v>17.579999999999998</c:v>
                </c:pt>
                <c:pt idx="7">
                  <c:v>27.58</c:v>
                </c:pt>
                <c:pt idx="8">
                  <c:v>27.58</c:v>
                </c:pt>
                <c:pt idx="9">
                  <c:v>37.58</c:v>
                </c:pt>
                <c:pt idx="10">
                  <c:v>28.58</c:v>
                </c:pt>
                <c:pt idx="11">
                  <c:v>1.83</c:v>
                </c:pt>
                <c:pt idx="12">
                  <c:v>8.83</c:v>
                </c:pt>
                <c:pt idx="13">
                  <c:v>8.83</c:v>
                </c:pt>
                <c:pt idx="14">
                  <c:v>8.83</c:v>
                </c:pt>
                <c:pt idx="15">
                  <c:v>16.829999999999998</c:v>
                </c:pt>
                <c:pt idx="16">
                  <c:v>19.829999999999998</c:v>
                </c:pt>
                <c:pt idx="17">
                  <c:v>18.329999999999998</c:v>
                </c:pt>
                <c:pt idx="18">
                  <c:v>14.83</c:v>
                </c:pt>
                <c:pt idx="19">
                  <c:v>12</c:v>
                </c:pt>
                <c:pt idx="20">
                  <c:v>27</c:v>
                </c:pt>
                <c:pt idx="21">
                  <c:v>42</c:v>
                </c:pt>
                <c:pt idx="22">
                  <c:v>46</c:v>
                </c:pt>
                <c:pt idx="23">
                  <c:v>46</c:v>
                </c:pt>
                <c:pt idx="24">
                  <c:v>57</c:v>
                </c:pt>
                <c:pt idx="25">
                  <c:v>55.75</c:v>
                </c:pt>
                <c:pt idx="26">
                  <c:v>55.75</c:v>
                </c:pt>
                <c:pt idx="27">
                  <c:v>55.75</c:v>
                </c:pt>
                <c:pt idx="28">
                  <c:v>57</c:v>
                </c:pt>
                <c:pt idx="29">
                  <c:v>77</c:v>
                </c:pt>
                <c:pt idx="30">
                  <c:v>76</c:v>
                </c:pt>
                <c:pt idx="31">
                  <c:v>75</c:v>
                </c:pt>
                <c:pt idx="32">
                  <c:v>75</c:v>
                </c:pt>
                <c:pt idx="33">
                  <c:v>36</c:v>
                </c:pt>
                <c:pt idx="34">
                  <c:v>56.42</c:v>
                </c:pt>
                <c:pt idx="35">
                  <c:v>45</c:v>
                </c:pt>
                <c:pt idx="36">
                  <c:v>45.42</c:v>
                </c:pt>
                <c:pt idx="37">
                  <c:v>37</c:v>
                </c:pt>
                <c:pt idx="38">
                  <c:v>8</c:v>
                </c:pt>
                <c:pt idx="39">
                  <c:v>2.83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14.83</c:v>
                </c:pt>
                <c:pt idx="44">
                  <c:v>16.829999999999998</c:v>
                </c:pt>
                <c:pt idx="45">
                  <c:v>16.829999999999998</c:v>
                </c:pt>
                <c:pt idx="46">
                  <c:v>16.829999999999998</c:v>
                </c:pt>
                <c:pt idx="47">
                  <c:v>11</c:v>
                </c:pt>
                <c:pt idx="48">
                  <c:v>42.75</c:v>
                </c:pt>
                <c:pt idx="49">
                  <c:v>43.17</c:v>
                </c:pt>
                <c:pt idx="50">
                  <c:v>43.17</c:v>
                </c:pt>
                <c:pt idx="51">
                  <c:v>42.75</c:v>
                </c:pt>
                <c:pt idx="52">
                  <c:v>42.75</c:v>
                </c:pt>
                <c:pt idx="53">
                  <c:v>31.75</c:v>
                </c:pt>
                <c:pt idx="54">
                  <c:v>31.75</c:v>
                </c:pt>
                <c:pt idx="55">
                  <c:v>31.75</c:v>
                </c:pt>
                <c:pt idx="56">
                  <c:v>36.75</c:v>
                </c:pt>
                <c:pt idx="57">
                  <c:v>44.75</c:v>
                </c:pt>
                <c:pt idx="58">
                  <c:v>36.75</c:v>
                </c:pt>
                <c:pt idx="59">
                  <c:v>55.75</c:v>
                </c:pt>
                <c:pt idx="60">
                  <c:v>40.17</c:v>
                </c:pt>
                <c:pt idx="61">
                  <c:v>56.75</c:v>
                </c:pt>
                <c:pt idx="62">
                  <c:v>26.42</c:v>
                </c:pt>
                <c:pt idx="63">
                  <c:v>66</c:v>
                </c:pt>
                <c:pt idx="64">
                  <c:v>13.33</c:v>
                </c:pt>
                <c:pt idx="65">
                  <c:v>38.75</c:v>
                </c:pt>
                <c:pt idx="66">
                  <c:v>38.75</c:v>
                </c:pt>
                <c:pt idx="67">
                  <c:v>38.75</c:v>
                </c:pt>
                <c:pt idx="68">
                  <c:v>38.75</c:v>
                </c:pt>
                <c:pt idx="69">
                  <c:v>38.75</c:v>
                </c:pt>
                <c:pt idx="70">
                  <c:v>38.75</c:v>
                </c:pt>
                <c:pt idx="71">
                  <c:v>54.75</c:v>
                </c:pt>
                <c:pt idx="72">
                  <c:v>25.75</c:v>
                </c:pt>
                <c:pt idx="73">
                  <c:v>25.75</c:v>
                </c:pt>
                <c:pt idx="74">
                  <c:v>54.75</c:v>
                </c:pt>
                <c:pt idx="75">
                  <c:v>23.75</c:v>
                </c:pt>
                <c:pt idx="76">
                  <c:v>73.08</c:v>
                </c:pt>
                <c:pt idx="77">
                  <c:v>57.75</c:v>
                </c:pt>
                <c:pt idx="78">
                  <c:v>56.75</c:v>
                </c:pt>
                <c:pt idx="79">
                  <c:v>57.75</c:v>
                </c:pt>
                <c:pt idx="80">
                  <c:v>58.17</c:v>
                </c:pt>
                <c:pt idx="81">
                  <c:v>62</c:v>
                </c:pt>
                <c:pt idx="82">
                  <c:v>9.09</c:v>
                </c:pt>
                <c:pt idx="83">
                  <c:v>16.25</c:v>
                </c:pt>
                <c:pt idx="84">
                  <c:v>16.25</c:v>
                </c:pt>
                <c:pt idx="85">
                  <c:v>16.25</c:v>
                </c:pt>
                <c:pt idx="86">
                  <c:v>16.25</c:v>
                </c:pt>
                <c:pt idx="87">
                  <c:v>16.25</c:v>
                </c:pt>
                <c:pt idx="88">
                  <c:v>16.25</c:v>
                </c:pt>
                <c:pt idx="89">
                  <c:v>29.17</c:v>
                </c:pt>
                <c:pt idx="90">
                  <c:v>21.19</c:v>
                </c:pt>
                <c:pt idx="91">
                  <c:v>20.190000000000001</c:v>
                </c:pt>
                <c:pt idx="92">
                  <c:v>20.190000000000001</c:v>
                </c:pt>
                <c:pt idx="93">
                  <c:v>36.19</c:v>
                </c:pt>
                <c:pt idx="94">
                  <c:v>26.19</c:v>
                </c:pt>
                <c:pt idx="95">
                  <c:v>22.19</c:v>
                </c:pt>
                <c:pt idx="96">
                  <c:v>29.51</c:v>
                </c:pt>
                <c:pt idx="97">
                  <c:v>26.51</c:v>
                </c:pt>
                <c:pt idx="98">
                  <c:v>27.09</c:v>
                </c:pt>
                <c:pt idx="99">
                  <c:v>34.51</c:v>
                </c:pt>
                <c:pt idx="100">
                  <c:v>37.090000000000003</c:v>
                </c:pt>
                <c:pt idx="101">
                  <c:v>31.51</c:v>
                </c:pt>
                <c:pt idx="102">
                  <c:v>55.42</c:v>
                </c:pt>
                <c:pt idx="103">
                  <c:v>28.84</c:v>
                </c:pt>
                <c:pt idx="104">
                  <c:v>14.42</c:v>
                </c:pt>
                <c:pt idx="105">
                  <c:v>22.42</c:v>
                </c:pt>
                <c:pt idx="106">
                  <c:v>42.42</c:v>
                </c:pt>
                <c:pt idx="107">
                  <c:v>55.42</c:v>
                </c:pt>
                <c:pt idx="108">
                  <c:v>14.42</c:v>
                </c:pt>
                <c:pt idx="109">
                  <c:v>21.92</c:v>
                </c:pt>
                <c:pt idx="110">
                  <c:v>21.92</c:v>
                </c:pt>
                <c:pt idx="111">
                  <c:v>21.92</c:v>
                </c:pt>
                <c:pt idx="112">
                  <c:v>21.92</c:v>
                </c:pt>
                <c:pt idx="113">
                  <c:v>21.92</c:v>
                </c:pt>
                <c:pt idx="114">
                  <c:v>21.92</c:v>
                </c:pt>
                <c:pt idx="115">
                  <c:v>22.42</c:v>
                </c:pt>
                <c:pt idx="116">
                  <c:v>32.090000000000003</c:v>
                </c:pt>
                <c:pt idx="117">
                  <c:v>32.090000000000003</c:v>
                </c:pt>
                <c:pt idx="118">
                  <c:v>32.090000000000003</c:v>
                </c:pt>
                <c:pt idx="119">
                  <c:v>32.090000000000003</c:v>
                </c:pt>
                <c:pt idx="120">
                  <c:v>32.090000000000003</c:v>
                </c:pt>
                <c:pt idx="121">
                  <c:v>32.090000000000003</c:v>
                </c:pt>
                <c:pt idx="122">
                  <c:v>46.59</c:v>
                </c:pt>
                <c:pt idx="123">
                  <c:v>55.51</c:v>
                </c:pt>
                <c:pt idx="124">
                  <c:v>56.51</c:v>
                </c:pt>
                <c:pt idx="125">
                  <c:v>67.09</c:v>
                </c:pt>
                <c:pt idx="126">
                  <c:v>57.09</c:v>
                </c:pt>
                <c:pt idx="127">
                  <c:v>67.09</c:v>
                </c:pt>
                <c:pt idx="128">
                  <c:v>55.09</c:v>
                </c:pt>
                <c:pt idx="129">
                  <c:v>50.34</c:v>
                </c:pt>
                <c:pt idx="130">
                  <c:v>50.34</c:v>
                </c:pt>
                <c:pt idx="131">
                  <c:v>45.34</c:v>
                </c:pt>
                <c:pt idx="132">
                  <c:v>47.76</c:v>
                </c:pt>
                <c:pt idx="133">
                  <c:v>41.51</c:v>
                </c:pt>
                <c:pt idx="134">
                  <c:v>41.09</c:v>
                </c:pt>
                <c:pt idx="135">
                  <c:v>19.25</c:v>
                </c:pt>
                <c:pt idx="136">
                  <c:v>19.25</c:v>
                </c:pt>
                <c:pt idx="137">
                  <c:v>19.25</c:v>
                </c:pt>
                <c:pt idx="138">
                  <c:v>19.25</c:v>
                </c:pt>
                <c:pt idx="139">
                  <c:v>19.25</c:v>
                </c:pt>
                <c:pt idx="140">
                  <c:v>19.25</c:v>
                </c:pt>
                <c:pt idx="141">
                  <c:v>28.25</c:v>
                </c:pt>
                <c:pt idx="142">
                  <c:v>28.25</c:v>
                </c:pt>
                <c:pt idx="143">
                  <c:v>28.25</c:v>
                </c:pt>
                <c:pt idx="144">
                  <c:v>28.25</c:v>
                </c:pt>
                <c:pt idx="145">
                  <c:v>28.25</c:v>
                </c:pt>
                <c:pt idx="146">
                  <c:v>28.25</c:v>
                </c:pt>
                <c:pt idx="147">
                  <c:v>32.42</c:v>
                </c:pt>
                <c:pt idx="148">
                  <c:v>32.42</c:v>
                </c:pt>
                <c:pt idx="149">
                  <c:v>32.42</c:v>
                </c:pt>
                <c:pt idx="150">
                  <c:v>32.42</c:v>
                </c:pt>
                <c:pt idx="151">
                  <c:v>32.42</c:v>
                </c:pt>
                <c:pt idx="152">
                  <c:v>32.42</c:v>
                </c:pt>
                <c:pt idx="153">
                  <c:v>56.92</c:v>
                </c:pt>
                <c:pt idx="154">
                  <c:v>60.92</c:v>
                </c:pt>
                <c:pt idx="155">
                  <c:v>59.92</c:v>
                </c:pt>
                <c:pt idx="156">
                  <c:v>59.34</c:v>
                </c:pt>
                <c:pt idx="157">
                  <c:v>57.92</c:v>
                </c:pt>
                <c:pt idx="158">
                  <c:v>47.42</c:v>
                </c:pt>
                <c:pt idx="159">
                  <c:v>48.42</c:v>
                </c:pt>
                <c:pt idx="160">
                  <c:v>48.42</c:v>
                </c:pt>
                <c:pt idx="161">
                  <c:v>48.42</c:v>
                </c:pt>
                <c:pt idx="162">
                  <c:v>45.09</c:v>
                </c:pt>
                <c:pt idx="163">
                  <c:v>22.09</c:v>
                </c:pt>
                <c:pt idx="164">
                  <c:v>26.64</c:v>
                </c:pt>
                <c:pt idx="165">
                  <c:v>26.64</c:v>
                </c:pt>
                <c:pt idx="166">
                  <c:v>26.64</c:v>
                </c:pt>
                <c:pt idx="167">
                  <c:v>22.09</c:v>
                </c:pt>
                <c:pt idx="168">
                  <c:v>29.34</c:v>
                </c:pt>
                <c:pt idx="169">
                  <c:v>29.34</c:v>
                </c:pt>
                <c:pt idx="170">
                  <c:v>29.34</c:v>
                </c:pt>
                <c:pt idx="171">
                  <c:v>37.090000000000003</c:v>
                </c:pt>
                <c:pt idx="172">
                  <c:v>34.340000000000003</c:v>
                </c:pt>
                <c:pt idx="173">
                  <c:v>35.340000000000003</c:v>
                </c:pt>
                <c:pt idx="174">
                  <c:v>29.34</c:v>
                </c:pt>
                <c:pt idx="175">
                  <c:v>59.09</c:v>
                </c:pt>
                <c:pt idx="176">
                  <c:v>61.34</c:v>
                </c:pt>
                <c:pt idx="177">
                  <c:v>60.34</c:v>
                </c:pt>
                <c:pt idx="178">
                  <c:v>61.34</c:v>
                </c:pt>
                <c:pt idx="179">
                  <c:v>49.09</c:v>
                </c:pt>
                <c:pt idx="180">
                  <c:v>11.59</c:v>
                </c:pt>
                <c:pt idx="181">
                  <c:v>14.09</c:v>
                </c:pt>
                <c:pt idx="182">
                  <c:v>26.5</c:v>
                </c:pt>
                <c:pt idx="183">
                  <c:v>24.5</c:v>
                </c:pt>
                <c:pt idx="184">
                  <c:v>33.92</c:v>
                </c:pt>
                <c:pt idx="185">
                  <c:v>32.92</c:v>
                </c:pt>
                <c:pt idx="186">
                  <c:v>16.09</c:v>
                </c:pt>
                <c:pt idx="187">
                  <c:v>18.510000000000002</c:v>
                </c:pt>
                <c:pt idx="188">
                  <c:v>28.09</c:v>
                </c:pt>
                <c:pt idx="189">
                  <c:v>29.09</c:v>
                </c:pt>
                <c:pt idx="190">
                  <c:v>29.09</c:v>
                </c:pt>
                <c:pt idx="191">
                  <c:v>14.09</c:v>
                </c:pt>
                <c:pt idx="192">
                  <c:v>14.09</c:v>
                </c:pt>
                <c:pt idx="193">
                  <c:v>14.09</c:v>
                </c:pt>
                <c:pt idx="194">
                  <c:v>14.09</c:v>
                </c:pt>
                <c:pt idx="195">
                  <c:v>14.09</c:v>
                </c:pt>
                <c:pt idx="196">
                  <c:v>23.25</c:v>
                </c:pt>
                <c:pt idx="197">
                  <c:v>23.25</c:v>
                </c:pt>
                <c:pt idx="198">
                  <c:v>23.25</c:v>
                </c:pt>
                <c:pt idx="199">
                  <c:v>23.25</c:v>
                </c:pt>
                <c:pt idx="200">
                  <c:v>23.25</c:v>
                </c:pt>
                <c:pt idx="201">
                  <c:v>26.25</c:v>
                </c:pt>
                <c:pt idx="202">
                  <c:v>29.25</c:v>
                </c:pt>
                <c:pt idx="203">
                  <c:v>31.25</c:v>
                </c:pt>
                <c:pt idx="204">
                  <c:v>30.25</c:v>
                </c:pt>
                <c:pt idx="205">
                  <c:v>31.25</c:v>
                </c:pt>
                <c:pt idx="206">
                  <c:v>31.25</c:v>
                </c:pt>
                <c:pt idx="207">
                  <c:v>32.25</c:v>
                </c:pt>
                <c:pt idx="208">
                  <c:v>31.25</c:v>
                </c:pt>
                <c:pt idx="209">
                  <c:v>32.25</c:v>
                </c:pt>
                <c:pt idx="210">
                  <c:v>31.25</c:v>
                </c:pt>
                <c:pt idx="211">
                  <c:v>32.25</c:v>
                </c:pt>
                <c:pt idx="212">
                  <c:v>31.25</c:v>
                </c:pt>
                <c:pt idx="213">
                  <c:v>29.25</c:v>
                </c:pt>
                <c:pt idx="214">
                  <c:v>61.5</c:v>
                </c:pt>
                <c:pt idx="215">
                  <c:v>61.5</c:v>
                </c:pt>
                <c:pt idx="216">
                  <c:v>58.5</c:v>
                </c:pt>
                <c:pt idx="217">
                  <c:v>57.92</c:v>
                </c:pt>
                <c:pt idx="218">
                  <c:v>57.5</c:v>
                </c:pt>
                <c:pt idx="219">
                  <c:v>51.5</c:v>
                </c:pt>
                <c:pt idx="220">
                  <c:v>51.5</c:v>
                </c:pt>
                <c:pt idx="221">
                  <c:v>49.5</c:v>
                </c:pt>
                <c:pt idx="222">
                  <c:v>48.5</c:v>
                </c:pt>
                <c:pt idx="223">
                  <c:v>49.09</c:v>
                </c:pt>
                <c:pt idx="224">
                  <c:v>52.09</c:v>
                </c:pt>
                <c:pt idx="225">
                  <c:v>23.25</c:v>
                </c:pt>
                <c:pt idx="226">
                  <c:v>21.25</c:v>
                </c:pt>
                <c:pt idx="227">
                  <c:v>22.5</c:v>
                </c:pt>
                <c:pt idx="228">
                  <c:v>22.5</c:v>
                </c:pt>
                <c:pt idx="229">
                  <c:v>27.5</c:v>
                </c:pt>
                <c:pt idx="230">
                  <c:v>25.92</c:v>
                </c:pt>
                <c:pt idx="231">
                  <c:v>37.25</c:v>
                </c:pt>
                <c:pt idx="232">
                  <c:v>22.92</c:v>
                </c:pt>
                <c:pt idx="233">
                  <c:v>26.92</c:v>
                </c:pt>
                <c:pt idx="234">
                  <c:v>21.5</c:v>
                </c:pt>
                <c:pt idx="235">
                  <c:v>22.5</c:v>
                </c:pt>
                <c:pt idx="236">
                  <c:v>33.5</c:v>
                </c:pt>
                <c:pt idx="237">
                  <c:v>33.5</c:v>
                </c:pt>
                <c:pt idx="238">
                  <c:v>31.5</c:v>
                </c:pt>
                <c:pt idx="239">
                  <c:v>32.5</c:v>
                </c:pt>
                <c:pt idx="240">
                  <c:v>14.5</c:v>
                </c:pt>
                <c:pt idx="241">
                  <c:v>17.5</c:v>
                </c:pt>
                <c:pt idx="242">
                  <c:v>14.5</c:v>
                </c:pt>
                <c:pt idx="243">
                  <c:v>14.5</c:v>
                </c:pt>
                <c:pt idx="244">
                  <c:v>17.5</c:v>
                </c:pt>
                <c:pt idx="245">
                  <c:v>17.5</c:v>
                </c:pt>
                <c:pt idx="246">
                  <c:v>17.5</c:v>
                </c:pt>
                <c:pt idx="247">
                  <c:v>17.5</c:v>
                </c:pt>
                <c:pt idx="248">
                  <c:v>26.5</c:v>
                </c:pt>
                <c:pt idx="249">
                  <c:v>31.5</c:v>
                </c:pt>
                <c:pt idx="250">
                  <c:v>28.5</c:v>
                </c:pt>
                <c:pt idx="251">
                  <c:v>26.5</c:v>
                </c:pt>
                <c:pt idx="252">
                  <c:v>34.5</c:v>
                </c:pt>
                <c:pt idx="253">
                  <c:v>34.5</c:v>
                </c:pt>
                <c:pt idx="254">
                  <c:v>34.5</c:v>
                </c:pt>
                <c:pt idx="255">
                  <c:v>34.5</c:v>
                </c:pt>
                <c:pt idx="256">
                  <c:v>29.92</c:v>
                </c:pt>
                <c:pt idx="257">
                  <c:v>30.92</c:v>
                </c:pt>
                <c:pt idx="258">
                  <c:v>31.5</c:v>
                </c:pt>
                <c:pt idx="259">
                  <c:v>34.5</c:v>
                </c:pt>
                <c:pt idx="260">
                  <c:v>66.5</c:v>
                </c:pt>
                <c:pt idx="261">
                  <c:v>69.5</c:v>
                </c:pt>
                <c:pt idx="262">
                  <c:v>68.5</c:v>
                </c:pt>
                <c:pt idx="263">
                  <c:v>66.5</c:v>
                </c:pt>
                <c:pt idx="264">
                  <c:v>53.34</c:v>
                </c:pt>
                <c:pt idx="265">
                  <c:v>54.34</c:v>
                </c:pt>
                <c:pt idx="266">
                  <c:v>61.76</c:v>
                </c:pt>
                <c:pt idx="267">
                  <c:v>51.34</c:v>
                </c:pt>
                <c:pt idx="268">
                  <c:v>52.09</c:v>
                </c:pt>
                <c:pt idx="269">
                  <c:v>52.09</c:v>
                </c:pt>
                <c:pt idx="270">
                  <c:v>52.09</c:v>
                </c:pt>
                <c:pt idx="271">
                  <c:v>38.25</c:v>
                </c:pt>
                <c:pt idx="272">
                  <c:v>43.25</c:v>
                </c:pt>
                <c:pt idx="273">
                  <c:v>50.25</c:v>
                </c:pt>
                <c:pt idx="274">
                  <c:v>29.5</c:v>
                </c:pt>
                <c:pt idx="275">
                  <c:v>29.5</c:v>
                </c:pt>
                <c:pt idx="276">
                  <c:v>38</c:v>
                </c:pt>
                <c:pt idx="277">
                  <c:v>31.69</c:v>
                </c:pt>
                <c:pt idx="278">
                  <c:v>27.34</c:v>
                </c:pt>
                <c:pt idx="279">
                  <c:v>32.340000000000003</c:v>
                </c:pt>
                <c:pt idx="280">
                  <c:v>26.76</c:v>
                </c:pt>
                <c:pt idx="281">
                  <c:v>10.51</c:v>
                </c:pt>
                <c:pt idx="282">
                  <c:v>18.34</c:v>
                </c:pt>
                <c:pt idx="283">
                  <c:v>18.34</c:v>
                </c:pt>
                <c:pt idx="284">
                  <c:v>18.34</c:v>
                </c:pt>
                <c:pt idx="285">
                  <c:v>8.09</c:v>
                </c:pt>
                <c:pt idx="286">
                  <c:v>22.34</c:v>
                </c:pt>
                <c:pt idx="287">
                  <c:v>21.34</c:v>
                </c:pt>
                <c:pt idx="288">
                  <c:v>21.34</c:v>
                </c:pt>
                <c:pt idx="289">
                  <c:v>16.09</c:v>
                </c:pt>
                <c:pt idx="290">
                  <c:v>29.34</c:v>
                </c:pt>
                <c:pt idx="291">
                  <c:v>30.34</c:v>
                </c:pt>
                <c:pt idx="292">
                  <c:v>30.34</c:v>
                </c:pt>
                <c:pt idx="293">
                  <c:v>31.09</c:v>
                </c:pt>
                <c:pt idx="294">
                  <c:v>24.34</c:v>
                </c:pt>
                <c:pt idx="295">
                  <c:v>35.340000000000003</c:v>
                </c:pt>
                <c:pt idx="296">
                  <c:v>35.340000000000003</c:v>
                </c:pt>
                <c:pt idx="297">
                  <c:v>37.090000000000003</c:v>
                </c:pt>
                <c:pt idx="298">
                  <c:v>37.340000000000003</c:v>
                </c:pt>
                <c:pt idx="299">
                  <c:v>37.340000000000003</c:v>
                </c:pt>
                <c:pt idx="300">
                  <c:v>39.76</c:v>
                </c:pt>
                <c:pt idx="301">
                  <c:v>63.09</c:v>
                </c:pt>
                <c:pt idx="302">
                  <c:v>67.34</c:v>
                </c:pt>
                <c:pt idx="303">
                  <c:v>67.34</c:v>
                </c:pt>
                <c:pt idx="304">
                  <c:v>67.34</c:v>
                </c:pt>
                <c:pt idx="305">
                  <c:v>64.09</c:v>
                </c:pt>
                <c:pt idx="306">
                  <c:v>51.34</c:v>
                </c:pt>
                <c:pt idx="307">
                  <c:v>50.76</c:v>
                </c:pt>
                <c:pt idx="308">
                  <c:v>46.34</c:v>
                </c:pt>
                <c:pt idx="309">
                  <c:v>50.09</c:v>
                </c:pt>
                <c:pt idx="310">
                  <c:v>49.09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8D-4CB4-A704-F36E3080C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73792"/>
        <c:axId val="197475712"/>
      </c:scatterChart>
      <c:valAx>
        <c:axId val="197473792"/>
        <c:scaling>
          <c:orientation val="maxMin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Estimated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97475712"/>
        <c:crosses val="autoZero"/>
        <c:crossBetween val="midCat"/>
      </c:valAx>
      <c:valAx>
        <c:axId val="197475712"/>
        <c:scaling>
          <c:orientation val="minMax"/>
          <c:max val="8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Actual Pile Length (ft.)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97473792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0" noThreeD="1" sel="0" val="0">
  <itemLst>
    <item val="Summary statistics"/>
    <item val="Correlation matrix"/>
    <item val="Regression of variable Unemployment Rate (July 1999)"/>
    <item val="Goodness of fit statistics (Unemployment Rate (July 1999))"/>
    <item val="Analysis of variance (Unemployment Rate (July 1999))"/>
    <item val="Model parameters (Unemployment Rate (July 1999))"/>
    <item val="Equation of the model (Unemployment Rate (July 1999))"/>
    <item val="Standardized coefficients (Unemployment Rate (July 1999))"/>
    <item val="Predictions and residuals (Unemployment Rate (July 1999))"/>
    <item val="Interpretation (Unemployment Rate (July 1999))"/>
  </itemLst>
</formControlPr>
</file>

<file path=xl/ctrlProps/ctrlProp2.xml><?xml version="1.0" encoding="utf-8"?>
<formControlPr xmlns="http://schemas.microsoft.com/office/spreadsheetml/2009/9/main" objectType="Drop" dropStyle="combo" dx="20" noThreeD="1" sel="0" val="0">
  <itemLst>
    <item val="Summary statistics"/>
    <item val="Correlation matrix"/>
    <item val="Regression of variable Points/Game"/>
    <item val="Goodness of fit statistics (Points/Game)"/>
    <item val="Analysis of variance (Points/Game)"/>
    <item val="Model parameters (Points/Game)"/>
    <item val="Equation of the model (Points/Game)"/>
    <item val="Standardized coefficients (Points/Game)"/>
    <item val="Predictions and residuals (Points/Game)"/>
    <item val="Interpretation (Points/Game)"/>
  </itemLst>
</formControlPr>
</file>

<file path=xl/ctrlProps/ctrlProp3.xml><?xml version="1.0" encoding="utf-8"?>
<formControlPr xmlns="http://schemas.microsoft.com/office/spreadsheetml/2009/9/main" objectType="Drop" dropStyle="combo" dx="20" noThreeD="1" sel="0" val="0">
  <itemLst>
    <item val="Summary statistics"/>
    <item val="Correlation matrix"/>
    <item val="Regression of variable Wedding cost"/>
    <item val="Goodness of fit statistics (Wedding cost)"/>
    <item val="Analysis of variance (Wedding cost)"/>
    <item val="Model parameters (Wedding cost)"/>
    <item val="Equation of the model (Wedding cost)"/>
    <item val="Standardized coefficients (Wedding cost)"/>
    <item val="Predictions and residuals (Wedding cost)"/>
    <item val="Interpretation (Wedding cost)"/>
  </itemLst>
</formControlPr>
</file>

<file path=xl/ctrlProps/ctrlProp4.xml><?xml version="1.0" encoding="utf-8"?>
<formControlPr xmlns="http://schemas.microsoft.com/office/spreadsheetml/2009/9/main" objectType="Drop" dropStyle="combo" dx="20" noThreeD="1" sel="0" val="0">
  <itemLst>
    <item val="Summary statistics"/>
    <item val="Correlation matrix"/>
    <item val="Regression of variable Actual Pile Length (ft.)"/>
    <item val="Goodness of fit statistics (Actual Pile Length (ft.))"/>
    <item val="Analysis of variance (Actual Pile Length (ft.))"/>
    <item val="Model parameters (Actual Pile Length (ft.))"/>
    <item val="Equation of the model (Actual Pile Length (ft.))"/>
    <item val="Standardized coefficients (Actual Pile Length (ft.))"/>
    <item val="Predictions and residuals (Actual Pile Length (ft.))"/>
    <item val="Interpretation (Actual Pile Length (ft.))"/>
  </itemLst>
</formControlPr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6.xml"/><Relationship Id="rId5" Type="http://schemas.openxmlformats.org/officeDocument/2006/relationships/image" Target="../media/image5.png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image" Target="../media/image3.png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14.xml"/><Relationship Id="rId5" Type="http://schemas.openxmlformats.org/officeDocument/2006/relationships/image" Target="../media/image5.png"/><Relationship Id="rId10" Type="http://schemas.openxmlformats.org/officeDocument/2006/relationships/chart" Target="../charts/chart13.xml"/><Relationship Id="rId4" Type="http://schemas.openxmlformats.org/officeDocument/2006/relationships/image" Target="../media/image4.png"/><Relationship Id="rId9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image" Target="../media/image3.png"/><Relationship Id="rId7" Type="http://schemas.openxmlformats.org/officeDocument/2006/relationships/chart" Target="../charts/chart1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7.xm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image" Target="../media/image3.png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5.xml"/><Relationship Id="rId5" Type="http://schemas.openxmlformats.org/officeDocument/2006/relationships/image" Target="../media/image5.png"/><Relationship Id="rId10" Type="http://schemas.openxmlformats.org/officeDocument/2006/relationships/chart" Target="../charts/chart24.xml"/><Relationship Id="rId4" Type="http://schemas.openxmlformats.org/officeDocument/2006/relationships/image" Target="../media/image4.png"/><Relationship Id="rId9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3" Type="http://schemas.openxmlformats.org/officeDocument/2006/relationships/image" Target="../media/image3.png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3.xml"/><Relationship Id="rId5" Type="http://schemas.openxmlformats.org/officeDocument/2006/relationships/image" Target="../media/image5.png"/><Relationship Id="rId10" Type="http://schemas.openxmlformats.org/officeDocument/2006/relationships/chart" Target="../charts/chart32.xml"/><Relationship Id="rId4" Type="http://schemas.openxmlformats.org/officeDocument/2006/relationships/image" Target="../media/image4.png"/><Relationship Id="rId9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6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186690</xdr:rowOff>
    </xdr:from>
    <xdr:to>
      <xdr:col>11</xdr:col>
      <xdr:colOff>22860</xdr:colOff>
      <xdr:row>20</xdr:row>
      <xdr:rowOff>30480</xdr:rowOff>
    </xdr:to>
    <xdr:graphicFrame macro="">
      <xdr:nvGraphicFramePr>
        <xdr:cNvPr id="2" name="Chart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929363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20904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CheckBoxMultiCo,CheckBox,-1,True,500000000200_Outputs|General,True,Multicolinearity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TextBox_Threshold,TextBox,0.1,False,100000000901_Options|Model,False,Probability for removal:,False,,,
TextBox_MinVar,TextBox,2,True,100000000501_Options|Model,True,Min variables:,False,,,
TextBox_MaxVar,TextBox,2,True,100000000701_Options|Model,True,Max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CheckBox_Predict,CheckBox,0,True,300000000000_Prediction,True,Prediction,False,,,
CheckBox_ObsLabelsPred,CheckBox,0,True,300000000700_Prediction,True,Observation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FileSelect2,CommandButton,,False,300000001000_Prediction,False,,False,,,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CheckBox_PredVarLabels,CheckBox,0,True,300000000900_Prediction,True,Variable labels,False,,,
ScrollBarLevel,SpinButton,2,False,100000020100_Options|Model,False,,,,,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RefEdit_QPred,TextBox0,,True,300000000600_Prediction,True,Qualitative:,False,,,
RefEdit_XPred,TextBox0,,True,300000000400_Prediction,True,Quantitative:,False,,,
RefEdit_PredLabels,TextBox0,,True,300000000800_Prediction,True,,False,,,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RefEdit_Y,TextBox0,'Sheet2'!$C$4:$C$135,True,000000020000_General,True,Y / Dependent variables:,False,,132,1
RefEdit_X,TextBox0,'Sheet2'!$D$4:$D$135,True,000002040000_General,True,X / Explanatory variables:,False,,132,1
RefEdit_Q,TextBox0,,True,000004040000_General,True,Qualitative:,False,,,
RefEdit_G,TextBox0,,True,000000070101_General,True,Groups:,False,,,
RefEditClusters,TextBox0,,True,120000010500_Options|Covariances,True,Clusters:,False,,,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CheckBox_TISS_SV,CheckBox,0,False,000000020201_General,False,Type I/III SS,False,,,
ListBoxPairwise_SV,TextBox,Click to select tests,False,000000030201_General,False,Pairwise comparisons:,False,,,
CheckBoxPairwise_SV,CheckBox,0,False,000000040201_General,False,Pairwise comparisons,False,,,
CheckBoxInterpret_SV,CheckBox,0,True,000000010201_General,True,Interpretation,False,,,
OptionButton_W,OptionButton,0,True,0006,True,Workbook,False,,,
OptionButton_R,OptionButton,-1,True,0106,True,Range,False,,,
OptionButton_S,OptionButton,0,True,0206,True,Sheet,False,,,
RefEdit_R,RefEdit,'Sheet3'!$A$1,True,0306,True,Range:,False,,0,0
CheckBoxGroupsColor,CheckBox,-1,True,000000080101_General,True,Regression by group,False,,,
CheckBox_SV,CheckBox,-1,False,23,False,SV,False,,,
</a:t>
          </a:r>
          <a:endParaRPr lang="ar-EG" sz="1100"/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186816" hidden="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20904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RunProcAIA
Form298.txt
Form53.txt
</a:t>
          </a:r>
          <a:endParaRPr lang="ar-EG" sz="1100"/>
        </a:p>
      </xdr:txBody>
    </xdr:sp>
    <xdr:clientData/>
  </xdr:twoCellAnchor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4" name="L1929363" hidden="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20904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1
ListBox
0
ListBoxPackages
1
30
adegenet,-1
AIDS,-1
cluster,-1
curve_fitting,-1
diptest,-1
dirichlet,-1
formats,-1
gam,-1
glmnet,-1
gstat,-1
ica,-1
kohonen,-1
lmPerm,-1
lmtest,-1
minpack.lm,-1
mixed,-1
neuralnet,-1
plm,-1
plots,-1
prophet,-1
rfit,-1
seasonal,-1
SentimentAnalysis,-1
spacetime,-1
strucchange,-1
survival,-1
TermsSelection,-1
tseries,-1
vars,-1
vegan,-1
</a:t>
          </a:r>
          <a:endParaRPr lang="ar-EG" sz="1100"/>
        </a:p>
      </xdr:txBody>
    </xdr:sp>
    <xdr:clientData/>
  </xdr:twoCellAnchor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5" name="L2929363" hidden="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20904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1
ListBox
0
ListBoxMV
1
6
#N/A,0
N/A,0
NA,0
NULL,0
-,0
*,0
</a:t>
          </a:r>
          <a:endParaRPr lang="ar-EG" sz="1100"/>
        </a:p>
      </xdr:txBody>
    </xdr:sp>
    <xdr:clientData/>
  </xdr:twoCellAnchor>
  <xdr:twoCellAnchor editAs="absolute">
    <xdr:from>
      <xdr:col>0</xdr:col>
      <xdr:colOff>6350</xdr:colOff>
      <xdr:row>4</xdr:row>
      <xdr:rowOff>120650</xdr:rowOff>
    </xdr:from>
    <xdr:to>
      <xdr:col>4</xdr:col>
      <xdr:colOff>6350</xdr:colOff>
      <xdr:row>6</xdr:row>
      <xdr:rowOff>180975</xdr:rowOff>
    </xdr:to>
    <xdr:sp macro="" textlink="">
      <xdr:nvSpPr>
        <xdr:cNvPr id="6" name="BK92936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350" y="1210310"/>
          <a:ext cx="478536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 editAs="absolute">
    <xdr:from>
      <xdr:col>0</xdr:col>
      <xdr:colOff>453602</xdr:colOff>
      <xdr:row>4</xdr:row>
      <xdr:rowOff>168276</xdr:rowOff>
    </xdr:from>
    <xdr:to>
      <xdr:col>0</xdr:col>
      <xdr:colOff>839682</xdr:colOff>
      <xdr:row>6</xdr:row>
      <xdr:rowOff>82411</xdr:rowOff>
    </xdr:to>
    <xdr:pic macro="[0]!ReRunXLSTAT">
      <xdr:nvPicPr>
        <xdr:cNvPr id="7" name="BT92936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602" y="1257936"/>
          <a:ext cx="386080" cy="317995"/>
        </a:xfrm>
        <a:prstGeom prst="rect">
          <a:avLst/>
        </a:prstGeom>
      </xdr:spPr>
    </xdr:pic>
    <xdr:clientData/>
  </xdr:twoCellAnchor>
  <xdr:twoCellAnchor editAs="absolute">
    <xdr:from>
      <xdr:col>1</xdr:col>
      <xdr:colOff>130810</xdr:colOff>
      <xdr:row>4</xdr:row>
      <xdr:rowOff>168276</xdr:rowOff>
    </xdr:from>
    <xdr:to>
      <xdr:col>1</xdr:col>
      <xdr:colOff>516890</xdr:colOff>
      <xdr:row>6</xdr:row>
      <xdr:rowOff>92801</xdr:rowOff>
    </xdr:to>
    <xdr:pic macro="[0]!AddRemovGrid">
      <xdr:nvPicPr>
        <xdr:cNvPr id="9" name="RM92936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150" y="1257936"/>
          <a:ext cx="386080" cy="328385"/>
        </a:xfrm>
        <a:prstGeom prst="rect">
          <a:avLst/>
        </a:prstGeom>
      </xdr:spPr>
    </xdr:pic>
    <xdr:clientData/>
  </xdr:twoCellAnchor>
  <xdr:twoCellAnchor editAs="absolute">
    <xdr:from>
      <xdr:col>1</xdr:col>
      <xdr:colOff>130810</xdr:colOff>
      <xdr:row>4</xdr:row>
      <xdr:rowOff>168276</xdr:rowOff>
    </xdr:from>
    <xdr:to>
      <xdr:col>1</xdr:col>
      <xdr:colOff>516890</xdr:colOff>
      <xdr:row>6</xdr:row>
      <xdr:rowOff>88291</xdr:rowOff>
    </xdr:to>
    <xdr:pic macro="[0]!AddRemovGrid">
      <xdr:nvPicPr>
        <xdr:cNvPr id="10" name="AD929363" hidden="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7150" y="1257936"/>
          <a:ext cx="386080" cy="323875"/>
        </a:xfrm>
        <a:prstGeom prst="rect">
          <a:avLst/>
        </a:prstGeom>
      </xdr:spPr>
    </xdr:pic>
    <xdr:clientData/>
  </xdr:twoCellAnchor>
  <xdr:twoCellAnchor editAs="absolute">
    <xdr:from>
      <xdr:col>1</xdr:col>
      <xdr:colOff>1004358</xdr:colOff>
      <xdr:row>4</xdr:row>
      <xdr:rowOff>168275</xdr:rowOff>
    </xdr:from>
    <xdr:to>
      <xdr:col>2</xdr:col>
      <xdr:colOff>194098</xdr:colOff>
      <xdr:row>6</xdr:row>
      <xdr:rowOff>89837</xdr:rowOff>
    </xdr:to>
    <xdr:pic macro="[0]!SendToOfficeLocal">
      <xdr:nvPicPr>
        <xdr:cNvPr id="11" name="WD929363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0698" y="1257935"/>
          <a:ext cx="386080" cy="325422"/>
        </a:xfrm>
        <a:prstGeom prst="rect">
          <a:avLst/>
        </a:prstGeom>
      </xdr:spPr>
    </xdr:pic>
    <xdr:clientData/>
  </xdr:twoCellAnchor>
  <xdr:twoCellAnchor editAs="absolute">
    <xdr:from>
      <xdr:col>2</xdr:col>
      <xdr:colOff>681567</xdr:colOff>
      <xdr:row>4</xdr:row>
      <xdr:rowOff>168276</xdr:rowOff>
    </xdr:from>
    <xdr:to>
      <xdr:col>2</xdr:col>
      <xdr:colOff>1067647</xdr:colOff>
      <xdr:row>6</xdr:row>
      <xdr:rowOff>91575</xdr:rowOff>
    </xdr:to>
    <xdr:pic macro="[0]!SendToOfficeLocal">
      <xdr:nvPicPr>
        <xdr:cNvPr id="12" name="PT92936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4247" y="1257936"/>
          <a:ext cx="386080" cy="327159"/>
        </a:xfrm>
        <a:prstGeom prst="rect">
          <a:avLst/>
        </a:prstGeom>
      </xdr:spPr>
    </xdr:pic>
    <xdr:clientData/>
  </xdr:twoCellAnchor>
  <xdr:twoCellAnchor editAs="absolute">
    <xdr:from>
      <xdr:col>3</xdr:col>
      <xdr:colOff>358775</xdr:colOff>
      <xdr:row>4</xdr:row>
      <xdr:rowOff>168275</xdr:rowOff>
    </xdr:from>
    <xdr:to>
      <xdr:col>3</xdr:col>
      <xdr:colOff>744855</xdr:colOff>
      <xdr:row>6</xdr:row>
      <xdr:rowOff>88119</xdr:rowOff>
    </xdr:to>
    <xdr:pic macro="[0]!getAIAResultsLocal">
      <xdr:nvPicPr>
        <xdr:cNvPr id="13" name="IA186816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47795" y="1257935"/>
          <a:ext cx="386080" cy="3237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3</xdr:col>
      <xdr:colOff>0</xdr:colOff>
      <xdr:row>88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226</xdr:row>
      <xdr:rowOff>1</xdr:rowOff>
    </xdr:from>
    <xdr:to>
      <xdr:col>3</xdr:col>
      <xdr:colOff>0</xdr:colOff>
      <xdr:row>243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127000</xdr:colOff>
      <xdr:row>226</xdr:row>
      <xdr:rowOff>1</xdr:rowOff>
    </xdr:from>
    <xdr:to>
      <xdr:col>6</xdr:col>
      <xdr:colOff>127000</xdr:colOff>
      <xdr:row>243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244</xdr:row>
      <xdr:rowOff>198119</xdr:rowOff>
    </xdr:from>
    <xdr:to>
      <xdr:col>3</xdr:col>
      <xdr:colOff>0</xdr:colOff>
      <xdr:row>261</xdr:row>
      <xdr:rowOff>198119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127000</xdr:colOff>
      <xdr:row>244</xdr:row>
      <xdr:rowOff>198119</xdr:rowOff>
    </xdr:from>
    <xdr:to>
      <xdr:col>6</xdr:col>
      <xdr:colOff>127000</xdr:colOff>
      <xdr:row>261</xdr:row>
      <xdr:rowOff>198119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254000</xdr:colOff>
      <xdr:row>244</xdr:row>
      <xdr:rowOff>198119</xdr:rowOff>
    </xdr:from>
    <xdr:to>
      <xdr:col>9</xdr:col>
      <xdr:colOff>254000</xdr:colOff>
      <xdr:row>261</xdr:row>
      <xdr:rowOff>198119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264</xdr:row>
      <xdr:rowOff>1</xdr:rowOff>
    </xdr:from>
    <xdr:to>
      <xdr:col>3</xdr:col>
      <xdr:colOff>0</xdr:colOff>
      <xdr:row>281</xdr:row>
      <xdr:rowOff>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3" name="XP929363" hidden="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1*SEP*Summary statistics*SEP*$A$11
Linear Regression Output 1*SEP*Correlation matrix*SEP*$A$18
Linear Regression Output 1*SEP*Regression of variable Unemployment Rate (July 1999)*SEP*$A$25
Linear Regression Output 1*SEP*Goodness of fit statistics (Unemployment Rate (July 1999))*SEP*$A$27
Linear Regression Output 1*SEP*Analysis of variance (Unemployment Rate (July 1999))*SEP*$A$45
Linear Regression Output 1*SEP*Model parameters (Unemployment Rate (July 1999))*SEP*$A$55
Linear Regression Output 1*SEP*Equation of the model (Unemployment Rate (July 1999))*SEP*$A$63
Linear Regression Output 1*SEP*Standardized coefficients (Unemployment Rate (July 1999))*SEP*$A$68
Linear Regression Output 1*SEP*Predictions and residuals (Unemployment Rate (July 1999))*SEP*$A$94
Linear Regression Output 1*SEP*Interpretation (Unemployment Rate (July 1999))*SEP*$A$287</a:t>
          </a:r>
          <a:endParaRPr lang="ar-EG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4" name="XP186816" hidden="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1*SEP*Summary statistics*SEP*$A$11
Linear Regression Output 1*SEP*Correlation matrix*SEP*$A$18
Linear Regression Output 1*SEP*Regression of variable Unemployment Rate (July 1999)*SEP*$A$25
Linear Regression Output 1*SEP*Goodness of fit statistics (Unemployment Rate (July 1999))*SEP*$A$27
Linear Regression Output 1*SEP*Analysis of variance (Unemployment Rate (July 1999))*SEP*$A$45
Linear Regression Output 1*SEP*Model parameters (Unemployment Rate (July 1999))*SEP*$A$55
Linear Regression Output 1*SEP*Equation of the model (Unemployment Rate (July 1999))*SEP*$A$63
Linear Regression Output 1*SEP*Standardized coefficients (Unemployment Rate (July 1999))*SEP*$A$68
Linear Regression Output 1*SEP*Predictions and residuals (Unemployment Rate (July 1999))*SEP*$A$94
Linear Regression Output 1*SEP*Interpretation (Unemployment Rate (July 1999))*SEP*$A$287</a:t>
          </a:r>
          <a:endParaRPr lang="ar-EG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2</xdr:col>
          <xdr:colOff>1187450</xdr:colOff>
          <xdr:row>5</xdr:row>
          <xdr:rowOff>0</xdr:rowOff>
        </xdr:to>
        <xdr:sp macro="" textlink="">
          <xdr:nvSpPr>
            <xdr:cNvPr id="2049" name="DD620510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624840</xdr:colOff>
      <xdr:row>6</xdr:row>
      <xdr:rowOff>182880</xdr:rowOff>
    </xdr:from>
    <xdr:to>
      <xdr:col>5</xdr:col>
      <xdr:colOff>260940</xdr:colOff>
      <xdr:row>20</xdr:row>
      <xdr:rowOff>145200</xdr:rowOff>
    </xdr:to>
    <xdr:graphicFrame macro="">
      <xdr:nvGraphicFramePr>
        <xdr:cNvPr id="10" name="Chart_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724976" hidden="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209040" y="11887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CheckBoxMultiCo,CheckBox,-1,True,500000000200_Outputs|General,True,Multicolinearity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CheckBox_Predict,CheckBox,0,True,300000000000_Prediction,True,Prediction,False,,,
CheckBox_ObsLabelsPred,CheckBox,0,True,300000000700_Prediction,True,Observation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FileSelect2,CommandButton,,False,300000001000_Prediction,False,,False,,,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CheckBox_PredVarLabels,CheckBox,0,True,300000000900_Prediction,True,Variable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RefEdit_QPred,TextBox0,,True,300000000600_Prediction,True,Qualitative:,False,,,
RefEdit_XPred,TextBox0,,True,300000000400_Prediction,True,Quantitative:,False,,,
RefEdit_PredLabels,TextBox0,,True,300000000800_Prediction,True,,False,,,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RefEdit_Y,TextBox0,'Sheet4'!$C$4:$C$36,True,000000020000_General,True,Y / Dependent variables:,False,,33,1
RefEdit_X,TextBox0,'Sheet4'!$B$4:$B$36,True,000002040000_General,True,X / Explanatory variables:,False,,33,1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CheckBoxInterpret_SV,CheckBox,0,True,000000040201_General,True,Interpretation,False,,,
OptionButton_W,OptionButton,0,True,0006,True,Workbook,False,,,
OptionButton_R,OptionButton,-1,True,0106,True,Range,False,,,
OptionButton_S,OptionButton,0,True,0206,True,Sheet,False,,,
RefEdit_R,RefEdit,'Sheet9'!$A$1,True,0306,True,Range:,False,,0,0
CheckBoxGroupsColor,CheckBox,-1,True,000000080101_General,True,Regression by group,False,,,
CheckBox_SV,CheckBox,0,False,23,False,SV,False,,,
</a:t>
          </a:r>
          <a:endParaRPr lang="ar-EG" sz="1100"/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150684" hidden="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209040" y="11887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RunProcAIA
Form298.txt
Form53.txt
</a:t>
          </a:r>
          <a:endParaRPr lang="ar-EG" sz="1100"/>
        </a:p>
      </xdr:txBody>
    </xdr:sp>
    <xdr:clientData/>
  </xdr:twoCellAnchor>
  <xdr:twoCellAnchor editAs="absolute">
    <xdr:from>
      <xdr:col>0</xdr:col>
      <xdr:colOff>6350</xdr:colOff>
      <xdr:row>4</xdr:row>
      <xdr:rowOff>120650</xdr:rowOff>
    </xdr:from>
    <xdr:to>
      <xdr:col>4</xdr:col>
      <xdr:colOff>6350</xdr:colOff>
      <xdr:row>6</xdr:row>
      <xdr:rowOff>180975</xdr:rowOff>
    </xdr:to>
    <xdr:sp macro="" textlink="">
      <xdr:nvSpPr>
        <xdr:cNvPr id="4" name="BK724976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350" y="1195070"/>
          <a:ext cx="478536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 editAs="absolute">
    <xdr:from>
      <xdr:col>0</xdr:col>
      <xdr:colOff>453602</xdr:colOff>
      <xdr:row>4</xdr:row>
      <xdr:rowOff>168276</xdr:rowOff>
    </xdr:from>
    <xdr:to>
      <xdr:col>0</xdr:col>
      <xdr:colOff>839682</xdr:colOff>
      <xdr:row>6</xdr:row>
      <xdr:rowOff>82411</xdr:rowOff>
    </xdr:to>
    <xdr:pic macro="[0]!ReRunXLSTAT">
      <xdr:nvPicPr>
        <xdr:cNvPr id="5" name="BT72497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602" y="1242696"/>
          <a:ext cx="386080" cy="317995"/>
        </a:xfrm>
        <a:prstGeom prst="rect">
          <a:avLst/>
        </a:prstGeom>
      </xdr:spPr>
    </xdr:pic>
    <xdr:clientData/>
  </xdr:twoCellAnchor>
  <xdr:twoCellAnchor editAs="absolute">
    <xdr:from>
      <xdr:col>1</xdr:col>
      <xdr:colOff>130810</xdr:colOff>
      <xdr:row>4</xdr:row>
      <xdr:rowOff>168276</xdr:rowOff>
    </xdr:from>
    <xdr:to>
      <xdr:col>1</xdr:col>
      <xdr:colOff>516890</xdr:colOff>
      <xdr:row>6</xdr:row>
      <xdr:rowOff>92801</xdr:rowOff>
    </xdr:to>
    <xdr:pic macro="[0]!AddRemovGrid">
      <xdr:nvPicPr>
        <xdr:cNvPr id="6" name="RM72497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150" y="1242696"/>
          <a:ext cx="386080" cy="328385"/>
        </a:xfrm>
        <a:prstGeom prst="rect">
          <a:avLst/>
        </a:prstGeom>
      </xdr:spPr>
    </xdr:pic>
    <xdr:clientData/>
  </xdr:twoCellAnchor>
  <xdr:twoCellAnchor editAs="absolute">
    <xdr:from>
      <xdr:col>1</xdr:col>
      <xdr:colOff>130810</xdr:colOff>
      <xdr:row>4</xdr:row>
      <xdr:rowOff>168276</xdr:rowOff>
    </xdr:from>
    <xdr:to>
      <xdr:col>1</xdr:col>
      <xdr:colOff>516890</xdr:colOff>
      <xdr:row>6</xdr:row>
      <xdr:rowOff>88291</xdr:rowOff>
    </xdr:to>
    <xdr:pic macro="[0]!AddRemovGrid">
      <xdr:nvPicPr>
        <xdr:cNvPr id="7" name="AD724976" hidden="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7150" y="1242696"/>
          <a:ext cx="386080" cy="323875"/>
        </a:xfrm>
        <a:prstGeom prst="rect">
          <a:avLst/>
        </a:prstGeom>
      </xdr:spPr>
    </xdr:pic>
    <xdr:clientData/>
  </xdr:twoCellAnchor>
  <xdr:twoCellAnchor editAs="absolute">
    <xdr:from>
      <xdr:col>1</xdr:col>
      <xdr:colOff>1004358</xdr:colOff>
      <xdr:row>4</xdr:row>
      <xdr:rowOff>168275</xdr:rowOff>
    </xdr:from>
    <xdr:to>
      <xdr:col>2</xdr:col>
      <xdr:colOff>194098</xdr:colOff>
      <xdr:row>6</xdr:row>
      <xdr:rowOff>89837</xdr:rowOff>
    </xdr:to>
    <xdr:pic macro="[0]!SendToOfficeLocal">
      <xdr:nvPicPr>
        <xdr:cNvPr id="9" name="WD724976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0698" y="1242695"/>
          <a:ext cx="386080" cy="325422"/>
        </a:xfrm>
        <a:prstGeom prst="rect">
          <a:avLst/>
        </a:prstGeom>
      </xdr:spPr>
    </xdr:pic>
    <xdr:clientData/>
  </xdr:twoCellAnchor>
  <xdr:twoCellAnchor editAs="absolute">
    <xdr:from>
      <xdr:col>2</xdr:col>
      <xdr:colOff>681567</xdr:colOff>
      <xdr:row>4</xdr:row>
      <xdr:rowOff>168276</xdr:rowOff>
    </xdr:from>
    <xdr:to>
      <xdr:col>2</xdr:col>
      <xdr:colOff>1067647</xdr:colOff>
      <xdr:row>6</xdr:row>
      <xdr:rowOff>91575</xdr:rowOff>
    </xdr:to>
    <xdr:pic macro="[0]!SendToOfficeLocal">
      <xdr:nvPicPr>
        <xdr:cNvPr id="10" name="PT724976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4247" y="1242696"/>
          <a:ext cx="386080" cy="327159"/>
        </a:xfrm>
        <a:prstGeom prst="rect">
          <a:avLst/>
        </a:prstGeom>
      </xdr:spPr>
    </xdr:pic>
    <xdr:clientData/>
  </xdr:twoCellAnchor>
  <xdr:twoCellAnchor editAs="absolute">
    <xdr:from>
      <xdr:col>3</xdr:col>
      <xdr:colOff>358775</xdr:colOff>
      <xdr:row>4</xdr:row>
      <xdr:rowOff>168275</xdr:rowOff>
    </xdr:from>
    <xdr:to>
      <xdr:col>3</xdr:col>
      <xdr:colOff>744855</xdr:colOff>
      <xdr:row>6</xdr:row>
      <xdr:rowOff>88119</xdr:rowOff>
    </xdr:to>
    <xdr:pic macro="[0]!getAIAResultsLocal">
      <xdr:nvPicPr>
        <xdr:cNvPr id="11" name="IA15068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47795" y="1242695"/>
          <a:ext cx="386080" cy="3237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3</xdr:col>
      <xdr:colOff>0</xdr:colOff>
      <xdr:row>88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3</xdr:col>
      <xdr:colOff>0</xdr:colOff>
      <xdr:row>144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127000</xdr:colOff>
      <xdr:row>127</xdr:row>
      <xdr:rowOff>0</xdr:rowOff>
    </xdr:from>
    <xdr:to>
      <xdr:col>6</xdr:col>
      <xdr:colOff>127000</xdr:colOff>
      <xdr:row>144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145</xdr:row>
      <xdr:rowOff>198119</xdr:rowOff>
    </xdr:from>
    <xdr:to>
      <xdr:col>3</xdr:col>
      <xdr:colOff>0</xdr:colOff>
      <xdr:row>162</xdr:row>
      <xdr:rowOff>198119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127000</xdr:colOff>
      <xdr:row>145</xdr:row>
      <xdr:rowOff>198119</xdr:rowOff>
    </xdr:from>
    <xdr:to>
      <xdr:col>6</xdr:col>
      <xdr:colOff>127000</xdr:colOff>
      <xdr:row>162</xdr:row>
      <xdr:rowOff>198119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254000</xdr:colOff>
      <xdr:row>145</xdr:row>
      <xdr:rowOff>198119</xdr:rowOff>
    </xdr:from>
    <xdr:to>
      <xdr:col>9</xdr:col>
      <xdr:colOff>254000</xdr:colOff>
      <xdr:row>162</xdr:row>
      <xdr:rowOff>198119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165</xdr:row>
      <xdr:rowOff>1</xdr:rowOff>
    </xdr:from>
    <xdr:to>
      <xdr:col>3</xdr:col>
      <xdr:colOff>0</xdr:colOff>
      <xdr:row>182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1" name="XP724976" hidden="1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2*SEP*Summary statistics*SEP*$A$11
Linear Regression Output 2*SEP*Correlation matrix*SEP*$A$18
Linear Regression Output 2*SEP*Regression of variable Points/Game*SEP*$A$25
Linear Regression Output 2*SEP*Goodness of fit statistics (Points/Game)*SEP*$A$27
Linear Regression Output 2*SEP*Analysis of variance (Points/Game)*SEP*$A$45
Linear Regression Output 2*SEP*Model parameters (Points/Game)*SEP*$A$55
Linear Regression Output 2*SEP*Equation of the model (Points/Game)*SEP*$A$63
Linear Regression Output 2*SEP*Standardized coefficients (Points/Game)*SEP*$A$68
Linear Regression Output 2*SEP*Predictions and residuals (Points/Game)*SEP*$A$94
Linear Regression Output 2*SEP*Interpretation (Points/Game)*SEP*$A$188</a:t>
          </a:r>
          <a:endParaRPr lang="ar-EG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2" name="XP150684" hidden="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2*SEP*Summary statistics*SEP*$A$11
Linear Regression Output 2*SEP*Correlation matrix*SEP*$A$18
Linear Regression Output 2*SEP*Regression of variable Points/Game*SEP*$A$25
Linear Regression Output 2*SEP*Goodness of fit statistics (Points/Game)*SEP*$A$27
Linear Regression Output 2*SEP*Analysis of variance (Points/Game)*SEP*$A$45
Linear Regression Output 2*SEP*Model parameters (Points/Game)*SEP*$A$55
Linear Regression Output 2*SEP*Equation of the model (Points/Game)*SEP*$A$63
Linear Regression Output 2*SEP*Standardized coefficients (Points/Game)*SEP*$A$68
Linear Regression Output 2*SEP*Predictions and residuals (Points/Game)*SEP*$A$94
Linear Regression Output 2*SEP*Interpretation (Points/Game)*SEP*$A$188</a:t>
          </a:r>
          <a:endParaRPr lang="ar-EG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469900</xdr:rowOff>
        </xdr:from>
        <xdr:to>
          <xdr:col>2</xdr:col>
          <xdr:colOff>1187450</xdr:colOff>
          <xdr:row>4</xdr:row>
          <xdr:rowOff>196850</xdr:rowOff>
        </xdr:to>
        <xdr:sp macro="" textlink="">
          <xdr:nvSpPr>
            <xdr:cNvPr id="6145" name="DD289273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7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329895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683260" y="8077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RunProcSCA
Form11.txt
TextBoxList,TextBox,,False,01,False,,False,,,
ScrollBarSelect,ScrollBar,0,False,02,False,,,,,
CheckBoxTrans,CheckBox,0,False,03,False,Trans,False,,,
CheckBoxVarLabels,CheckBox,-1,True,000000000001_General,True,Variable labels,False,,,
CheckBox_W,CheckBox,0,True,000000000401_General,True,Weights,False,,,
CheckBox_ObsLabels,CheckBox,0,True,000000000101_General,True,Observation labels,False,,,
CheckBoxFormats,CheckBox,-1,True,000000000301_General,True,Use the cells format,False,,,
CheckBox_Z,CheckBox,0,True,000000000500_General,True,Z,False,,,
CheckBoxBubbles,CheckBox,0,True,000000000700_General,True,Bubbles,False,,,
CheckBoxMatXY,CheckBox,-1,True,100000000000_Options,True,Matrix of plots,False,,,
CheckBoxFreq,CheckBox,0,True,100000000300_Options,True,Frequencies,False,,,
CheckBoxOnly,CheckBox,0,True,100000000400_Options,True,Only if &gt;1,False,,,
OptionButtonQQ,OptionButton,0,True,100000000200_Options,True,Q-Q plots,False,,,
OptionButtonHisto,OptionButton,-1,True,100000000100_Options,True,Histograms,False,,,
CheckBoxL,CheckBox,-1,True,100000000102_Options,True,Legend,False,,,
CheckBoxColorCorrel,CheckBox,0,True,100000000002_Options,True,Color by correlation,False,,,
CheckBoxEllipse,CheckBox,0,True,100000000001_Options,True,Confidence ellipses,False,,,
OptionButtonFisher,OptionButton,-1,True,100000020101_Options,True,Fisher,False,,,
OptionButtonChiSq,OptionButton,0,True,100000030101_Options,True,Chi-square,False,,,
TextBox_Conf,TextBox,95,True,100000010101_Options,True,Confidence interval (%):,False,,,
CheckBoxLine,CheckBox,-1,True,100000000202_Options,True,Trend lines,False,,,
ComboBoxColor1,ComboBox,-1,True,200000020100_Colors,True,Enter the color of the group 1,True,,,
ComboBoxColor2,ComboBox,-1,False,200000040100_Colors,False,Enter the color of the group 2,True,,,
ComboBoxColor3,ComboBox,-1,False,200000060100_Colors,False,Enter the color of the group 3,True,,,
ComboBoxColor4,ComboBox,-1,False,200000080100_Colors,False,Enter the color of the group 4,True,,,
ComboBoxColor5,ComboBox,-1,False,200000100100_Colors,False,Enter the color of the group 5,True,,,
ComboBoxColor6,ComboBox,-1,False,200000120100_Colors,False,Enter the color of the group 6,True,,,
ComboBoxColor7,ComboBox,-1,False,200000140100_Colors,False,Enter the color of the group 7,True,,,
ComboBoxColor8,ComboBox,-1,False,200000160100_Colors,False,Enter the color of the group 8,True,,,
ComboBoxColor9,ComboBox,-1,False,200000180100_Colors,False,Enter the color of the group 9,True,,,
FileSelect1,CommandButton,,False,000000001000_General,False,RefEdit_X,False,,,
CheckBox_G,CheckBox,0,True,000000000800_General,True,Groups,False,,,
ComboBoxColor10,ComboBox,-1,False,200000000201_Colors,False,Enter the color of the group 10,True,,,
ComboBoxColor11,ComboBox,-1,False,200000000401_Colors,False,Enter the color of the group 11,True,,,
ComboBoxColor12,ComboBox,-1,False,200000000601_Colors,False,Enter the color of the group 12,True,,,
ComboBoxColor13,ComboBox,-1,False,200000000801_Colors,False,Enter the color of the group 13,True,,,
ComboBoxColor14,ComboBox,-1,False,200000001001_Colors,False,Enter the color of the group 14,True,,,
ComboBoxColor15,ComboBox,-1,False,200000001201_Colors,False,Enter the color of the group 15,True,,,
ComboBoxColor16,ComboBox,-1,False,200000001401_Colors,False,Enter the color of the group 16,True,,,
ComboBoxColor18,ComboBox,-1,False,200000001801_Colors,False,Enter the color of the group 18,True,,,
ComboBoxColor17,ComboBox,-1,False,200000001601_Colors,False,Enter the color of the group 17,True,,,
ComboBoxLines,ComboBox,0,True,100000000302_Options,True,,False,,,
TextBoxDegree,TextBox,3,True,100000010402_Options,True,Polynomial degree,False,,,
OptionButtonDataAsKnots,OptionButton,-1,True,100000000502_Options,True,Data as nodes,False,,,
OptionButtonNbKnots,OptionButton,0,True,100000010502_Options,True,Number of nodes,False,,,
TextBox_NbKnots,TextBox,5,True,100000020502_Options,True,,False,,,
RefEdit_W,TextBox0,,True,000000000501_General,True,Weights:,False,,,
RefEdit_ObsLabels,TextBox0,,True,000000000201_General,True,Observation labels:,False,,,
RefEdit_Z,TextBox0,,True,000000000600_General,True,Z:,False,,,
RefEdit_X,TextBox0,'Sheet4'!$B$4:$B$36,True,000000000100_General,True,,False,,33,1
RefEdit_Y,TextBox0,'Sheet4'!$C$4:$C$36,True,000000000400_General,True,,False,,33,1
RefEdit_G,TextBox0,,True,000000000900_General,True,Groups:,False,,,
OptionButton_R,OptionButton,-1,True,0006,True,Range,False,,,
RefEdit_R,TextBox,'Sheet7'!$A$1,True,0106,True,Range:,False,,0,0
OptionButton_S,OptionButton,0,True,0206,True,Sheet,False,,,
OptionButton_W,OptionButton,0,True,0306,True,Workbook,False,,,
</a:t>
          </a:r>
          <a:endParaRPr lang="ar-EG" sz="1100"/>
        </a:p>
      </xdr:txBody>
    </xdr:sp>
    <xdr:clientData/>
  </xdr:twoCellAnchor>
  <xdr:twoCellAnchor editAs="absolute">
    <xdr:from>
      <xdr:col>0</xdr:col>
      <xdr:colOff>6350</xdr:colOff>
      <xdr:row>3</xdr:row>
      <xdr:rowOff>204470</xdr:rowOff>
    </xdr:from>
    <xdr:to>
      <xdr:col>3</xdr:col>
      <xdr:colOff>6350</xdr:colOff>
      <xdr:row>4</xdr:row>
      <xdr:rowOff>188595</xdr:rowOff>
    </xdr:to>
    <xdr:sp macro="" textlink="">
      <xdr:nvSpPr>
        <xdr:cNvPr id="3" name="BK32989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6350" y="814070"/>
          <a:ext cx="201168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 editAs="absolute">
    <xdr:from>
      <xdr:col>0</xdr:col>
      <xdr:colOff>83312</xdr:colOff>
      <xdr:row>3</xdr:row>
      <xdr:rowOff>252096</xdr:rowOff>
    </xdr:from>
    <xdr:to>
      <xdr:col>0</xdr:col>
      <xdr:colOff>469392</xdr:colOff>
      <xdr:row>4</xdr:row>
      <xdr:rowOff>90031</xdr:rowOff>
    </xdr:to>
    <xdr:pic macro="[0]!ReRunXLSTAT">
      <xdr:nvPicPr>
        <xdr:cNvPr id="4" name="BT32989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12" y="861696"/>
          <a:ext cx="386080" cy="317995"/>
        </a:xfrm>
        <a:prstGeom prst="rect">
          <a:avLst/>
        </a:prstGeom>
      </xdr:spPr>
    </xdr:pic>
    <xdr:clientData/>
  </xdr:twoCellAnchor>
  <xdr:twoCellAnchor editAs="absolute">
    <xdr:from>
      <xdr:col>0</xdr:col>
      <xdr:colOff>574294</xdr:colOff>
      <xdr:row>3</xdr:row>
      <xdr:rowOff>252096</xdr:rowOff>
    </xdr:from>
    <xdr:to>
      <xdr:col>1</xdr:col>
      <xdr:colOff>289814</xdr:colOff>
      <xdr:row>4</xdr:row>
      <xdr:rowOff>100421</xdr:rowOff>
    </xdr:to>
    <xdr:pic macro="[0]!AddRemovGrid">
      <xdr:nvPicPr>
        <xdr:cNvPr id="5" name="RM32989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294" y="861696"/>
          <a:ext cx="386080" cy="328385"/>
        </a:xfrm>
        <a:prstGeom prst="rect">
          <a:avLst/>
        </a:prstGeom>
      </xdr:spPr>
    </xdr:pic>
    <xdr:clientData/>
  </xdr:twoCellAnchor>
  <xdr:twoCellAnchor editAs="absolute">
    <xdr:from>
      <xdr:col>0</xdr:col>
      <xdr:colOff>574294</xdr:colOff>
      <xdr:row>3</xdr:row>
      <xdr:rowOff>252096</xdr:rowOff>
    </xdr:from>
    <xdr:to>
      <xdr:col>1</xdr:col>
      <xdr:colOff>289814</xdr:colOff>
      <xdr:row>4</xdr:row>
      <xdr:rowOff>95911</xdr:rowOff>
    </xdr:to>
    <xdr:pic macro="[0]!AddRemovGrid">
      <xdr:nvPicPr>
        <xdr:cNvPr id="6" name="AD329895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4294" y="861696"/>
          <a:ext cx="386080" cy="323875"/>
        </a:xfrm>
        <a:prstGeom prst="rect">
          <a:avLst/>
        </a:prstGeom>
      </xdr:spPr>
    </xdr:pic>
    <xdr:clientData/>
  </xdr:twoCellAnchor>
  <xdr:twoCellAnchor editAs="absolute">
    <xdr:from>
      <xdr:col>1</xdr:col>
      <xdr:colOff>394716</xdr:colOff>
      <xdr:row>3</xdr:row>
      <xdr:rowOff>252095</xdr:rowOff>
    </xdr:from>
    <xdr:to>
      <xdr:col>2</xdr:col>
      <xdr:colOff>110236</xdr:colOff>
      <xdr:row>4</xdr:row>
      <xdr:rowOff>97457</xdr:rowOff>
    </xdr:to>
    <xdr:pic macro="[0]!SendToOfficeLocal">
      <xdr:nvPicPr>
        <xdr:cNvPr id="7" name="WD329895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5276" y="861695"/>
          <a:ext cx="386080" cy="325422"/>
        </a:xfrm>
        <a:prstGeom prst="rect">
          <a:avLst/>
        </a:prstGeom>
      </xdr:spPr>
    </xdr:pic>
    <xdr:clientData/>
  </xdr:twoCellAnchor>
  <xdr:twoCellAnchor editAs="absolute">
    <xdr:from>
      <xdr:col>2</xdr:col>
      <xdr:colOff>215138</xdr:colOff>
      <xdr:row>3</xdr:row>
      <xdr:rowOff>252096</xdr:rowOff>
    </xdr:from>
    <xdr:to>
      <xdr:col>2</xdr:col>
      <xdr:colOff>601218</xdr:colOff>
      <xdr:row>4</xdr:row>
      <xdr:rowOff>99195</xdr:rowOff>
    </xdr:to>
    <xdr:pic macro="[0]!SendToOfficeLocal">
      <xdr:nvPicPr>
        <xdr:cNvPr id="9" name="PT32989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6258" y="861696"/>
          <a:ext cx="386080" cy="32715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15240</xdr:rowOff>
    </xdr:from>
    <xdr:to>
      <xdr:col>12</xdr:col>
      <xdr:colOff>495300</xdr:colOff>
      <xdr:row>31</xdr:row>
      <xdr:rowOff>137160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pSpPr/>
      </xdr:nvGrpSpPr>
      <xdr:grpSpPr>
        <a:xfrm>
          <a:off x="0" y="1894840"/>
          <a:ext cx="8420100" cy="4649470"/>
          <a:chOff x="0" y="2278380"/>
          <a:chExt cx="2946400" cy="3035300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GrpSpPr/>
        </xdr:nvGrpSpPr>
        <xdr:grpSpPr>
          <a:xfrm>
            <a:off x="0" y="2278380"/>
            <a:ext cx="2946400" cy="3022600"/>
            <a:chOff x="0" y="2278380"/>
            <a:chExt cx="2946400" cy="3022600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900-00000A000000}"/>
                </a:ext>
              </a:extLst>
            </xdr:cNvPr>
            <xdr:cNvGraphicFramePr/>
          </xdr:nvGraphicFramePr>
          <xdr:xfrm>
            <a:off x="0" y="2310164"/>
            <a:ext cx="15240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GraphicFramePr/>
          </xdr:nvGraphicFramePr>
          <xdr:xfrm>
            <a:off x="1524000" y="2278380"/>
            <a:ext cx="14224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0000000-0008-0000-0900-00000C000000}"/>
                </a:ext>
              </a:extLst>
            </xdr:cNvPr>
            <xdr:cNvGraphicFramePr/>
          </xdr:nvGraphicFramePr>
          <xdr:xfrm>
            <a:off x="0" y="3789680"/>
            <a:ext cx="15240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GraphicFramePr/>
          </xdr:nvGraphicFramePr>
          <xdr:xfrm>
            <a:off x="1524000" y="3789680"/>
            <a:ext cx="1422400" cy="1511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/>
        </xdr:nvSpPr>
        <xdr:spPr>
          <a:xfrm>
            <a:off x="0" y="2278380"/>
            <a:ext cx="2946400" cy="3035300"/>
          </a:xfrm>
          <a:prstGeom prst="rect">
            <a:avLst/>
          </a:prstGeom>
          <a:noFill/>
          <a:ln w="6350" cap="flat" cmpd="sng" algn="ctr">
            <a:solidFill>
              <a:srgbClr val="000000"/>
            </a:solidFill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7" name="XP329895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Scatter Plot Output 1*SEP*Scatter plots*SEP*$A$9</a:t>
          </a:r>
          <a:endParaRPr lang="ar-EG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208592" hidden="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68326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CheckBoxMultiCo,CheckBox,-1,True,500000000200_Outputs|General,True,Multicolinearity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RefEdit_Y,TextBox0,'Sheet5'!$A$4:$A$29,True,000000020000_General,True,Y / Dependent variables:,False,,26,1
RefEdit_X,TextBox0,'Sheet5'!$B$4:$B$29,True,000002040000_General,True,X / Explanatory variables:,False,,26,1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CheckBoxInterpret_SV,CheckBox,0,True,000000040201_General,True,Interpretation,False,,,
OptionButton_W,OptionButton,0,True,0006,True,Workbook,False,,,
OptionButton_R,OptionButton,-1,True,0106,True,Range,False,,,
OptionButton_S,OptionButton,0,True,0206,True,Sheet,False,,,
RefEdit_R,RefEdit,'Sheet13'!$A$1,True,0306,True,Range:,False,,0,0
CheckBoxGroupsColor,CheckBox,-1,True,000000080101_General,True,Regression by group,False,,,
CheckBox_SV,CheckBox,0,False,23,False,SV,False,,,
</a:t>
          </a:r>
          <a:endParaRPr lang="ar-EG" sz="1100"/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366044" hidden="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68326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RunProcAIA
Form298.txt
Form53.txt
</a:t>
          </a:r>
          <a:endParaRPr lang="ar-EG" sz="1100"/>
        </a:p>
      </xdr:txBody>
    </xdr:sp>
    <xdr:clientData/>
  </xdr:twoCellAnchor>
  <xdr:twoCellAnchor editAs="absolute">
    <xdr:from>
      <xdr:col>0</xdr:col>
      <xdr:colOff>6350</xdr:colOff>
      <xdr:row>4</xdr:row>
      <xdr:rowOff>120650</xdr:rowOff>
    </xdr:from>
    <xdr:to>
      <xdr:col>2</xdr:col>
      <xdr:colOff>981710</xdr:colOff>
      <xdr:row>6</xdr:row>
      <xdr:rowOff>180975</xdr:rowOff>
    </xdr:to>
    <xdr:sp macro="" textlink="">
      <xdr:nvSpPr>
        <xdr:cNvPr id="4" name="BK20859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350" y="1210310"/>
          <a:ext cx="268224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 editAs="absolute">
    <xdr:from>
      <xdr:col>0</xdr:col>
      <xdr:colOff>103082</xdr:colOff>
      <xdr:row>4</xdr:row>
      <xdr:rowOff>168276</xdr:rowOff>
    </xdr:from>
    <xdr:to>
      <xdr:col>0</xdr:col>
      <xdr:colOff>489162</xdr:colOff>
      <xdr:row>6</xdr:row>
      <xdr:rowOff>82411</xdr:rowOff>
    </xdr:to>
    <xdr:pic macro="[0]!ReRunXLSTAT">
      <xdr:nvPicPr>
        <xdr:cNvPr id="5" name="BT20859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82" y="1257936"/>
          <a:ext cx="386080" cy="317995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4</xdr:row>
      <xdr:rowOff>168276</xdr:rowOff>
    </xdr:from>
    <xdr:to>
      <xdr:col>1</xdr:col>
      <xdr:colOff>341630</xdr:colOff>
      <xdr:row>6</xdr:row>
      <xdr:rowOff>92801</xdr:rowOff>
    </xdr:to>
    <xdr:pic macro="[0]!AddRemovGrid">
      <xdr:nvPicPr>
        <xdr:cNvPr id="6" name="RM20859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110" y="1257936"/>
          <a:ext cx="386080" cy="328385"/>
        </a:xfrm>
        <a:prstGeom prst="rect">
          <a:avLst/>
        </a:prstGeom>
      </xdr:spPr>
    </xdr:pic>
    <xdr:clientData/>
  </xdr:twoCellAnchor>
  <xdr:twoCellAnchor editAs="absolute">
    <xdr:from>
      <xdr:col>0</xdr:col>
      <xdr:colOff>626110</xdr:colOff>
      <xdr:row>4</xdr:row>
      <xdr:rowOff>168276</xdr:rowOff>
    </xdr:from>
    <xdr:to>
      <xdr:col>1</xdr:col>
      <xdr:colOff>341630</xdr:colOff>
      <xdr:row>6</xdr:row>
      <xdr:rowOff>88291</xdr:rowOff>
    </xdr:to>
    <xdr:pic macro="[0]!AddRemovGrid">
      <xdr:nvPicPr>
        <xdr:cNvPr id="7" name="AD208592" hidden="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6110" y="1257936"/>
          <a:ext cx="386080" cy="323875"/>
        </a:xfrm>
        <a:prstGeom prst="rect">
          <a:avLst/>
        </a:prstGeom>
      </xdr:spPr>
    </xdr:pic>
    <xdr:clientData/>
  </xdr:twoCellAnchor>
  <xdr:twoCellAnchor editAs="absolute">
    <xdr:from>
      <xdr:col>1</xdr:col>
      <xdr:colOff>478578</xdr:colOff>
      <xdr:row>4</xdr:row>
      <xdr:rowOff>168275</xdr:rowOff>
    </xdr:from>
    <xdr:to>
      <xdr:col>1</xdr:col>
      <xdr:colOff>864658</xdr:colOff>
      <xdr:row>6</xdr:row>
      <xdr:rowOff>89837</xdr:rowOff>
    </xdr:to>
    <xdr:pic macro="[0]!SendToOfficeLocal">
      <xdr:nvPicPr>
        <xdr:cNvPr id="9" name="WD208592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9138" y="1257935"/>
          <a:ext cx="386080" cy="325422"/>
        </a:xfrm>
        <a:prstGeom prst="rect">
          <a:avLst/>
        </a:prstGeom>
      </xdr:spPr>
    </xdr:pic>
    <xdr:clientData/>
  </xdr:twoCellAnchor>
  <xdr:twoCellAnchor editAs="absolute">
    <xdr:from>
      <xdr:col>1</xdr:col>
      <xdr:colOff>1001607</xdr:colOff>
      <xdr:row>4</xdr:row>
      <xdr:rowOff>168276</xdr:rowOff>
    </xdr:from>
    <xdr:to>
      <xdr:col>2</xdr:col>
      <xdr:colOff>351367</xdr:colOff>
      <xdr:row>6</xdr:row>
      <xdr:rowOff>91575</xdr:rowOff>
    </xdr:to>
    <xdr:pic macro="[0]!SendToOfficeLocal">
      <xdr:nvPicPr>
        <xdr:cNvPr id="10" name="PT208592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2167" y="1257936"/>
          <a:ext cx="386080" cy="327159"/>
        </a:xfrm>
        <a:prstGeom prst="rect">
          <a:avLst/>
        </a:prstGeom>
      </xdr:spPr>
    </xdr:pic>
    <xdr:clientData/>
  </xdr:twoCellAnchor>
  <xdr:twoCellAnchor editAs="absolute">
    <xdr:from>
      <xdr:col>2</xdr:col>
      <xdr:colOff>488315</xdr:colOff>
      <xdr:row>4</xdr:row>
      <xdr:rowOff>168275</xdr:rowOff>
    </xdr:from>
    <xdr:to>
      <xdr:col>2</xdr:col>
      <xdr:colOff>874395</xdr:colOff>
      <xdr:row>6</xdr:row>
      <xdr:rowOff>88119</xdr:rowOff>
    </xdr:to>
    <xdr:pic macro="[0]!getAIAResultsLocal">
      <xdr:nvPicPr>
        <xdr:cNvPr id="11" name="IA366044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5195" y="1257935"/>
          <a:ext cx="386080" cy="3237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198119</xdr:rowOff>
    </xdr:from>
    <xdr:to>
      <xdr:col>4</xdr:col>
      <xdr:colOff>0</xdr:colOff>
      <xdr:row>87</xdr:row>
      <xdr:rowOff>198119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119</xdr:row>
      <xdr:rowOff>198119</xdr:rowOff>
    </xdr:from>
    <xdr:to>
      <xdr:col>4</xdr:col>
      <xdr:colOff>0</xdr:colOff>
      <xdr:row>136</xdr:row>
      <xdr:rowOff>198119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127000</xdr:colOff>
      <xdr:row>119</xdr:row>
      <xdr:rowOff>198119</xdr:rowOff>
    </xdr:from>
    <xdr:to>
      <xdr:col>9</xdr:col>
      <xdr:colOff>256540</xdr:colOff>
      <xdr:row>136</xdr:row>
      <xdr:rowOff>198119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139</xdr:row>
      <xdr:rowOff>1</xdr:rowOff>
    </xdr:from>
    <xdr:to>
      <xdr:col>4</xdr:col>
      <xdr:colOff>0</xdr:colOff>
      <xdr:row>156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127000</xdr:colOff>
      <xdr:row>139</xdr:row>
      <xdr:rowOff>1</xdr:rowOff>
    </xdr:from>
    <xdr:to>
      <xdr:col>9</xdr:col>
      <xdr:colOff>256540</xdr:colOff>
      <xdr:row>156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383540</xdr:colOff>
      <xdr:row>139</xdr:row>
      <xdr:rowOff>1</xdr:rowOff>
    </xdr:from>
    <xdr:to>
      <xdr:col>15</xdr:col>
      <xdr:colOff>193040</xdr:colOff>
      <xdr:row>156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158</xdr:row>
      <xdr:rowOff>0</xdr:rowOff>
    </xdr:from>
    <xdr:to>
      <xdr:col>4</xdr:col>
      <xdr:colOff>0</xdr:colOff>
      <xdr:row>175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1" name="XP208592" hidden="1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3*SEP*Summary statistics*SEP*$A$11
Linear Regression Output 3*SEP*Correlation matrix*SEP*$A$18
Linear Regression Output 3*SEP*Regression of variable Wedding cost*SEP*$A$25
Linear Regression Output 3*SEP*Goodness of fit statistics (Wedding cost)*SEP*$A$27
Linear Regression Output 3*SEP*Analysis of variance (Wedding cost)*SEP*$A$45
Linear Regression Output 3*SEP*Model parameters (Wedding cost)*SEP*$A$55
Linear Regression Output 3*SEP*Equation of the model (Wedding cost)*SEP*$A$63
Linear Regression Output 3*SEP*Standardized coefficients (Wedding cost)*SEP*$A$68
Linear Regression Output 3*SEP*Predictions and residuals (Wedding cost)*SEP*$A$94
Linear Regression Output 3*SEP*Interpretation (Wedding cost)*SEP*$A$181</a:t>
          </a:r>
          <a:endParaRPr lang="ar-EG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2" name="XP366044" hidden="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3*SEP*Summary statistics*SEP*$A$11
Linear Regression Output 3*SEP*Correlation matrix*SEP*$A$18
Linear Regression Output 3*SEP*Regression of variable Wedding cost*SEP*$A$25
Linear Regression Output 3*SEP*Goodness of fit statistics (Wedding cost)*SEP*$A$27
Linear Regression Output 3*SEP*Analysis of variance (Wedding cost)*SEP*$A$45
Linear Regression Output 3*SEP*Model parameters (Wedding cost)*SEP*$A$55
Linear Regression Output 3*SEP*Equation of the model (Wedding cost)*SEP*$A$63
Linear Regression Output 3*SEP*Standardized coefficients (Wedding cost)*SEP*$A$68
Linear Regression Output 3*SEP*Predictions and residuals (Wedding cost)*SEP*$A$94
Linear Regression Output 3*SEP*Interpretation (Wedding cost)*SEP*$A$181</a:t>
          </a:r>
          <a:endParaRPr lang="ar-EG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3</xdr:col>
          <xdr:colOff>6350</xdr:colOff>
          <xdr:row>5</xdr:row>
          <xdr:rowOff>0</xdr:rowOff>
        </xdr:to>
        <xdr:sp macro="" textlink="">
          <xdr:nvSpPr>
            <xdr:cNvPr id="10241" name="DD48995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D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5</xdr:col>
      <xdr:colOff>33660</xdr:colOff>
      <xdr:row>25</xdr:row>
      <xdr:rowOff>33840</xdr:rowOff>
    </xdr:to>
    <xdr:graphicFrame macro="">
      <xdr:nvGraphicFramePr>
        <xdr:cNvPr id="3" name="Chart_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401471" hidden="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>
          <a:off x="120904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CheckBoxMultiCo,CheckBox,-1,True,500000000200_Outputs|General,True,Multicolinearity statistics,False,,,
CheckBoxInterpret,CheckBox,-1,True,500000000700_Outputs|General,True,Interpretation,False,,,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TextBoxNbFactors,TextBox,1,True,000001020200_General,True,Number of factors:,False,,,
CheckBoxVarLabels,CheckBox,-1,True,000000000001_General,True,Variable labels,False,,,
CheckBox_ObsLabels,CheckBox,0,True,000000000101_General,True,Observation labels,False,,,
CheckBox_Wr,CheckBox,0,True,000000040101_General,True,Regression weights,False,,,
CheckBox_W,CheckBox,0,True,000000020101_General,True,Observation weights,False,,,
FileSelect2,CommandButton,,False,300000000602_Prediction,False,,False,,,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FileSelect1,CommandButton,,False,000000050000_General,False,RefEdit_Y,False,,,
ScrollBarSelect,ScrollBar,0,False,03,False,,,,,
CheckBox_X,CheckBox,-1,True,000001040000_General,True,Quantitative,False,,,
CheckBox_Q,CheckBox,0,True,000003040000_General,True,Qualitative,False,,,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SpinButtonNbFactors,SpinButton,5,False,000002020200_General,False,,,,,
CheckBoxWithEta,CheckBox,0,True,500000000300_Outputs|General,True,Effect size measures,False,,,
CheckBox_G,CheckBox,0,True,000000060101_General,True,Groups,False,,,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ComboBox_Format,ComboBox,0,True,000000010100_General,True,,False,,,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RefEditDataTable,TextBox,,True,000000000200_General,True,Data table:,False,,,
RefEdit_Wr,TextBox0,,True,000000050101_General,True,Regression weights:,False,,,
RefEdit_ObsLabels,TextBox0,,True,000000010101_General,True,Observation labels:,False,,,
RefEdit_W,TextBox0,,True,000000030101_General,True,Observation weights:,False,,,
RefEdit_Y,TextBox0,'Sheet6'!$C$1:$C$312,True,000000020000_General,True,Y / Dependent variables:,False,,26,1
RefEdit_X,TextBox0,'Sheet6'!$B$1:$B$312,True,000002040000_General,True,X / Explanatory variables:,False,,26,1
RefEdit_Q,TextBox0,,True,000004040000_General,True,Qualitative:,False,,,
RefEdit_G,TextBox0,,True,000000070101_General,True,Groups:,False,,,
RefEditClusters,TextBox0,,True,120000000500_Options|Covariances,True,Clusters:,False,,,
CheckBox_SV,CheckBox,0,False,05,False,SV,False,,,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CheckBox_TISS_SV,CheckBox,0,True,000000010201_General,True,Type I/III SS,False,,,
ListBoxPairwise_SV,TextBox,Click to select tests,True,000000020201_General,True,Pairwise comparisons:,False,,,
CheckBoxPairwise_SV,CheckBox,0,True,000000030201_General,True,Pairwise comparisons,False,,,
CheckBoxInterpret_SV,CheckBox,0,True,000000040201_General,True,Interpretation,False,,,
OptionButton_W,OptionButton,0,True,0006,True,Workbook,False,,,
OptionButton_R,OptionButton,-1,True,0106,True,Range,False,,,
OptionButton_S,OptionButton,0,True,0206,True,Sheet,False,,,
RefEdit_R,RefEdit,'Sheet12'!$A$1,True,0306,True,Range:,False,,0,0
CheckBoxGroupsColor,CheckBox,-1,True,000000080101_General,True,Regression by group,False,,,
CheckBox_SV,CheckBox,0,False,23,False,SV,False,,,
</a:t>
          </a:r>
          <a:endParaRPr lang="ar-EG" sz="1100"/>
        </a:p>
      </xdr:txBody>
    </xdr:sp>
    <xdr:clientData/>
  </xdr:twoCellAnchor>
  <xdr:twoCellAnchor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3" name="TX797943" hidden="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>
          <a:off x="1209040" y="12039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RunProcAIA
Form298.txt
Form53.txt
</a:t>
          </a:r>
          <a:endParaRPr lang="ar-EG" sz="1100"/>
        </a:p>
      </xdr:txBody>
    </xdr:sp>
    <xdr:clientData/>
  </xdr:twoCellAnchor>
  <xdr:twoCellAnchor editAs="absolute">
    <xdr:from>
      <xdr:col>0</xdr:col>
      <xdr:colOff>6350</xdr:colOff>
      <xdr:row>4</xdr:row>
      <xdr:rowOff>120650</xdr:rowOff>
    </xdr:from>
    <xdr:to>
      <xdr:col>4</xdr:col>
      <xdr:colOff>6350</xdr:colOff>
      <xdr:row>6</xdr:row>
      <xdr:rowOff>180975</xdr:rowOff>
    </xdr:to>
    <xdr:sp macro="" textlink="">
      <xdr:nvSpPr>
        <xdr:cNvPr id="4" name="BK40147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350" y="1210310"/>
          <a:ext cx="478536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 editAs="absolute">
    <xdr:from>
      <xdr:col>0</xdr:col>
      <xdr:colOff>453602</xdr:colOff>
      <xdr:row>4</xdr:row>
      <xdr:rowOff>168276</xdr:rowOff>
    </xdr:from>
    <xdr:to>
      <xdr:col>0</xdr:col>
      <xdr:colOff>839682</xdr:colOff>
      <xdr:row>6</xdr:row>
      <xdr:rowOff>82411</xdr:rowOff>
    </xdr:to>
    <xdr:pic macro="[0]!ReRunXLSTAT">
      <xdr:nvPicPr>
        <xdr:cNvPr id="5" name="BT401471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602" y="1257936"/>
          <a:ext cx="386080" cy="317995"/>
        </a:xfrm>
        <a:prstGeom prst="rect">
          <a:avLst/>
        </a:prstGeom>
      </xdr:spPr>
    </xdr:pic>
    <xdr:clientData/>
  </xdr:twoCellAnchor>
  <xdr:twoCellAnchor editAs="absolute">
    <xdr:from>
      <xdr:col>1</xdr:col>
      <xdr:colOff>130810</xdr:colOff>
      <xdr:row>4</xdr:row>
      <xdr:rowOff>168276</xdr:rowOff>
    </xdr:from>
    <xdr:to>
      <xdr:col>1</xdr:col>
      <xdr:colOff>516890</xdr:colOff>
      <xdr:row>6</xdr:row>
      <xdr:rowOff>92801</xdr:rowOff>
    </xdr:to>
    <xdr:pic macro="[0]!AddRemovGrid">
      <xdr:nvPicPr>
        <xdr:cNvPr id="6" name="RM401471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150" y="1257936"/>
          <a:ext cx="386080" cy="328385"/>
        </a:xfrm>
        <a:prstGeom prst="rect">
          <a:avLst/>
        </a:prstGeom>
      </xdr:spPr>
    </xdr:pic>
    <xdr:clientData/>
  </xdr:twoCellAnchor>
  <xdr:twoCellAnchor editAs="absolute">
    <xdr:from>
      <xdr:col>1</xdr:col>
      <xdr:colOff>130810</xdr:colOff>
      <xdr:row>4</xdr:row>
      <xdr:rowOff>168276</xdr:rowOff>
    </xdr:from>
    <xdr:to>
      <xdr:col>1</xdr:col>
      <xdr:colOff>516890</xdr:colOff>
      <xdr:row>6</xdr:row>
      <xdr:rowOff>88291</xdr:rowOff>
    </xdr:to>
    <xdr:pic macro="[0]!AddRemovGrid">
      <xdr:nvPicPr>
        <xdr:cNvPr id="7" name="AD401471" hidden="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7150" y="1257936"/>
          <a:ext cx="386080" cy="323875"/>
        </a:xfrm>
        <a:prstGeom prst="rect">
          <a:avLst/>
        </a:prstGeom>
      </xdr:spPr>
    </xdr:pic>
    <xdr:clientData/>
  </xdr:twoCellAnchor>
  <xdr:twoCellAnchor editAs="absolute">
    <xdr:from>
      <xdr:col>1</xdr:col>
      <xdr:colOff>1004358</xdr:colOff>
      <xdr:row>4</xdr:row>
      <xdr:rowOff>168275</xdr:rowOff>
    </xdr:from>
    <xdr:to>
      <xdr:col>2</xdr:col>
      <xdr:colOff>194098</xdr:colOff>
      <xdr:row>6</xdr:row>
      <xdr:rowOff>89837</xdr:rowOff>
    </xdr:to>
    <xdr:pic macro="[0]!SendToOfficeLocal">
      <xdr:nvPicPr>
        <xdr:cNvPr id="9" name="WD401471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0698" y="1257935"/>
          <a:ext cx="386080" cy="325422"/>
        </a:xfrm>
        <a:prstGeom prst="rect">
          <a:avLst/>
        </a:prstGeom>
      </xdr:spPr>
    </xdr:pic>
    <xdr:clientData/>
  </xdr:twoCellAnchor>
  <xdr:twoCellAnchor editAs="absolute">
    <xdr:from>
      <xdr:col>2</xdr:col>
      <xdr:colOff>681567</xdr:colOff>
      <xdr:row>4</xdr:row>
      <xdr:rowOff>168276</xdr:rowOff>
    </xdr:from>
    <xdr:to>
      <xdr:col>2</xdr:col>
      <xdr:colOff>1067647</xdr:colOff>
      <xdr:row>6</xdr:row>
      <xdr:rowOff>91575</xdr:rowOff>
    </xdr:to>
    <xdr:pic macro="[0]!SendToOfficeLocal">
      <xdr:nvPicPr>
        <xdr:cNvPr id="10" name="PT401471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4247" y="1257936"/>
          <a:ext cx="386080" cy="327159"/>
        </a:xfrm>
        <a:prstGeom prst="rect">
          <a:avLst/>
        </a:prstGeom>
      </xdr:spPr>
    </xdr:pic>
    <xdr:clientData/>
  </xdr:twoCellAnchor>
  <xdr:twoCellAnchor editAs="absolute">
    <xdr:from>
      <xdr:col>3</xdr:col>
      <xdr:colOff>358775</xdr:colOff>
      <xdr:row>4</xdr:row>
      <xdr:rowOff>168275</xdr:rowOff>
    </xdr:from>
    <xdr:to>
      <xdr:col>3</xdr:col>
      <xdr:colOff>744855</xdr:colOff>
      <xdr:row>6</xdr:row>
      <xdr:rowOff>88119</xdr:rowOff>
    </xdr:to>
    <xdr:pic macro="[0]!getAIAResultsLocal">
      <xdr:nvPicPr>
        <xdr:cNvPr id="11" name="IA797943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47795" y="1257935"/>
          <a:ext cx="386080" cy="3237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</xdr:row>
      <xdr:rowOff>1</xdr:rowOff>
    </xdr:from>
    <xdr:to>
      <xdr:col>3</xdr:col>
      <xdr:colOff>0</xdr:colOff>
      <xdr:row>88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406</xdr:row>
      <xdr:rowOff>2</xdr:rowOff>
    </xdr:from>
    <xdr:to>
      <xdr:col>3</xdr:col>
      <xdr:colOff>0</xdr:colOff>
      <xdr:row>423</xdr:row>
      <xdr:rowOff>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127000</xdr:colOff>
      <xdr:row>406</xdr:row>
      <xdr:rowOff>2</xdr:rowOff>
    </xdr:from>
    <xdr:to>
      <xdr:col>6</xdr:col>
      <xdr:colOff>127000</xdr:colOff>
      <xdr:row>423</xdr:row>
      <xdr:rowOff>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425</xdr:row>
      <xdr:rowOff>1</xdr:rowOff>
    </xdr:from>
    <xdr:to>
      <xdr:col>3</xdr:col>
      <xdr:colOff>0</xdr:colOff>
      <xdr:row>442</xdr:row>
      <xdr:rowOff>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127000</xdr:colOff>
      <xdr:row>425</xdr:row>
      <xdr:rowOff>1</xdr:rowOff>
    </xdr:from>
    <xdr:to>
      <xdr:col>6</xdr:col>
      <xdr:colOff>127000</xdr:colOff>
      <xdr:row>442</xdr:row>
      <xdr:rowOff>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254000</xdr:colOff>
      <xdr:row>425</xdr:row>
      <xdr:rowOff>1</xdr:rowOff>
    </xdr:from>
    <xdr:to>
      <xdr:col>9</xdr:col>
      <xdr:colOff>254000</xdr:colOff>
      <xdr:row>442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444</xdr:row>
      <xdr:rowOff>0</xdr:rowOff>
    </xdr:from>
    <xdr:to>
      <xdr:col>3</xdr:col>
      <xdr:colOff>0</xdr:colOff>
      <xdr:row>461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1" name="XP401471" hidden="1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4*SEP*Summary statistics*SEP*$A$11
Linear Regression Output 4*SEP*Correlation matrix*SEP*$A$18
Linear Regression Output 4*SEP*Regression of variable Actual Pile Length (ft.)*SEP*$A$25
Linear Regression Output 4*SEP*Goodness of fit statistics (Actual Pile Length (ft.))*SEP*$A$27
Linear Regression Output 4*SEP*Analysis of variance (Actual Pile Length (ft.))*SEP*$A$45
Linear Regression Output 4*SEP*Model parameters (Actual Pile Length (ft.))*SEP*$A$55
Linear Regression Output 4*SEP*Equation of the model (Actual Pile Length (ft.))*SEP*$A$63
Linear Regression Output 4*SEP*Standardized coefficients (Actual Pile Length (ft.))*SEP*$A$68
Linear Regression Output 4*SEP*Predictions and residuals (Actual Pile Length (ft.))*SEP*$A$94
Linear Regression Output 4*SEP*Interpretation (Actual Pile Length (ft.))*SEP*$A$467</a:t>
          </a:r>
          <a:endParaRPr lang="ar-EG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22" name="XP797943" hidden="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Linear Regression Output 4*SEP*Summary statistics*SEP*$A$11
Linear Regression Output 4*SEP*Correlation matrix*SEP*$A$18
Linear Regression Output 4*SEP*Regression of variable Actual Pile Length (ft.)*SEP*$A$25
Linear Regression Output 4*SEP*Goodness of fit statistics (Actual Pile Length (ft.))*SEP*$A$27
Linear Regression Output 4*SEP*Analysis of variance (Actual Pile Length (ft.))*SEP*$A$45
Linear Regression Output 4*SEP*Model parameters (Actual Pile Length (ft.))*SEP*$A$55
Linear Regression Output 4*SEP*Equation of the model (Actual Pile Length (ft.))*SEP*$A$63
Linear Regression Output 4*SEP*Standardized coefficients (Actual Pile Length (ft.))*SEP*$A$68
Linear Regression Output 4*SEP*Predictions and residuals (Actual Pile Length (ft.))*SEP*$A$94
Linear Regression Output 4*SEP*Interpretation (Actual Pile Length (ft.))*SEP*$A$467</a:t>
          </a:r>
          <a:endParaRPr lang="ar-EG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2</xdr:col>
          <xdr:colOff>1187450</xdr:colOff>
          <xdr:row>5</xdr:row>
          <xdr:rowOff>0</xdr:rowOff>
        </xdr:to>
        <xdr:sp macro="" textlink="">
          <xdr:nvSpPr>
            <xdr:cNvPr id="11265" name="DD838547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1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0</xdr:rowOff>
    </xdr:from>
    <xdr:to>
      <xdr:col>1</xdr:col>
      <xdr:colOff>38100</xdr:colOff>
      <xdr:row>3</xdr:row>
      <xdr:rowOff>25400</xdr:rowOff>
    </xdr:to>
    <xdr:sp macro="" textlink="">
      <xdr:nvSpPr>
        <xdr:cNvPr id="2" name="TX810395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>
          <a:off x="683260" y="8077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RunProcSCA
Form11.txt
TextBoxList,TextBox,,False,01,False,,False,,,
ScrollBarSelect,ScrollBar,0,False,02,False,,,,,
CheckBoxTrans,CheckBox,0,False,03,False,Trans,False,,,
CheckBoxVarLabels,CheckBox,-1,True,000000000001_General,True,Variable labels,False,,,
CheckBox_W,CheckBox,0,True,000000000401_General,True,Weights,False,,,
CheckBox_ObsLabels,CheckBox,0,True,000000000101_General,True,Observation labels,False,,,
CheckBoxFormats,CheckBox,-1,True,000000000301_General,True,Use the cells format,False,,,
CheckBox_Z,CheckBox,0,True,000000000500_General,True,Z,False,,,
CheckBoxBubbles,CheckBox,0,True,000000000700_General,True,Bubbles,False,,,
CheckBoxMatXY,CheckBox,0,True,100000000000_Options,True,Matrix of plots,False,,,
CheckBoxFreq,CheckBox,0,True,100000000300_Options,True,Frequencies,False,,,
CheckBoxOnly,CheckBox,0,True,100000000400_Options,True,Only if &gt;1,False,,,
OptionButtonQQ,OptionButton,0,True,100000000200_Options,True,Q-Q plots,False,,,
OptionButtonHisto,OptionButton,-1,True,100000000100_Options,True,Histograms,False,,,
CheckBoxL,CheckBox,-1,True,100000000102_Options,True,Legend,False,,,
CheckBoxColorCorrel,CheckBox,0,True,100000000002_Options,True,Color by correlation,False,,,
CheckBoxEllipse,CheckBox,0,True,100000000001_Options,True,Confidence ellipses,False,,,
OptionButtonFisher,OptionButton,-1,True,100000020101_Options,True,Fisher,False,,,
OptionButtonChiSq,OptionButton,0,True,100000030101_Options,True,Chi-square,False,,,
TextBox_Conf,TextBox,95,True,100000010101_Options,True,Confidence interval (%):,False,,,
CheckBoxLine,CheckBox,-1,True,100000000202_Options,True,Trend lines,False,,,
ComboBoxColor1,ComboBox,-1,True,200000020100_Colors,True,Enter the color of the group 1,True,,,
ComboBoxColor2,ComboBox,-1,False,200000040100_Colors,False,Enter the color of the group 2,True,,,
ComboBoxColor3,ComboBox,-1,False,200000060100_Colors,False,Enter the color of the group 3,True,,,
ComboBoxColor4,ComboBox,-1,False,200000080100_Colors,False,Enter the color of the group 4,True,,,
ComboBoxColor5,ComboBox,-1,False,200000100100_Colors,False,Enter the color of the group 5,True,,,
ComboBoxColor6,ComboBox,-1,False,200000120100_Colors,False,Enter the color of the group 6,True,,,
ComboBoxColor7,ComboBox,-1,False,200000140100_Colors,False,Enter the color of the group 7,True,,,
ComboBoxColor8,ComboBox,-1,False,200000160100_Colors,False,Enter the color of the group 8,True,,,
ComboBoxColor9,ComboBox,-1,False,200000180100_Colors,False,Enter the color of the group 9,True,,,
FileSelect1,CommandButton,,False,000000001000_General,False,RefEdit_X,False,,,
CheckBox_G,CheckBox,0,True,000000000800_General,True,Groups,False,,,
ComboBoxColor10,ComboBox,-1,False,200000000201_Colors,False,Enter the color of the group 10,True,,,
ComboBoxColor11,ComboBox,-1,False,200000000401_Colors,False,Enter the color of the group 11,True,,,
ComboBoxColor12,ComboBox,-1,False,200000000601_Colors,False,Enter the color of the group 12,True,,,
ComboBoxColor13,ComboBox,-1,False,200000000801_Colors,False,Enter the color of the group 13,True,,,
ComboBoxColor14,ComboBox,-1,False,200000001001_Colors,False,Enter the color of the group 14,True,,,
ComboBoxColor15,ComboBox,-1,False,200000001201_Colors,False,Enter the color of the group 15,True,,,
ComboBoxColor16,ComboBox,-1,False,200000001401_Colors,False,Enter the color of the group 16,True,,,
ComboBoxColor18,ComboBox,-1,False,200000001801_Colors,False,Enter the color of the group 18,True,,,
ComboBoxColor17,ComboBox,-1,False,200000001601_Colors,False,Enter the color of the group 17,True,,,
ComboBoxLines,ComboBox,0,True,100000000302_Options,True,,False,,,
TextBoxDegree,TextBox,3,True,100000010402_Options,True,Polynomial degree,False,,,
OptionButtonDataAsKnots,OptionButton,-1,True,100000000502_Options,True,Data as nodes,False,,,
OptionButtonNbKnots,OptionButton,0,True,100000010502_Options,True,Number of nodes,False,,,
TextBox_NbKnots,TextBox,5,True,100000020502_Options,True,,False,,,
RefEdit_W,TextBox0,,True,000000000501_General,True,Weights:,False,,,
RefEdit_ObsLabels,TextBox0,,True,000000000201_General,True,Observation labels:,False,,,
RefEdit_Z,TextBox0,,True,000000000600_General,True,Z:,False,,,
RefEdit_X,TextBox0,'Sheet6'!$B$3:$B$314,True,000000000100_General,True,,False,,312,1
RefEdit_Y,TextBox0,'Sheet6'!$C$3:$C$314,True,000000000400_General,True,,False,,312,1
RefEdit_G,TextBox0,,True,000000000900_General,True,Groups:,False,,,
OptionButton_R,OptionButton,-1,True,0006,True,Range,False,,,
RefEdit_R,TextBox0,'Sheet10'!$A$1,True,0106,True,Range:,False,,0,0
OptionButton_S,OptionButton,0,True,0206,True,Sheet,False,,,
OptionButton_W,OptionButton,0,True,0306,True,Workbook,False,,,
</a:t>
          </a:r>
          <a:endParaRPr lang="ar-EG" sz="1100"/>
        </a:p>
      </xdr:txBody>
    </xdr:sp>
    <xdr:clientData/>
  </xdr:twoCellAnchor>
  <xdr:twoCellAnchor editAs="absolute">
    <xdr:from>
      <xdr:col>0</xdr:col>
      <xdr:colOff>6350</xdr:colOff>
      <xdr:row>3</xdr:row>
      <xdr:rowOff>204470</xdr:rowOff>
    </xdr:from>
    <xdr:to>
      <xdr:col>3</xdr:col>
      <xdr:colOff>6350</xdr:colOff>
      <xdr:row>4</xdr:row>
      <xdr:rowOff>188595</xdr:rowOff>
    </xdr:to>
    <xdr:sp macro="" textlink="">
      <xdr:nvSpPr>
        <xdr:cNvPr id="3" name="BK810395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6350" y="814070"/>
          <a:ext cx="201168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 editAs="absolute">
    <xdr:from>
      <xdr:col>0</xdr:col>
      <xdr:colOff>83312</xdr:colOff>
      <xdr:row>3</xdr:row>
      <xdr:rowOff>252096</xdr:rowOff>
    </xdr:from>
    <xdr:to>
      <xdr:col>0</xdr:col>
      <xdr:colOff>469392</xdr:colOff>
      <xdr:row>4</xdr:row>
      <xdr:rowOff>90031</xdr:rowOff>
    </xdr:to>
    <xdr:pic macro="[0]!ReRunXLSTAT">
      <xdr:nvPicPr>
        <xdr:cNvPr id="4" name="BT810395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12" y="861696"/>
          <a:ext cx="386080" cy="317995"/>
        </a:xfrm>
        <a:prstGeom prst="rect">
          <a:avLst/>
        </a:prstGeom>
      </xdr:spPr>
    </xdr:pic>
    <xdr:clientData/>
  </xdr:twoCellAnchor>
  <xdr:twoCellAnchor editAs="absolute">
    <xdr:from>
      <xdr:col>0</xdr:col>
      <xdr:colOff>574294</xdr:colOff>
      <xdr:row>3</xdr:row>
      <xdr:rowOff>252096</xdr:rowOff>
    </xdr:from>
    <xdr:to>
      <xdr:col>1</xdr:col>
      <xdr:colOff>289814</xdr:colOff>
      <xdr:row>4</xdr:row>
      <xdr:rowOff>100421</xdr:rowOff>
    </xdr:to>
    <xdr:pic macro="[0]!AddRemovGrid">
      <xdr:nvPicPr>
        <xdr:cNvPr id="5" name="RM810395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294" y="861696"/>
          <a:ext cx="386080" cy="328385"/>
        </a:xfrm>
        <a:prstGeom prst="rect">
          <a:avLst/>
        </a:prstGeom>
      </xdr:spPr>
    </xdr:pic>
    <xdr:clientData/>
  </xdr:twoCellAnchor>
  <xdr:twoCellAnchor editAs="absolute">
    <xdr:from>
      <xdr:col>0</xdr:col>
      <xdr:colOff>574294</xdr:colOff>
      <xdr:row>3</xdr:row>
      <xdr:rowOff>252096</xdr:rowOff>
    </xdr:from>
    <xdr:to>
      <xdr:col>1</xdr:col>
      <xdr:colOff>289814</xdr:colOff>
      <xdr:row>4</xdr:row>
      <xdr:rowOff>95911</xdr:rowOff>
    </xdr:to>
    <xdr:pic macro="[0]!AddRemovGrid">
      <xdr:nvPicPr>
        <xdr:cNvPr id="6" name="AD810395" hidden="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4294" y="861696"/>
          <a:ext cx="386080" cy="323875"/>
        </a:xfrm>
        <a:prstGeom prst="rect">
          <a:avLst/>
        </a:prstGeom>
      </xdr:spPr>
    </xdr:pic>
    <xdr:clientData/>
  </xdr:twoCellAnchor>
  <xdr:twoCellAnchor editAs="absolute">
    <xdr:from>
      <xdr:col>1</xdr:col>
      <xdr:colOff>394716</xdr:colOff>
      <xdr:row>3</xdr:row>
      <xdr:rowOff>252095</xdr:rowOff>
    </xdr:from>
    <xdr:to>
      <xdr:col>2</xdr:col>
      <xdr:colOff>110236</xdr:colOff>
      <xdr:row>4</xdr:row>
      <xdr:rowOff>97457</xdr:rowOff>
    </xdr:to>
    <xdr:pic macro="[0]!SendToOfficeLocal">
      <xdr:nvPicPr>
        <xdr:cNvPr id="7" name="WD810395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5276" y="861695"/>
          <a:ext cx="386080" cy="325422"/>
        </a:xfrm>
        <a:prstGeom prst="rect">
          <a:avLst/>
        </a:prstGeom>
      </xdr:spPr>
    </xdr:pic>
    <xdr:clientData/>
  </xdr:twoCellAnchor>
  <xdr:twoCellAnchor editAs="absolute">
    <xdr:from>
      <xdr:col>2</xdr:col>
      <xdr:colOff>215138</xdr:colOff>
      <xdr:row>3</xdr:row>
      <xdr:rowOff>252096</xdr:rowOff>
    </xdr:from>
    <xdr:to>
      <xdr:col>2</xdr:col>
      <xdr:colOff>601218</xdr:colOff>
      <xdr:row>4</xdr:row>
      <xdr:rowOff>99195</xdr:rowOff>
    </xdr:to>
    <xdr:pic macro="[0]!SendToOfficeLocal">
      <xdr:nvPicPr>
        <xdr:cNvPr id="9" name="PT810395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6258" y="861696"/>
          <a:ext cx="386080" cy="32715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6</xdr:col>
      <xdr:colOff>0</xdr:colOff>
      <xdr:row>26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1" name="XP810395" hidden="1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 txBox="1"/>
      </xdr:nvSpPr>
      <xdr:spPr>
        <a:xfrm>
          <a:off x="0" y="19812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1" anchor="t"/>
        <a:lstStyle/>
        <a:p>
          <a:r>
            <a:rPr lang="en-US" sz="1100"/>
            <a:t>Scatter Plot Output 2*SEP*Scatter plots*SEP*$A$9</a:t>
          </a:r>
          <a:endParaRPr lang="ar-EG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XX1000"/>
  <sheetViews>
    <sheetView tabSelected="1" workbookViewId="0">
      <selection activeCell="B17" sqref="B17"/>
    </sheetView>
  </sheetViews>
  <sheetFormatPr defaultColWidth="8.83203125" defaultRowHeight="15.5" x14ac:dyDescent="0.35"/>
  <cols>
    <col min="1" max="2" width="15.6640625" style="1" customWidth="1"/>
    <col min="3" max="3" width="5.6640625" style="1" customWidth="1"/>
    <col min="4" max="12" width="8.83203125" style="1"/>
    <col min="13" max="13" width="65.6640625" style="1" customWidth="1"/>
    <col min="14" max="14" width="35.6640625" style="1" customWidth="1"/>
    <col min="15" max="16384" width="8.83203125" style="1"/>
  </cols>
  <sheetData>
    <row r="1" spans="1:14" ht="16" thickBot="1" x14ac:dyDescent="0.4">
      <c r="A1" s="3" t="s">
        <v>1</v>
      </c>
      <c r="B1" s="24" t="s">
        <v>0</v>
      </c>
      <c r="D1" s="43" t="s">
        <v>240</v>
      </c>
      <c r="E1" s="42"/>
      <c r="F1" s="42"/>
      <c r="G1" s="42"/>
      <c r="H1" s="42"/>
      <c r="I1" s="42"/>
      <c r="J1" s="42"/>
      <c r="K1" s="42"/>
      <c r="L1" s="42"/>
      <c r="M1" s="42"/>
    </row>
    <row r="2" spans="1:14" ht="16" thickBot="1" x14ac:dyDescent="0.4">
      <c r="A2" s="4">
        <v>3000</v>
      </c>
      <c r="B2" s="2">
        <v>355000</v>
      </c>
    </row>
    <row r="3" spans="1:14" ht="16" thickBot="1" x14ac:dyDescent="0.4">
      <c r="A3" s="4">
        <v>4000</v>
      </c>
      <c r="B3" s="2">
        <v>400000</v>
      </c>
      <c r="M3" s="34" t="s">
        <v>230</v>
      </c>
      <c r="N3" s="41" t="s">
        <v>239</v>
      </c>
    </row>
    <row r="4" spans="1:14" ht="18.5" thickBot="1" x14ac:dyDescent="0.45">
      <c r="A4" s="4">
        <v>5000</v>
      </c>
      <c r="B4" s="2">
        <v>425000</v>
      </c>
      <c r="M4" s="29" t="s">
        <v>220</v>
      </c>
      <c r="N4" s="36" t="s">
        <v>242</v>
      </c>
    </row>
    <row r="5" spans="1:14" ht="18.5" thickBot="1" x14ac:dyDescent="0.45">
      <c r="A5" s="4">
        <v>6000</v>
      </c>
      <c r="B5" s="2">
        <v>477000</v>
      </c>
      <c r="M5" s="30" t="s">
        <v>225</v>
      </c>
      <c r="N5" s="36">
        <v>205781</v>
      </c>
    </row>
    <row r="6" spans="1:14" ht="18.5" thickBot="1" x14ac:dyDescent="0.45">
      <c r="A6" s="4">
        <v>7000</v>
      </c>
      <c r="B6" s="2">
        <v>560000</v>
      </c>
      <c r="M6" s="31" t="s">
        <v>224</v>
      </c>
      <c r="N6" s="37" t="s">
        <v>243</v>
      </c>
    </row>
    <row r="7" spans="1:14" x14ac:dyDescent="0.35">
      <c r="A7" s="4">
        <v>8000</v>
      </c>
      <c r="B7" s="2">
        <v>580000</v>
      </c>
    </row>
    <row r="19" spans="13:20" x14ac:dyDescent="0.35">
      <c r="M19"/>
      <c r="N19"/>
      <c r="O19"/>
      <c r="P19"/>
      <c r="Q19"/>
      <c r="R19"/>
      <c r="S19"/>
      <c r="T19"/>
    </row>
    <row r="21" spans="13:20" x14ac:dyDescent="0.35">
      <c r="N21"/>
      <c r="O21"/>
      <c r="P21"/>
      <c r="Q21"/>
    </row>
    <row r="1000" spans="648:648" x14ac:dyDescent="0.35">
      <c r="XX1000" s="44">
        <v>166765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XX1000"/>
  <sheetViews>
    <sheetView zoomScaleNormal="100" workbookViewId="0"/>
  </sheetViews>
  <sheetFormatPr defaultColWidth="8.83203125" defaultRowHeight="15.5" x14ac:dyDescent="0.35"/>
  <cols>
    <col min="1" max="4" width="15.6640625" style="1" customWidth="1"/>
    <col min="5" max="5" width="8.83203125" style="1"/>
    <col min="6" max="6" width="60.6640625" style="1" customWidth="1"/>
    <col min="7" max="7" width="15.6640625" style="1" customWidth="1"/>
    <col min="8" max="16384" width="8.83203125" style="1"/>
  </cols>
  <sheetData>
    <row r="1" spans="1:7" ht="46" thickBot="1" x14ac:dyDescent="0.4">
      <c r="A1" s="6" t="s">
        <v>2</v>
      </c>
      <c r="B1" s="6" t="s">
        <v>3</v>
      </c>
      <c r="C1" s="7" t="s">
        <v>179</v>
      </c>
      <c r="D1" s="6" t="s">
        <v>178</v>
      </c>
      <c r="E1" s="18"/>
      <c r="F1" s="19" t="s">
        <v>227</v>
      </c>
    </row>
    <row r="2" spans="1:7" ht="16" thickBot="1" x14ac:dyDescent="0.4">
      <c r="A2" s="8" t="s">
        <v>4</v>
      </c>
      <c r="B2" s="8" t="s">
        <v>5</v>
      </c>
      <c r="C2" s="9">
        <v>3.6000000000000004E-2</v>
      </c>
      <c r="D2" s="10">
        <v>125.9</v>
      </c>
      <c r="F2" s="34" t="s">
        <v>230</v>
      </c>
    </row>
    <row r="3" spans="1:7" ht="18.5" thickBot="1" x14ac:dyDescent="0.45">
      <c r="A3" s="8" t="s">
        <v>6</v>
      </c>
      <c r="B3" s="8" t="s">
        <v>7</v>
      </c>
      <c r="C3" s="9">
        <v>2.7000000000000003E-2</v>
      </c>
      <c r="D3" s="10">
        <v>99.1</v>
      </c>
      <c r="F3" s="29" t="s">
        <v>238</v>
      </c>
      <c r="G3" s="36" t="s">
        <v>446</v>
      </c>
    </row>
    <row r="4" spans="1:7" ht="18.5" thickBot="1" x14ac:dyDescent="0.45">
      <c r="A4" s="8" t="s">
        <v>8</v>
      </c>
      <c r="B4" s="8" t="s">
        <v>7</v>
      </c>
      <c r="C4" s="9">
        <v>2.7000000000000003E-2</v>
      </c>
      <c r="D4" s="10">
        <v>95.2</v>
      </c>
      <c r="F4" s="30" t="s">
        <v>236</v>
      </c>
      <c r="G4" s="36" t="s">
        <v>243</v>
      </c>
    </row>
    <row r="5" spans="1:7" ht="18.5" thickBot="1" x14ac:dyDescent="0.45">
      <c r="A5" s="8" t="s">
        <v>9</v>
      </c>
      <c r="B5" s="8" t="s">
        <v>7</v>
      </c>
      <c r="C5" s="9">
        <v>3.6000000000000004E-2</v>
      </c>
      <c r="D5" s="10">
        <v>91.8</v>
      </c>
      <c r="F5" s="31" t="s">
        <v>226</v>
      </c>
      <c r="G5" s="37" t="s">
        <v>447</v>
      </c>
    </row>
    <row r="6" spans="1:7" x14ac:dyDescent="0.35">
      <c r="A6" s="8" t="s">
        <v>10</v>
      </c>
      <c r="B6" s="8" t="s">
        <v>7</v>
      </c>
      <c r="C6" s="9">
        <v>2.8999999999999998E-2</v>
      </c>
      <c r="D6" s="10">
        <v>92.4</v>
      </c>
    </row>
    <row r="7" spans="1:7" x14ac:dyDescent="0.35">
      <c r="A7" s="8" t="s">
        <v>11</v>
      </c>
      <c r="B7" s="8" t="s">
        <v>12</v>
      </c>
      <c r="C7" s="9">
        <v>3.2000000000000001E-2</v>
      </c>
      <c r="D7" s="10">
        <v>87.2</v>
      </c>
    </row>
    <row r="8" spans="1:7" x14ac:dyDescent="0.35">
      <c r="A8" s="8" t="s">
        <v>13</v>
      </c>
      <c r="B8" s="8" t="s">
        <v>14</v>
      </c>
      <c r="C8" s="9">
        <v>2.6000000000000002E-2</v>
      </c>
      <c r="D8" s="10">
        <v>99.9</v>
      </c>
    </row>
    <row r="9" spans="1:7" x14ac:dyDescent="0.35">
      <c r="A9" s="8" t="s">
        <v>15</v>
      </c>
      <c r="B9" s="8" t="s">
        <v>14</v>
      </c>
      <c r="C9" s="9">
        <v>2.3E-2</v>
      </c>
      <c r="D9" s="10">
        <v>99.7</v>
      </c>
    </row>
    <row r="10" spans="1:7" x14ac:dyDescent="0.35">
      <c r="A10" s="8" t="s">
        <v>16</v>
      </c>
      <c r="B10" s="8" t="s">
        <v>17</v>
      </c>
      <c r="C10" s="9">
        <v>0.125</v>
      </c>
      <c r="D10" s="10">
        <v>106.1</v>
      </c>
    </row>
    <row r="11" spans="1:7" x14ac:dyDescent="0.35">
      <c r="A11" s="8" t="s">
        <v>18</v>
      </c>
      <c r="B11" s="8" t="s">
        <v>17</v>
      </c>
      <c r="C11" s="9">
        <v>0.13800000000000001</v>
      </c>
      <c r="D11" s="10">
        <v>105.8</v>
      </c>
    </row>
    <row r="12" spans="1:7" x14ac:dyDescent="0.35">
      <c r="A12" s="8" t="s">
        <v>19</v>
      </c>
      <c r="B12" s="8" t="s">
        <v>17</v>
      </c>
      <c r="C12" s="9">
        <v>6.3E-2</v>
      </c>
      <c r="D12" s="10">
        <v>122</v>
      </c>
    </row>
    <row r="13" spans="1:7" x14ac:dyDescent="0.35">
      <c r="A13" s="8" t="s">
        <v>20</v>
      </c>
      <c r="B13" s="8" t="s">
        <v>17</v>
      </c>
      <c r="C13" s="9">
        <v>4.0999999999999995E-2</v>
      </c>
      <c r="D13" s="10">
        <v>114</v>
      </c>
    </row>
    <row r="14" spans="1:7" x14ac:dyDescent="0.35">
      <c r="A14" s="8" t="s">
        <v>21</v>
      </c>
      <c r="B14" s="8" t="s">
        <v>17</v>
      </c>
      <c r="C14" s="9">
        <v>3.2000000000000001E-2</v>
      </c>
      <c r="D14" s="10">
        <v>122.8</v>
      </c>
    </row>
    <row r="15" spans="1:7" x14ac:dyDescent="0.35">
      <c r="A15" s="8" t="s">
        <v>22</v>
      </c>
      <c r="B15" s="8" t="s">
        <v>17</v>
      </c>
      <c r="C15" s="9">
        <v>2.5000000000000001E-2</v>
      </c>
      <c r="D15" s="10">
        <v>144.69999999999999</v>
      </c>
    </row>
    <row r="16" spans="1:7" x14ac:dyDescent="0.35">
      <c r="A16" s="8" t="s">
        <v>23</v>
      </c>
      <c r="B16" s="8" t="s">
        <v>24</v>
      </c>
      <c r="C16" s="9">
        <v>3.7000000000000005E-2</v>
      </c>
      <c r="D16" s="10">
        <v>96.8</v>
      </c>
    </row>
    <row r="17" spans="1:12" x14ac:dyDescent="0.35">
      <c r="A17" s="8" t="s">
        <v>25</v>
      </c>
      <c r="B17" s="8" t="s">
        <v>24</v>
      </c>
      <c r="C17" s="9">
        <v>2.5999999999999999E-2</v>
      </c>
      <c r="D17" s="10">
        <v>105.3</v>
      </c>
    </row>
    <row r="18" spans="1:12" x14ac:dyDescent="0.35">
      <c r="A18" s="8" t="s">
        <v>26</v>
      </c>
      <c r="B18" s="8" t="s">
        <v>24</v>
      </c>
      <c r="C18" s="9">
        <v>5.7999999999999996E-2</v>
      </c>
      <c r="D18" s="10">
        <v>92.5</v>
      </c>
    </row>
    <row r="19" spans="1:12" x14ac:dyDescent="0.35">
      <c r="A19" s="8" t="s">
        <v>27</v>
      </c>
      <c r="B19" s="8" t="s">
        <v>28</v>
      </c>
      <c r="C19" s="9">
        <v>3.4000000000000002E-2</v>
      </c>
      <c r="D19" s="10">
        <v>121.8</v>
      </c>
    </row>
    <row r="20" spans="1:12" x14ac:dyDescent="0.35">
      <c r="A20" s="8" t="s">
        <v>29</v>
      </c>
      <c r="B20" s="8" t="s">
        <v>30</v>
      </c>
      <c r="C20" s="9">
        <v>2.8999999999999998E-2</v>
      </c>
      <c r="D20" s="10">
        <v>132</v>
      </c>
    </row>
    <row r="21" spans="1:12" x14ac:dyDescent="0.35">
      <c r="A21" s="8" t="s">
        <v>31</v>
      </c>
      <c r="B21" s="8" t="s">
        <v>32</v>
      </c>
      <c r="C21" s="9">
        <v>3.2000000000000001E-2</v>
      </c>
      <c r="D21" s="10">
        <v>108.1</v>
      </c>
      <c r="F21"/>
      <c r="G21"/>
      <c r="H21"/>
      <c r="I21"/>
      <c r="J21"/>
      <c r="K21"/>
      <c r="L21"/>
    </row>
    <row r="22" spans="1:12" x14ac:dyDescent="0.35">
      <c r="A22" s="8" t="s">
        <v>33</v>
      </c>
      <c r="B22" s="8" t="s">
        <v>34</v>
      </c>
      <c r="C22" s="9">
        <v>4.4000000000000004E-2</v>
      </c>
      <c r="D22" s="10">
        <v>97.2</v>
      </c>
    </row>
    <row r="23" spans="1:12" x14ac:dyDescent="0.35">
      <c r="A23" s="8" t="s">
        <v>35</v>
      </c>
      <c r="B23" s="8" t="s">
        <v>34</v>
      </c>
      <c r="C23" s="9">
        <v>2.8999999999999998E-2</v>
      </c>
      <c r="D23" s="10">
        <v>95.4</v>
      </c>
      <c r="H23"/>
      <c r="I23"/>
      <c r="J23"/>
      <c r="K23"/>
    </row>
    <row r="24" spans="1:12" x14ac:dyDescent="0.35">
      <c r="A24" s="8" t="s">
        <v>36</v>
      </c>
      <c r="B24" s="8" t="s">
        <v>34</v>
      </c>
      <c r="C24" s="9">
        <v>6.7000000000000004E-2</v>
      </c>
      <c r="D24" s="10">
        <v>104.5</v>
      </c>
    </row>
    <row r="25" spans="1:12" x14ac:dyDescent="0.35">
      <c r="A25" s="8" t="s">
        <v>37</v>
      </c>
      <c r="B25" s="8" t="s">
        <v>34</v>
      </c>
      <c r="C25" s="9">
        <v>2.8999999999999998E-2</v>
      </c>
      <c r="D25" s="10">
        <v>97</v>
      </c>
    </row>
    <row r="26" spans="1:12" x14ac:dyDescent="0.35">
      <c r="A26" s="8" t="s">
        <v>38</v>
      </c>
      <c r="B26" s="8" t="s">
        <v>34</v>
      </c>
      <c r="C26" s="9">
        <v>3.7000000000000005E-2</v>
      </c>
      <c r="D26" s="10">
        <v>93.6</v>
      </c>
    </row>
    <row r="27" spans="1:12" x14ac:dyDescent="0.35">
      <c r="A27" s="8" t="s">
        <v>39</v>
      </c>
      <c r="B27" s="8" t="s">
        <v>34</v>
      </c>
      <c r="C27" s="9">
        <v>3.1E-2</v>
      </c>
      <c r="D27" s="10">
        <v>100.1</v>
      </c>
    </row>
    <row r="28" spans="1:12" x14ac:dyDescent="0.35">
      <c r="A28" s="8" t="s">
        <v>40</v>
      </c>
      <c r="B28" s="8" t="s">
        <v>34</v>
      </c>
      <c r="C28" s="9">
        <v>2.9000000000000001E-2</v>
      </c>
      <c r="D28" s="10">
        <v>97.8</v>
      </c>
    </row>
    <row r="29" spans="1:12" x14ac:dyDescent="0.35">
      <c r="A29" s="8" t="s">
        <v>41</v>
      </c>
      <c r="B29" s="8" t="s">
        <v>34</v>
      </c>
      <c r="C29" s="9">
        <v>5.6000000000000001E-2</v>
      </c>
      <c r="D29" s="10">
        <v>104.7</v>
      </c>
    </row>
    <row r="30" spans="1:12" x14ac:dyDescent="0.35">
      <c r="A30" s="8" t="s">
        <v>42</v>
      </c>
      <c r="B30" s="8" t="s">
        <v>43</v>
      </c>
      <c r="C30" s="9">
        <v>0.03</v>
      </c>
      <c r="D30" s="10">
        <v>97.4</v>
      </c>
    </row>
    <row r="31" spans="1:12" x14ac:dyDescent="0.35">
      <c r="A31" s="8" t="s">
        <v>44</v>
      </c>
      <c r="B31" s="8" t="s">
        <v>43</v>
      </c>
      <c r="C31" s="9">
        <v>4.4000000000000004E-2</v>
      </c>
      <c r="D31" s="10">
        <v>93.9</v>
      </c>
    </row>
    <row r="32" spans="1:12" x14ac:dyDescent="0.35">
      <c r="A32" s="8" t="s">
        <v>45</v>
      </c>
      <c r="B32" s="8" t="s">
        <v>43</v>
      </c>
      <c r="C32" s="9">
        <v>4.7E-2</v>
      </c>
      <c r="D32" s="10">
        <v>95.1</v>
      </c>
    </row>
    <row r="33" spans="1:4" x14ac:dyDescent="0.35">
      <c r="A33" s="8" t="s">
        <v>46</v>
      </c>
      <c r="B33" s="8" t="s">
        <v>47</v>
      </c>
      <c r="C33" s="9">
        <v>1.8000000000000002E-2</v>
      </c>
      <c r="D33" s="10">
        <v>94.7</v>
      </c>
    </row>
    <row r="34" spans="1:4" x14ac:dyDescent="0.35">
      <c r="A34" s="8" t="s">
        <v>48</v>
      </c>
      <c r="B34" s="8" t="s">
        <v>47</v>
      </c>
      <c r="C34" s="9">
        <v>2.5999999999999999E-2</v>
      </c>
      <c r="D34" s="10">
        <v>107.5</v>
      </c>
    </row>
    <row r="35" spans="1:4" x14ac:dyDescent="0.35">
      <c r="A35" s="8" t="s">
        <v>49</v>
      </c>
      <c r="B35" s="8" t="s">
        <v>50</v>
      </c>
      <c r="C35" s="9">
        <v>3.3000000000000002E-2</v>
      </c>
      <c r="D35" s="10">
        <v>102.7</v>
      </c>
    </row>
    <row r="36" spans="1:4" x14ac:dyDescent="0.35">
      <c r="A36" s="8" t="s">
        <v>51</v>
      </c>
      <c r="B36" s="8" t="s">
        <v>50</v>
      </c>
      <c r="C36" s="9">
        <v>4.4999999999999998E-2</v>
      </c>
      <c r="D36" s="10">
        <v>99.8</v>
      </c>
    </row>
    <row r="37" spans="1:4" x14ac:dyDescent="0.35">
      <c r="A37" s="8" t="s">
        <v>52</v>
      </c>
      <c r="B37" s="8" t="s">
        <v>53</v>
      </c>
      <c r="C37" s="9">
        <v>0.04</v>
      </c>
      <c r="D37" s="10">
        <v>121.6</v>
      </c>
    </row>
    <row r="38" spans="1:4" x14ac:dyDescent="0.35">
      <c r="A38" s="8" t="s">
        <v>54</v>
      </c>
      <c r="B38" s="8" t="s">
        <v>53</v>
      </c>
      <c r="C38" s="9">
        <v>4.0999999999999995E-2</v>
      </c>
      <c r="D38" s="10">
        <v>103.6</v>
      </c>
    </row>
    <row r="39" spans="1:4" x14ac:dyDescent="0.35">
      <c r="A39" s="8" t="s">
        <v>55</v>
      </c>
      <c r="B39" s="8" t="s">
        <v>53</v>
      </c>
      <c r="C39" s="9">
        <v>3.6000000000000004E-2</v>
      </c>
      <c r="D39" s="10">
        <v>95.1</v>
      </c>
    </row>
    <row r="40" spans="1:4" x14ac:dyDescent="0.35">
      <c r="A40" s="8" t="s">
        <v>56</v>
      </c>
      <c r="B40" s="8" t="s">
        <v>57</v>
      </c>
      <c r="C40" s="9">
        <v>2.4E-2</v>
      </c>
      <c r="D40" s="10">
        <v>93.3</v>
      </c>
    </row>
    <row r="41" spans="1:4" x14ac:dyDescent="0.35">
      <c r="A41" s="8" t="s">
        <v>58</v>
      </c>
      <c r="B41" s="8" t="s">
        <v>57</v>
      </c>
      <c r="C41" s="9">
        <v>2.3E-2</v>
      </c>
      <c r="D41" s="10">
        <v>94.9</v>
      </c>
    </row>
    <row r="42" spans="1:4" x14ac:dyDescent="0.35">
      <c r="A42" s="8" t="s">
        <v>59</v>
      </c>
      <c r="B42" s="8" t="s">
        <v>57</v>
      </c>
      <c r="C42" s="9">
        <v>2.4E-2</v>
      </c>
      <c r="D42" s="10">
        <v>90.9</v>
      </c>
    </row>
    <row r="43" spans="1:4" x14ac:dyDescent="0.35">
      <c r="A43" s="8" t="s">
        <v>60</v>
      </c>
      <c r="B43" s="8" t="s">
        <v>61</v>
      </c>
      <c r="C43" s="9">
        <v>4.2999999999999997E-2</v>
      </c>
      <c r="D43" s="10">
        <v>95.1</v>
      </c>
    </row>
    <row r="44" spans="1:4" x14ac:dyDescent="0.35">
      <c r="A44" s="8" t="s">
        <v>62</v>
      </c>
      <c r="B44" s="8" t="s">
        <v>61</v>
      </c>
      <c r="C44" s="9">
        <v>3.3000000000000002E-2</v>
      </c>
      <c r="D44" s="10">
        <v>94.8</v>
      </c>
    </row>
    <row r="45" spans="1:4" x14ac:dyDescent="0.35">
      <c r="A45" s="8" t="s">
        <v>63</v>
      </c>
      <c r="B45" s="8" t="s">
        <v>64</v>
      </c>
      <c r="C45" s="9">
        <v>1.9E-2</v>
      </c>
      <c r="D45" s="10">
        <v>95.9</v>
      </c>
    </row>
    <row r="46" spans="1:4" x14ac:dyDescent="0.35">
      <c r="A46" s="8" t="s">
        <v>65</v>
      </c>
      <c r="B46" s="8" t="s">
        <v>64</v>
      </c>
      <c r="C46" s="9">
        <v>2.7000000000000003E-2</v>
      </c>
      <c r="D46" s="10">
        <v>92.8</v>
      </c>
    </row>
    <row r="47" spans="1:4" x14ac:dyDescent="0.35">
      <c r="A47" s="8" t="s">
        <v>66</v>
      </c>
      <c r="B47" s="8" t="s">
        <v>67</v>
      </c>
      <c r="C47" s="9">
        <v>3.7000000000000005E-2</v>
      </c>
      <c r="D47" s="10">
        <v>98.5</v>
      </c>
    </row>
    <row r="48" spans="1:4" x14ac:dyDescent="0.35">
      <c r="A48" s="8" t="s">
        <v>68</v>
      </c>
      <c r="B48" s="8" t="s">
        <v>67</v>
      </c>
      <c r="C48" s="9">
        <v>0.04</v>
      </c>
      <c r="D48" s="10">
        <v>94.5</v>
      </c>
    </row>
    <row r="49" spans="1:4" x14ac:dyDescent="0.35">
      <c r="A49" s="8" t="s">
        <v>69</v>
      </c>
      <c r="B49" s="8" t="s">
        <v>67</v>
      </c>
      <c r="C49" s="9">
        <v>4.8000000000000001E-2</v>
      </c>
      <c r="D49" s="10">
        <v>94.9</v>
      </c>
    </row>
    <row r="50" spans="1:4" x14ac:dyDescent="0.35">
      <c r="A50" s="8" t="s">
        <v>70</v>
      </c>
      <c r="B50" s="8" t="s">
        <v>71</v>
      </c>
      <c r="C50" s="9">
        <v>2.1999999999999999E-2</v>
      </c>
      <c r="D50" s="10">
        <v>136.80000000000001</v>
      </c>
    </row>
    <row r="51" spans="1:4" x14ac:dyDescent="0.35">
      <c r="A51" s="8" t="s">
        <v>72</v>
      </c>
      <c r="B51" s="8" t="s">
        <v>73</v>
      </c>
      <c r="C51" s="9">
        <v>4.7E-2</v>
      </c>
      <c r="D51" s="10">
        <v>102.3</v>
      </c>
    </row>
    <row r="52" spans="1:4" x14ac:dyDescent="0.35">
      <c r="A52" s="8" t="s">
        <v>74</v>
      </c>
      <c r="B52" s="8" t="s">
        <v>75</v>
      </c>
      <c r="C52" s="9">
        <v>2.7999999999999997E-2</v>
      </c>
      <c r="D52" s="10">
        <v>113</v>
      </c>
    </row>
    <row r="53" spans="1:4" x14ac:dyDescent="0.35">
      <c r="A53" s="8" t="s">
        <v>76</v>
      </c>
      <c r="B53" s="8" t="s">
        <v>75</v>
      </c>
      <c r="C53" s="9">
        <v>2.5000000000000001E-2</v>
      </c>
      <c r="D53" s="10">
        <v>102.1</v>
      </c>
    </row>
    <row r="54" spans="1:4" x14ac:dyDescent="0.35">
      <c r="A54" s="8" t="s">
        <v>77</v>
      </c>
      <c r="B54" s="8" t="s">
        <v>75</v>
      </c>
      <c r="C54" s="9">
        <v>2.1000000000000001E-2</v>
      </c>
      <c r="D54" s="10">
        <v>102.9</v>
      </c>
    </row>
    <row r="55" spans="1:4" x14ac:dyDescent="0.35">
      <c r="A55" s="8" t="s">
        <v>78</v>
      </c>
      <c r="B55" s="8" t="s">
        <v>79</v>
      </c>
      <c r="C55" s="9">
        <v>1.4999999999999999E-2</v>
      </c>
      <c r="D55" s="10">
        <v>99.7</v>
      </c>
    </row>
    <row r="56" spans="1:4" x14ac:dyDescent="0.35">
      <c r="A56" s="8" t="s">
        <v>80</v>
      </c>
      <c r="B56" s="8" t="s">
        <v>79</v>
      </c>
      <c r="C56" s="9">
        <v>1.2E-2</v>
      </c>
      <c r="D56" s="10">
        <v>97.5</v>
      </c>
    </row>
    <row r="57" spans="1:4" x14ac:dyDescent="0.35">
      <c r="A57" s="8" t="s">
        <v>81</v>
      </c>
      <c r="B57" s="8" t="s">
        <v>82</v>
      </c>
      <c r="C57" s="9">
        <v>1.3999999999999999E-2</v>
      </c>
      <c r="D57" s="10">
        <v>93.1</v>
      </c>
    </row>
    <row r="58" spans="1:4" x14ac:dyDescent="0.35">
      <c r="A58" s="8" t="s">
        <v>83</v>
      </c>
      <c r="B58" s="8" t="s">
        <v>82</v>
      </c>
      <c r="C58" s="9">
        <v>3.2000000000000001E-2</v>
      </c>
      <c r="D58" s="10">
        <v>96.1</v>
      </c>
    </row>
    <row r="59" spans="1:4" x14ac:dyDescent="0.35">
      <c r="A59" s="8" t="s">
        <v>55</v>
      </c>
      <c r="B59" s="8" t="s">
        <v>82</v>
      </c>
      <c r="C59" s="9">
        <v>2.5000000000000001E-2</v>
      </c>
      <c r="D59" s="10">
        <v>94.5</v>
      </c>
    </row>
    <row r="60" spans="1:4" x14ac:dyDescent="0.35">
      <c r="A60" s="8" t="s">
        <v>84</v>
      </c>
      <c r="B60" s="8" t="s">
        <v>82</v>
      </c>
      <c r="C60" s="9">
        <v>3.5000000000000003E-2</v>
      </c>
      <c r="D60" s="10">
        <v>97.4</v>
      </c>
    </row>
    <row r="61" spans="1:4" x14ac:dyDescent="0.35">
      <c r="A61" s="8" t="s">
        <v>85</v>
      </c>
      <c r="B61" s="8" t="s">
        <v>86</v>
      </c>
      <c r="C61" s="9">
        <v>2.8000000000000001E-2</v>
      </c>
      <c r="D61" s="10">
        <v>94.3</v>
      </c>
    </row>
    <row r="62" spans="1:4" x14ac:dyDescent="0.35">
      <c r="A62" s="8" t="s">
        <v>87</v>
      </c>
      <c r="B62" s="8" t="s">
        <v>88</v>
      </c>
      <c r="C62" s="9">
        <v>3.7999999999999999E-2</v>
      </c>
      <c r="D62" s="10">
        <v>102.7</v>
      </c>
    </row>
    <row r="63" spans="1:4" x14ac:dyDescent="0.35">
      <c r="A63" s="8" t="s">
        <v>89</v>
      </c>
      <c r="B63" s="8" t="s">
        <v>88</v>
      </c>
      <c r="C63" s="9">
        <v>5.7000000000000002E-2</v>
      </c>
      <c r="D63" s="10">
        <v>102.5</v>
      </c>
    </row>
    <row r="64" spans="1:4" x14ac:dyDescent="0.35">
      <c r="A64" s="8" t="s">
        <v>90</v>
      </c>
      <c r="B64" s="8" t="s">
        <v>88</v>
      </c>
      <c r="C64" s="9">
        <v>5.2000000000000005E-2</v>
      </c>
      <c r="D64" s="10">
        <v>101.8</v>
      </c>
    </row>
    <row r="65" spans="1:4" x14ac:dyDescent="0.35">
      <c r="A65" s="8" t="s">
        <v>91</v>
      </c>
      <c r="B65" s="8" t="s">
        <v>92</v>
      </c>
      <c r="C65" s="9">
        <v>3.3000000000000002E-2</v>
      </c>
      <c r="D65" s="10">
        <v>100</v>
      </c>
    </row>
    <row r="66" spans="1:4" x14ac:dyDescent="0.35">
      <c r="A66" s="8" t="s">
        <v>93</v>
      </c>
      <c r="B66" s="8" t="s">
        <v>92</v>
      </c>
      <c r="C66" s="9">
        <v>0.05</v>
      </c>
      <c r="D66" s="10">
        <v>96.8</v>
      </c>
    </row>
    <row r="67" spans="1:4" x14ac:dyDescent="0.35">
      <c r="A67" s="8" t="s">
        <v>94</v>
      </c>
      <c r="B67" s="8" t="s">
        <v>92</v>
      </c>
      <c r="C67" s="9">
        <v>2.7999999999999997E-2</v>
      </c>
      <c r="D67" s="10">
        <v>97.5</v>
      </c>
    </row>
    <row r="68" spans="1:4" x14ac:dyDescent="0.35">
      <c r="A68" s="8" t="s">
        <v>95</v>
      </c>
      <c r="B68" s="8" t="s">
        <v>92</v>
      </c>
      <c r="C68" s="9">
        <v>1.9E-2</v>
      </c>
      <c r="D68" s="10">
        <v>97.3</v>
      </c>
    </row>
    <row r="69" spans="1:4" x14ac:dyDescent="0.35">
      <c r="A69" s="8" t="s">
        <v>31</v>
      </c>
      <c r="B69" s="8" t="s">
        <v>92</v>
      </c>
      <c r="C69" s="9">
        <v>4.2000000000000003E-2</v>
      </c>
      <c r="D69" s="10">
        <v>97.8</v>
      </c>
    </row>
    <row r="70" spans="1:4" x14ac:dyDescent="0.35">
      <c r="A70" s="8" t="s">
        <v>96</v>
      </c>
      <c r="B70" s="8" t="s">
        <v>97</v>
      </c>
      <c r="C70" s="9">
        <v>1.8000000000000002E-2</v>
      </c>
      <c r="D70" s="10">
        <v>99.9</v>
      </c>
    </row>
    <row r="71" spans="1:4" x14ac:dyDescent="0.35">
      <c r="A71" s="8" t="s">
        <v>98</v>
      </c>
      <c r="B71" s="8" t="s">
        <v>97</v>
      </c>
      <c r="C71" s="9">
        <v>1.1000000000000001E-2</v>
      </c>
      <c r="D71" s="10">
        <v>100.8</v>
      </c>
    </row>
    <row r="72" spans="1:4" x14ac:dyDescent="0.35">
      <c r="A72" s="8" t="s">
        <v>99</v>
      </c>
      <c r="B72" s="8" t="s">
        <v>100</v>
      </c>
      <c r="C72" s="9">
        <v>1.3999999999999999E-2</v>
      </c>
      <c r="D72" s="10">
        <v>88.8</v>
      </c>
    </row>
    <row r="73" spans="1:4" x14ac:dyDescent="0.35">
      <c r="A73" s="8" t="s">
        <v>101</v>
      </c>
      <c r="B73" s="8" t="s">
        <v>100</v>
      </c>
      <c r="C73" s="9">
        <v>1.9E-2</v>
      </c>
      <c r="D73" s="10">
        <v>92.3</v>
      </c>
    </row>
    <row r="74" spans="1:4" x14ac:dyDescent="0.35">
      <c r="A74" s="8" t="s">
        <v>102</v>
      </c>
      <c r="B74" s="8" t="s">
        <v>103</v>
      </c>
      <c r="C74" s="9">
        <v>2.3E-2</v>
      </c>
      <c r="D74" s="10">
        <v>108.8</v>
      </c>
    </row>
    <row r="75" spans="1:4" x14ac:dyDescent="0.35">
      <c r="A75" s="8" t="s">
        <v>104</v>
      </c>
      <c r="B75" s="8" t="s">
        <v>105</v>
      </c>
      <c r="C75" s="9">
        <v>0.127</v>
      </c>
      <c r="D75" s="10">
        <v>132.6</v>
      </c>
    </row>
    <row r="76" spans="1:4" x14ac:dyDescent="0.35">
      <c r="A76" s="8" t="s">
        <v>106</v>
      </c>
      <c r="B76" s="8" t="s">
        <v>107</v>
      </c>
      <c r="C76" s="9">
        <v>4.5999999999999999E-2</v>
      </c>
      <c r="D76" s="10">
        <v>102.8</v>
      </c>
    </row>
    <row r="77" spans="1:4" x14ac:dyDescent="0.35">
      <c r="A77" s="8" t="s">
        <v>108</v>
      </c>
      <c r="B77" s="8" t="s">
        <v>109</v>
      </c>
      <c r="C77" s="9">
        <v>3.3000000000000002E-2</v>
      </c>
      <c r="D77" s="10">
        <v>105.6</v>
      </c>
    </row>
    <row r="78" spans="1:4" x14ac:dyDescent="0.35">
      <c r="A78" s="8" t="s">
        <v>110</v>
      </c>
      <c r="B78" s="8" t="s">
        <v>109</v>
      </c>
      <c r="C78" s="9">
        <v>2.8000000000000001E-2</v>
      </c>
      <c r="D78" s="10">
        <v>111.8</v>
      </c>
    </row>
    <row r="79" spans="1:4" x14ac:dyDescent="0.35">
      <c r="A79" s="8" t="s">
        <v>111</v>
      </c>
      <c r="B79" s="8" t="s">
        <v>112</v>
      </c>
      <c r="C79" s="9">
        <v>3.1E-2</v>
      </c>
      <c r="D79" s="10">
        <v>109.7</v>
      </c>
    </row>
    <row r="80" spans="1:4" x14ac:dyDescent="0.35">
      <c r="A80" s="8" t="s">
        <v>113</v>
      </c>
      <c r="B80" s="8" t="s">
        <v>112</v>
      </c>
      <c r="C80" s="9">
        <v>4.4999999999999998E-2</v>
      </c>
      <c r="D80" s="10">
        <v>97.3</v>
      </c>
    </row>
    <row r="81" spans="1:4" x14ac:dyDescent="0.35">
      <c r="A81" s="8" t="s">
        <v>114</v>
      </c>
      <c r="B81" s="8" t="s">
        <v>112</v>
      </c>
      <c r="C81" s="9">
        <v>7.5999999999999998E-2</v>
      </c>
      <c r="D81" s="10">
        <v>226.5</v>
      </c>
    </row>
    <row r="82" spans="1:4" x14ac:dyDescent="0.35">
      <c r="A82" s="8" t="s">
        <v>80</v>
      </c>
      <c r="B82" s="8" t="s">
        <v>112</v>
      </c>
      <c r="C82" s="9">
        <v>3.5000000000000003E-2</v>
      </c>
      <c r="D82" s="10">
        <v>110.4</v>
      </c>
    </row>
    <row r="83" spans="1:4" x14ac:dyDescent="0.35">
      <c r="A83" s="8" t="s">
        <v>115</v>
      </c>
      <c r="B83" s="8" t="s">
        <v>112</v>
      </c>
      <c r="C83" s="9">
        <v>3.4000000000000002E-2</v>
      </c>
      <c r="D83" s="10">
        <v>102.9</v>
      </c>
    </row>
    <row r="84" spans="1:4" x14ac:dyDescent="0.35">
      <c r="A84" s="8" t="s">
        <v>116</v>
      </c>
      <c r="B84" s="8" t="s">
        <v>117</v>
      </c>
      <c r="C84" s="9">
        <v>3.6999999999999998E-2</v>
      </c>
      <c r="D84" s="10">
        <v>96.3</v>
      </c>
    </row>
    <row r="85" spans="1:4" x14ac:dyDescent="0.35">
      <c r="A85" s="8" t="s">
        <v>118</v>
      </c>
      <c r="B85" s="8" t="s">
        <v>117</v>
      </c>
      <c r="C85" s="9">
        <v>3.2000000000000001E-2</v>
      </c>
      <c r="D85" s="10">
        <v>101.1</v>
      </c>
    </row>
    <row r="86" spans="1:4" x14ac:dyDescent="0.35">
      <c r="A86" s="8" t="s">
        <v>119</v>
      </c>
      <c r="B86" s="8" t="s">
        <v>117</v>
      </c>
      <c r="C86" s="9">
        <v>4.2000000000000003E-2</v>
      </c>
      <c r="D86" s="10">
        <v>106</v>
      </c>
    </row>
    <row r="87" spans="1:4" x14ac:dyDescent="0.35">
      <c r="A87" s="8" t="s">
        <v>44</v>
      </c>
      <c r="B87" s="8" t="s">
        <v>117</v>
      </c>
      <c r="C87" s="9">
        <v>2.5000000000000001E-2</v>
      </c>
      <c r="D87" s="10">
        <v>101.4</v>
      </c>
    </row>
    <row r="88" spans="1:4" x14ac:dyDescent="0.35">
      <c r="A88" s="8" t="s">
        <v>120</v>
      </c>
      <c r="B88" s="8" t="s">
        <v>117</v>
      </c>
      <c r="C88" s="9">
        <v>4.5999999999999999E-2</v>
      </c>
      <c r="D88" s="10">
        <v>96.9</v>
      </c>
    </row>
    <row r="89" spans="1:4" x14ac:dyDescent="0.35">
      <c r="A89" s="8" t="s">
        <v>121</v>
      </c>
      <c r="B89" s="8" t="s">
        <v>122</v>
      </c>
      <c r="C89" s="9">
        <v>0.03</v>
      </c>
      <c r="D89" s="10">
        <v>90.2</v>
      </c>
    </row>
    <row r="90" spans="1:4" x14ac:dyDescent="0.35">
      <c r="A90" s="8" t="s">
        <v>123</v>
      </c>
      <c r="B90" s="8" t="s">
        <v>122</v>
      </c>
      <c r="C90" s="9">
        <v>0.03</v>
      </c>
      <c r="D90" s="10">
        <v>89.4</v>
      </c>
    </row>
    <row r="91" spans="1:4" x14ac:dyDescent="0.35">
      <c r="A91" s="8" t="s">
        <v>124</v>
      </c>
      <c r="B91" s="8" t="s">
        <v>125</v>
      </c>
      <c r="C91" s="9">
        <v>5.0999999999999997E-2</v>
      </c>
      <c r="D91" s="10">
        <v>108.9</v>
      </c>
    </row>
    <row r="92" spans="1:4" x14ac:dyDescent="0.35">
      <c r="A92" s="8" t="s">
        <v>126</v>
      </c>
      <c r="B92" s="8" t="s">
        <v>125</v>
      </c>
      <c r="C92" s="9">
        <v>4.2999999999999997E-2</v>
      </c>
      <c r="D92" s="10">
        <v>107.3</v>
      </c>
    </row>
    <row r="93" spans="1:4" x14ac:dyDescent="0.35">
      <c r="A93" s="8" t="s">
        <v>127</v>
      </c>
      <c r="B93" s="8" t="s">
        <v>125</v>
      </c>
      <c r="C93" s="9">
        <v>5.5E-2</v>
      </c>
      <c r="D93" s="10">
        <v>103.3</v>
      </c>
    </row>
    <row r="94" spans="1:4" x14ac:dyDescent="0.35">
      <c r="A94" s="8" t="s">
        <v>128</v>
      </c>
      <c r="B94" s="8" t="s">
        <v>129</v>
      </c>
      <c r="C94" s="9">
        <v>4.4000000000000004E-2</v>
      </c>
      <c r="D94" s="10">
        <v>104.4</v>
      </c>
    </row>
    <row r="95" spans="1:4" x14ac:dyDescent="0.35">
      <c r="A95" s="8" t="s">
        <v>130</v>
      </c>
      <c r="B95" s="8" t="s">
        <v>129</v>
      </c>
      <c r="C95" s="9">
        <v>4.7E-2</v>
      </c>
      <c r="D95" s="10">
        <v>101.6</v>
      </c>
    </row>
    <row r="96" spans="1:4" x14ac:dyDescent="0.35">
      <c r="A96" s="8" t="s">
        <v>131</v>
      </c>
      <c r="B96" s="8" t="s">
        <v>129</v>
      </c>
      <c r="C96" s="9">
        <v>2.7000000000000003E-2</v>
      </c>
      <c r="D96" s="10">
        <v>104.9</v>
      </c>
    </row>
    <row r="97" spans="1:4" x14ac:dyDescent="0.35">
      <c r="A97" s="8" t="s">
        <v>132</v>
      </c>
      <c r="B97" s="8" t="s">
        <v>129</v>
      </c>
      <c r="C97" s="9">
        <v>0.04</v>
      </c>
      <c r="D97" s="10">
        <v>127.4</v>
      </c>
    </row>
    <row r="98" spans="1:4" x14ac:dyDescent="0.35">
      <c r="A98" s="8" t="s">
        <v>133</v>
      </c>
      <c r="B98" s="8" t="s">
        <v>129</v>
      </c>
      <c r="C98" s="9">
        <v>4.3099999999999999E-2</v>
      </c>
      <c r="D98" s="10">
        <v>113.3</v>
      </c>
    </row>
    <row r="99" spans="1:4" x14ac:dyDescent="0.35">
      <c r="A99" s="8" t="s">
        <v>134</v>
      </c>
      <c r="B99" s="8" t="s">
        <v>129</v>
      </c>
      <c r="C99" s="9">
        <v>5.0999999999999997E-2</v>
      </c>
      <c r="D99" s="10">
        <v>97.5</v>
      </c>
    </row>
    <row r="100" spans="1:4" x14ac:dyDescent="0.35">
      <c r="A100" s="8" t="s">
        <v>135</v>
      </c>
      <c r="B100" s="8" t="s">
        <v>136</v>
      </c>
      <c r="C100" s="9">
        <v>2.5000000000000001E-2</v>
      </c>
      <c r="D100" s="10">
        <v>95.2</v>
      </c>
    </row>
    <row r="101" spans="1:4" x14ac:dyDescent="0.35">
      <c r="A101" s="8" t="s">
        <v>81</v>
      </c>
      <c r="B101" s="8" t="s">
        <v>136</v>
      </c>
      <c r="C101" s="9">
        <v>1.7999999999999999E-2</v>
      </c>
      <c r="D101" s="10">
        <v>94.2</v>
      </c>
    </row>
    <row r="102" spans="1:4" x14ac:dyDescent="0.35">
      <c r="A102" s="8" t="s">
        <v>137</v>
      </c>
      <c r="B102" s="8" t="s">
        <v>136</v>
      </c>
      <c r="C102" s="9">
        <v>2.5000000000000001E-2</v>
      </c>
      <c r="D102" s="10">
        <v>95.2</v>
      </c>
    </row>
    <row r="103" spans="1:4" x14ac:dyDescent="0.35">
      <c r="A103" s="8" t="s">
        <v>138</v>
      </c>
      <c r="B103" s="8" t="s">
        <v>139</v>
      </c>
      <c r="C103" s="9">
        <v>2.4E-2</v>
      </c>
      <c r="D103" s="10">
        <v>100.2</v>
      </c>
    </row>
    <row r="104" spans="1:4" x14ac:dyDescent="0.35">
      <c r="A104" s="8" t="s">
        <v>140</v>
      </c>
      <c r="B104" s="8" t="s">
        <v>139</v>
      </c>
      <c r="C104" s="9">
        <v>1.3999999999999999E-2</v>
      </c>
      <c r="D104" s="10">
        <v>96.6</v>
      </c>
    </row>
    <row r="105" spans="1:4" x14ac:dyDescent="0.35">
      <c r="A105" s="8" t="s">
        <v>141</v>
      </c>
      <c r="B105" s="8" t="s">
        <v>142</v>
      </c>
      <c r="C105" s="9">
        <v>3.4000000000000002E-2</v>
      </c>
      <c r="D105" s="10">
        <v>93.8</v>
      </c>
    </row>
    <row r="106" spans="1:4" x14ac:dyDescent="0.35">
      <c r="A106" s="8" t="s">
        <v>143</v>
      </c>
      <c r="B106" s="8" t="s">
        <v>142</v>
      </c>
      <c r="C106" s="9">
        <v>3.2000000000000001E-2</v>
      </c>
      <c r="D106" s="10">
        <v>95.3</v>
      </c>
    </row>
    <row r="107" spans="1:4" x14ac:dyDescent="0.35">
      <c r="A107" s="8" t="s">
        <v>144</v>
      </c>
      <c r="B107" s="8" t="s">
        <v>142</v>
      </c>
      <c r="C107" s="9">
        <v>2.5000000000000001E-2</v>
      </c>
      <c r="D107" s="10">
        <v>91.7</v>
      </c>
    </row>
    <row r="108" spans="1:4" x14ac:dyDescent="0.35">
      <c r="A108" s="8" t="s">
        <v>145</v>
      </c>
      <c r="B108" s="8" t="s">
        <v>146</v>
      </c>
      <c r="C108" s="9">
        <v>3.4000000000000002E-2</v>
      </c>
      <c r="D108" s="10">
        <v>91.8</v>
      </c>
    </row>
    <row r="109" spans="1:4" x14ac:dyDescent="0.35">
      <c r="A109" s="8" t="s">
        <v>147</v>
      </c>
      <c r="B109" s="8" t="s">
        <v>146</v>
      </c>
      <c r="C109" s="9">
        <v>3.1E-2</v>
      </c>
      <c r="D109" s="10">
        <v>90</v>
      </c>
    </row>
    <row r="110" spans="1:4" x14ac:dyDescent="0.35">
      <c r="A110" s="8" t="s">
        <v>148</v>
      </c>
      <c r="B110" s="8" t="s">
        <v>146</v>
      </c>
      <c r="C110" s="9">
        <v>2.4E-2</v>
      </c>
      <c r="D110" s="10">
        <v>100.9</v>
      </c>
    </row>
    <row r="111" spans="1:4" x14ac:dyDescent="0.35">
      <c r="A111" s="8" t="s">
        <v>149</v>
      </c>
      <c r="B111" s="8" t="s">
        <v>146</v>
      </c>
      <c r="C111" s="9">
        <v>6.4000000000000001E-2</v>
      </c>
      <c r="D111" s="10">
        <v>93.6</v>
      </c>
    </row>
    <row r="112" spans="1:4" x14ac:dyDescent="0.35">
      <c r="A112" s="8" t="s">
        <v>150</v>
      </c>
      <c r="B112" s="8" t="s">
        <v>146</v>
      </c>
      <c r="C112" s="9">
        <v>2.9000000000000001E-2</v>
      </c>
      <c r="D112" s="10">
        <v>101.8</v>
      </c>
    </row>
    <row r="113" spans="1:4" x14ac:dyDescent="0.35">
      <c r="A113" s="8" t="s">
        <v>151</v>
      </c>
      <c r="B113" s="8" t="s">
        <v>146</v>
      </c>
      <c r="C113" s="9">
        <v>9.8000000000000004E-2</v>
      </c>
      <c r="D113" s="10">
        <v>95</v>
      </c>
    </row>
    <row r="114" spans="1:4" x14ac:dyDescent="0.35">
      <c r="A114" s="8" t="s">
        <v>152</v>
      </c>
      <c r="B114" s="8" t="s">
        <v>146</v>
      </c>
      <c r="C114" s="9">
        <v>3.7999999999999999E-2</v>
      </c>
      <c r="D114" s="10">
        <v>96.8</v>
      </c>
    </row>
    <row r="115" spans="1:4" x14ac:dyDescent="0.35">
      <c r="A115" s="8" t="s">
        <v>153</v>
      </c>
      <c r="B115" s="8" t="s">
        <v>146</v>
      </c>
      <c r="C115" s="9">
        <v>3.2000000000000001E-2</v>
      </c>
      <c r="D115" s="10">
        <v>99.6</v>
      </c>
    </row>
    <row r="116" spans="1:4" x14ac:dyDescent="0.35">
      <c r="A116" s="8" t="s">
        <v>154</v>
      </c>
      <c r="B116" s="8" t="s">
        <v>146</v>
      </c>
      <c r="C116" s="9">
        <v>3.3000000000000002E-2</v>
      </c>
      <c r="D116" s="10">
        <v>92.1</v>
      </c>
    </row>
    <row r="117" spans="1:4" x14ac:dyDescent="0.35">
      <c r="A117" s="8" t="s">
        <v>155</v>
      </c>
      <c r="B117" s="8" t="s">
        <v>156</v>
      </c>
      <c r="C117" s="9">
        <v>2.7000000000000003E-2</v>
      </c>
      <c r="D117" s="10">
        <v>100.9</v>
      </c>
    </row>
    <row r="118" spans="1:4" x14ac:dyDescent="0.35">
      <c r="A118" s="8" t="s">
        <v>157</v>
      </c>
      <c r="B118" s="8" t="s">
        <v>158</v>
      </c>
      <c r="C118" s="9">
        <v>3.3000000000000002E-2</v>
      </c>
      <c r="D118" s="10">
        <v>100.5</v>
      </c>
    </row>
    <row r="119" spans="1:4" x14ac:dyDescent="0.35">
      <c r="A119" s="8" t="s">
        <v>159</v>
      </c>
      <c r="B119" s="8" t="s">
        <v>158</v>
      </c>
      <c r="C119" s="9">
        <v>2.7999999999999997E-2</v>
      </c>
      <c r="D119" s="10">
        <v>102</v>
      </c>
    </row>
    <row r="120" spans="1:4" x14ac:dyDescent="0.35">
      <c r="A120" s="8" t="s">
        <v>160</v>
      </c>
      <c r="B120" s="8" t="s">
        <v>158</v>
      </c>
      <c r="C120" s="9">
        <v>2.1000000000000001E-2</v>
      </c>
      <c r="D120" s="10">
        <v>93</v>
      </c>
    </row>
    <row r="121" spans="1:4" x14ac:dyDescent="0.35">
      <c r="A121" s="8" t="s">
        <v>161</v>
      </c>
      <c r="B121" s="8" t="s">
        <v>162</v>
      </c>
      <c r="C121" s="9">
        <v>1.9E-2</v>
      </c>
      <c r="D121" s="10">
        <v>109.6</v>
      </c>
    </row>
    <row r="122" spans="1:4" x14ac:dyDescent="0.35">
      <c r="A122" s="8" t="s">
        <v>163</v>
      </c>
      <c r="B122" s="8" t="s">
        <v>164</v>
      </c>
      <c r="C122" s="9">
        <v>4.8000000000000001E-2</v>
      </c>
      <c r="D122" s="10">
        <v>103.4</v>
      </c>
    </row>
    <row r="123" spans="1:4" x14ac:dyDescent="0.35">
      <c r="A123" s="8" t="s">
        <v>165</v>
      </c>
      <c r="B123" s="8" t="s">
        <v>164</v>
      </c>
      <c r="C123" s="9">
        <v>3.1E-2</v>
      </c>
      <c r="D123" s="10">
        <v>119.7</v>
      </c>
    </row>
    <row r="124" spans="1:4" x14ac:dyDescent="0.35">
      <c r="A124" s="8" t="s">
        <v>166</v>
      </c>
      <c r="B124" s="8" t="s">
        <v>164</v>
      </c>
      <c r="C124" s="9">
        <v>5.2999999999999999E-2</v>
      </c>
      <c r="D124" s="10">
        <v>106.7</v>
      </c>
    </row>
    <row r="125" spans="1:4" x14ac:dyDescent="0.35">
      <c r="A125" s="8" t="s">
        <v>167</v>
      </c>
      <c r="B125" s="8" t="s">
        <v>164</v>
      </c>
      <c r="C125" s="9">
        <v>0.11700000000000001</v>
      </c>
      <c r="D125" s="10">
        <v>102.6</v>
      </c>
    </row>
    <row r="126" spans="1:4" x14ac:dyDescent="0.35">
      <c r="A126" s="8" t="s">
        <v>168</v>
      </c>
      <c r="B126" s="8" t="s">
        <v>169</v>
      </c>
      <c r="C126" s="9">
        <v>2.4E-2</v>
      </c>
      <c r="D126" s="10">
        <v>97</v>
      </c>
    </row>
    <row r="127" spans="1:4" x14ac:dyDescent="0.35">
      <c r="A127" s="8" t="s">
        <v>170</v>
      </c>
      <c r="B127" s="8" t="s">
        <v>171</v>
      </c>
      <c r="C127" s="9">
        <v>2.5000000000000001E-2</v>
      </c>
      <c r="D127" s="10">
        <v>98.5</v>
      </c>
    </row>
    <row r="128" spans="1:4" x14ac:dyDescent="0.35">
      <c r="A128" s="8" t="s">
        <v>172</v>
      </c>
      <c r="B128" s="8" t="s">
        <v>169</v>
      </c>
      <c r="C128" s="9">
        <v>3.3000000000000002E-2</v>
      </c>
      <c r="D128" s="10">
        <v>107.5</v>
      </c>
    </row>
    <row r="129" spans="1:4" x14ac:dyDescent="0.35">
      <c r="A129" s="8" t="s">
        <v>135</v>
      </c>
      <c r="B129" s="8" t="s">
        <v>173</v>
      </c>
      <c r="C129" s="9">
        <v>4.4000000000000004E-2</v>
      </c>
      <c r="D129" s="10">
        <v>96.6</v>
      </c>
    </row>
    <row r="130" spans="1:4" x14ac:dyDescent="0.35">
      <c r="A130" s="8" t="s">
        <v>174</v>
      </c>
      <c r="B130" s="8" t="s">
        <v>173</v>
      </c>
      <c r="C130" s="9">
        <v>5.7999999999999996E-2</v>
      </c>
      <c r="D130" s="10">
        <v>100.8</v>
      </c>
    </row>
    <row r="131" spans="1:4" x14ac:dyDescent="0.35">
      <c r="A131" s="8" t="s">
        <v>175</v>
      </c>
      <c r="B131" s="8" t="s">
        <v>176</v>
      </c>
      <c r="C131" s="9">
        <v>0.05</v>
      </c>
      <c r="D131" s="10">
        <v>101.4</v>
      </c>
    </row>
    <row r="132" spans="1:4" x14ac:dyDescent="0.35">
      <c r="A132" s="8" t="s">
        <v>177</v>
      </c>
      <c r="B132" s="8" t="s">
        <v>176</v>
      </c>
      <c r="C132" s="9">
        <v>3.3000000000000002E-2</v>
      </c>
      <c r="D132" s="10">
        <v>95</v>
      </c>
    </row>
    <row r="1000" spans="648:648" x14ac:dyDescent="0.35">
      <c r="XX1000" s="44">
        <v>166765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XX997"/>
  <sheetViews>
    <sheetView zoomScaleNormal="100" workbookViewId="0">
      <selection activeCell="A289" sqref="A289:D291"/>
    </sheetView>
  </sheetViews>
  <sheetFormatPr defaultRowHeight="15.5" x14ac:dyDescent="0.35"/>
  <cols>
    <col min="1" max="18" width="15.6640625" customWidth="1"/>
  </cols>
  <sheetData>
    <row r="1" spans="1:8" x14ac:dyDescent="0.35">
      <c r="A1" t="s">
        <v>445</v>
      </c>
    </row>
    <row r="2" spans="1:8" x14ac:dyDescent="0.35">
      <c r="A2" t="s">
        <v>244</v>
      </c>
    </row>
    <row r="3" spans="1:8" ht="17" customHeight="1" x14ac:dyDescent="0.35">
      <c r="A3" t="s">
        <v>245</v>
      </c>
    </row>
    <row r="4" spans="1:8" ht="38" customHeight="1" x14ac:dyDescent="0.35"/>
    <row r="5" spans="1:8" ht="16.25" customHeight="1" x14ac:dyDescent="0.35">
      <c r="A5" s="79"/>
    </row>
    <row r="8" spans="1:8" x14ac:dyDescent="0.35">
      <c r="A8" s="1" t="s">
        <v>246</v>
      </c>
    </row>
    <row r="9" spans="1:8" ht="16" thickBot="1" x14ac:dyDescent="0.4"/>
    <row r="10" spans="1:8" ht="31" x14ac:dyDescent="0.35">
      <c r="A10" s="46" t="s">
        <v>247</v>
      </c>
      <c r="B10" s="47" t="s">
        <v>248</v>
      </c>
      <c r="C10" s="47" t="s">
        <v>249</v>
      </c>
      <c r="D10" s="47" t="s">
        <v>250</v>
      </c>
      <c r="E10" s="47" t="s">
        <v>251</v>
      </c>
      <c r="F10" s="47" t="s">
        <v>252</v>
      </c>
      <c r="G10" s="47" t="s">
        <v>253</v>
      </c>
      <c r="H10" s="47" t="s">
        <v>254</v>
      </c>
    </row>
    <row r="11" spans="1:8" x14ac:dyDescent="0.35">
      <c r="A11" s="48" t="s">
        <v>179</v>
      </c>
      <c r="B11" s="50">
        <v>131</v>
      </c>
      <c r="C11" s="50">
        <v>0</v>
      </c>
      <c r="D11" s="50">
        <v>131</v>
      </c>
      <c r="E11" s="52">
        <v>1.1000000000000001E-2</v>
      </c>
      <c r="F11" s="52">
        <v>0.13800000000000001</v>
      </c>
      <c r="G11" s="52">
        <v>3.7451145038167939E-2</v>
      </c>
      <c r="H11" s="52">
        <v>2.0710002660967078E-2</v>
      </c>
    </row>
    <row r="12" spans="1:8" ht="16" thickBot="1" x14ac:dyDescent="0.4">
      <c r="A12" s="49" t="s">
        <v>255</v>
      </c>
      <c r="B12" s="51">
        <v>131</v>
      </c>
      <c r="C12" s="51">
        <v>0</v>
      </c>
      <c r="D12" s="51">
        <v>131</v>
      </c>
      <c r="E12" s="53">
        <v>87.2</v>
      </c>
      <c r="F12" s="53">
        <v>226.5</v>
      </c>
      <c r="G12" s="53">
        <v>102.5618320610687</v>
      </c>
      <c r="H12" s="53">
        <v>14.741884119303208</v>
      </c>
    </row>
    <row r="15" spans="1:8" x14ac:dyDescent="0.35">
      <c r="A15" s="5" t="s">
        <v>256</v>
      </c>
    </row>
    <row r="16" spans="1:8" ht="16" thickBot="1" x14ac:dyDescent="0.4"/>
    <row r="17" spans="1:3" ht="46.5" x14ac:dyDescent="0.35">
      <c r="A17" s="46"/>
      <c r="B17" s="47" t="s">
        <v>255</v>
      </c>
      <c r="C17" s="54" t="s">
        <v>179</v>
      </c>
    </row>
    <row r="18" spans="1:3" x14ac:dyDescent="0.35">
      <c r="A18" s="55" t="s">
        <v>255</v>
      </c>
      <c r="B18" s="60">
        <v>1</v>
      </c>
      <c r="C18" s="58">
        <v>0.24120249683104464</v>
      </c>
    </row>
    <row r="19" spans="1:3" ht="16" thickBot="1" x14ac:dyDescent="0.4">
      <c r="A19" s="56" t="s">
        <v>179</v>
      </c>
      <c r="B19" s="59">
        <v>0.24120249683104464</v>
      </c>
      <c r="C19" s="61">
        <v>1</v>
      </c>
    </row>
    <row r="22" spans="1:3" x14ac:dyDescent="0.35">
      <c r="A22" s="5" t="s">
        <v>257</v>
      </c>
    </row>
    <row r="24" spans="1:3" x14ac:dyDescent="0.35">
      <c r="A24" s="1" t="s">
        <v>258</v>
      </c>
    </row>
    <row r="25" spans="1:3" ht="16" thickBot="1" x14ac:dyDescent="0.4"/>
    <row r="26" spans="1:3" x14ac:dyDescent="0.35">
      <c r="A26" s="62" t="s">
        <v>248</v>
      </c>
      <c r="B26" s="63">
        <v>131</v>
      </c>
    </row>
    <row r="27" spans="1:3" x14ac:dyDescent="0.35">
      <c r="A27" s="45" t="s">
        <v>259</v>
      </c>
      <c r="B27" s="64">
        <v>131</v>
      </c>
    </row>
    <row r="28" spans="1:3" x14ac:dyDescent="0.35">
      <c r="A28" s="45" t="s">
        <v>260</v>
      </c>
      <c r="B28" s="64">
        <v>129</v>
      </c>
    </row>
    <row r="29" spans="1:3" x14ac:dyDescent="0.35">
      <c r="A29" s="45" t="s">
        <v>261</v>
      </c>
      <c r="B29" s="65">
        <v>5.8178644477530073E-2</v>
      </c>
    </row>
    <row r="30" spans="1:3" x14ac:dyDescent="0.35">
      <c r="A30" s="45" t="s">
        <v>262</v>
      </c>
      <c r="B30" s="65">
        <v>5.087770373704581E-2</v>
      </c>
    </row>
    <row r="31" spans="1:3" x14ac:dyDescent="0.35">
      <c r="A31" s="45" t="s">
        <v>263</v>
      </c>
      <c r="B31" s="65">
        <v>4.0708254887825791E-4</v>
      </c>
    </row>
    <row r="32" spans="1:3" x14ac:dyDescent="0.35">
      <c r="A32" s="45" t="s">
        <v>264</v>
      </c>
      <c r="B32" s="65">
        <v>2.0176286796094515E-2</v>
      </c>
    </row>
    <row r="33" spans="1:7" x14ac:dyDescent="0.35">
      <c r="A33" s="45" t="s">
        <v>265</v>
      </c>
      <c r="B33" s="65">
        <v>38.333281847894519</v>
      </c>
    </row>
    <row r="34" spans="1:7" x14ac:dyDescent="0.35">
      <c r="A34" s="45" t="s">
        <v>266</v>
      </c>
      <c r="B34" s="65">
        <v>1.5522726827036246</v>
      </c>
    </row>
    <row r="35" spans="1:7" x14ac:dyDescent="0.35">
      <c r="A35" s="45" t="s">
        <v>267</v>
      </c>
      <c r="B35" s="65">
        <v>2</v>
      </c>
    </row>
    <row r="36" spans="1:7" x14ac:dyDescent="0.35">
      <c r="A36" s="45" t="s">
        <v>268</v>
      </c>
      <c r="B36" s="65">
        <v>-1020.6662130760587</v>
      </c>
    </row>
    <row r="37" spans="1:7" x14ac:dyDescent="0.35">
      <c r="A37" s="45" t="s">
        <v>269</v>
      </c>
      <c r="B37" s="65">
        <v>-1020.5724630760587</v>
      </c>
    </row>
    <row r="38" spans="1:7" x14ac:dyDescent="0.35">
      <c r="A38" s="45" t="s">
        <v>270</v>
      </c>
      <c r="B38" s="65">
        <v>-1014.9158184296564</v>
      </c>
    </row>
    <row r="39" spans="1:7" ht="16" thickBot="1" x14ac:dyDescent="0.4">
      <c r="A39" s="49" t="s">
        <v>271</v>
      </c>
      <c r="B39" s="53">
        <v>0.97102511848440698</v>
      </c>
    </row>
    <row r="42" spans="1:7" x14ac:dyDescent="0.35">
      <c r="A42" s="1" t="s">
        <v>272</v>
      </c>
    </row>
    <row r="43" spans="1:7" ht="16" thickBot="1" x14ac:dyDescent="0.4"/>
    <row r="44" spans="1:7" ht="31" x14ac:dyDescent="0.35">
      <c r="A44" s="46" t="s">
        <v>273</v>
      </c>
      <c r="B44" s="47" t="s">
        <v>260</v>
      </c>
      <c r="C44" s="47" t="s">
        <v>274</v>
      </c>
      <c r="D44" s="47" t="s">
        <v>275</v>
      </c>
      <c r="E44" s="47" t="s">
        <v>276</v>
      </c>
      <c r="F44" s="47" t="s">
        <v>277</v>
      </c>
      <c r="G44" s="47" t="s">
        <v>278</v>
      </c>
    </row>
    <row r="45" spans="1:7" x14ac:dyDescent="0.35">
      <c r="A45" s="55" t="s">
        <v>279</v>
      </c>
      <c r="B45" s="57">
        <v>1</v>
      </c>
      <c r="C45" s="57">
        <v>3.2438985229489778E-3</v>
      </c>
      <c r="D45" s="57">
        <v>3.2438985229489778E-3</v>
      </c>
      <c r="E45" s="57">
        <v>7.9686504171887211</v>
      </c>
      <c r="F45" s="67">
        <v>5.5145767150729559E-3</v>
      </c>
      <c r="G45" s="70" t="s">
        <v>282</v>
      </c>
    </row>
    <row r="46" spans="1:7" x14ac:dyDescent="0.35">
      <c r="A46" s="45" t="s">
        <v>280</v>
      </c>
      <c r="B46" s="65">
        <v>129</v>
      </c>
      <c r="C46" s="65">
        <v>5.2513648805295271E-2</v>
      </c>
      <c r="D46" s="65">
        <v>4.0708254887825791E-4</v>
      </c>
      <c r="E46" s="65"/>
      <c r="F46" s="68"/>
      <c r="G46" s="71" t="s">
        <v>283</v>
      </c>
    </row>
    <row r="47" spans="1:7" ht="16" thickBot="1" x14ac:dyDescent="0.4">
      <c r="A47" s="49" t="s">
        <v>281</v>
      </c>
      <c r="B47" s="53">
        <v>130</v>
      </c>
      <c r="C47" s="53">
        <v>5.5757547328244249E-2</v>
      </c>
      <c r="D47" s="53"/>
      <c r="E47" s="53"/>
      <c r="F47" s="69"/>
      <c r="G47" s="72" t="s">
        <v>283</v>
      </c>
    </row>
    <row r="48" spans="1:7" x14ac:dyDescent="0.35">
      <c r="A48" s="73" t="s">
        <v>284</v>
      </c>
    </row>
    <row r="49" spans="1:8" x14ac:dyDescent="0.35">
      <c r="A49" s="73" t="s">
        <v>285</v>
      </c>
    </row>
    <row r="52" spans="1:8" x14ac:dyDescent="0.35">
      <c r="A52" s="1" t="s">
        <v>286</v>
      </c>
    </row>
    <row r="53" spans="1:8" ht="16" thickBot="1" x14ac:dyDescent="0.4"/>
    <row r="54" spans="1:8" ht="31" x14ac:dyDescent="0.35">
      <c r="A54" s="46" t="s">
        <v>273</v>
      </c>
      <c r="B54" s="47" t="s">
        <v>287</v>
      </c>
      <c r="C54" s="47" t="s">
        <v>288</v>
      </c>
      <c r="D54" s="47" t="s">
        <v>289</v>
      </c>
      <c r="E54" s="47" t="s">
        <v>290</v>
      </c>
      <c r="F54" s="47" t="s">
        <v>291</v>
      </c>
      <c r="G54" s="47" t="s">
        <v>292</v>
      </c>
      <c r="H54" s="47" t="s">
        <v>278</v>
      </c>
    </row>
    <row r="55" spans="1:8" x14ac:dyDescent="0.35">
      <c r="A55" s="55" t="s">
        <v>293</v>
      </c>
      <c r="B55" s="57">
        <v>2.6979505471637008E-3</v>
      </c>
      <c r="C55" s="57">
        <v>1.2436820799971078E-2</v>
      </c>
      <c r="D55" s="57">
        <v>0.21693249348498894</v>
      </c>
      <c r="E55" s="66">
        <v>0.82860366527902563</v>
      </c>
      <c r="F55" s="57">
        <v>-2.1908604001717586E-2</v>
      </c>
      <c r="G55" s="57">
        <v>2.7304505096044988E-2</v>
      </c>
      <c r="H55" s="70" t="s">
        <v>294</v>
      </c>
    </row>
    <row r="56" spans="1:8" ht="16" thickBot="1" x14ac:dyDescent="0.4">
      <c r="A56" s="49" t="s">
        <v>255</v>
      </c>
      <c r="B56" s="53">
        <v>3.3885114757223762E-4</v>
      </c>
      <c r="C56" s="53">
        <v>1.2003739814493694E-4</v>
      </c>
      <c r="D56" s="53">
        <v>2.8228798091999465</v>
      </c>
      <c r="E56" s="69">
        <v>5.5145767150730496E-3</v>
      </c>
      <c r="F56" s="53">
        <v>1.0135421544903449E-4</v>
      </c>
      <c r="G56" s="53">
        <v>5.7634807969544075E-4</v>
      </c>
      <c r="H56" s="72" t="s">
        <v>282</v>
      </c>
    </row>
    <row r="57" spans="1:8" x14ac:dyDescent="0.35">
      <c r="A57" s="73" t="s">
        <v>285</v>
      </c>
    </row>
    <row r="60" spans="1:8" x14ac:dyDescent="0.35">
      <c r="A60" s="1" t="s">
        <v>295</v>
      </c>
    </row>
    <row r="62" spans="1:8" x14ac:dyDescent="0.35">
      <c r="A62" t="s">
        <v>296</v>
      </c>
    </row>
    <row r="65" spans="1:8" x14ac:dyDescent="0.35">
      <c r="A65" s="1" t="s">
        <v>297</v>
      </c>
    </row>
    <row r="66" spans="1:8" ht="16" thickBot="1" x14ac:dyDescent="0.4"/>
    <row r="67" spans="1:8" ht="31" x14ac:dyDescent="0.35">
      <c r="A67" s="46" t="s">
        <v>273</v>
      </c>
      <c r="B67" s="47" t="s">
        <v>287</v>
      </c>
      <c r="C67" s="47" t="s">
        <v>288</v>
      </c>
      <c r="D67" s="47" t="s">
        <v>289</v>
      </c>
      <c r="E67" s="47" t="s">
        <v>290</v>
      </c>
      <c r="F67" s="47" t="s">
        <v>291</v>
      </c>
      <c r="G67" s="47" t="s">
        <v>292</v>
      </c>
      <c r="H67" s="47" t="s">
        <v>278</v>
      </c>
    </row>
    <row r="68" spans="1:8" ht="16" thickBot="1" x14ac:dyDescent="0.4">
      <c r="A68" s="74" t="s">
        <v>255</v>
      </c>
      <c r="B68" s="75">
        <v>0.24120249683104464</v>
      </c>
      <c r="C68" s="75">
        <v>8.5445542543097372E-2</v>
      </c>
      <c r="D68" s="75">
        <v>2.8228798091999465</v>
      </c>
      <c r="E68" s="76">
        <v>5.5145767150730496E-3</v>
      </c>
      <c r="F68" s="75">
        <v>7.2146398221794639E-2</v>
      </c>
      <c r="G68" s="75">
        <v>0.41025859544029464</v>
      </c>
      <c r="H68" s="77" t="s">
        <v>282</v>
      </c>
    </row>
    <row r="69" spans="1:8" x14ac:dyDescent="0.35">
      <c r="A69" s="73" t="s">
        <v>285</v>
      </c>
    </row>
    <row r="88" spans="1:13" x14ac:dyDescent="0.35">
      <c r="C88" t="s">
        <v>298</v>
      </c>
    </row>
    <row r="91" spans="1:13" x14ac:dyDescent="0.35">
      <c r="A91" s="1" t="s">
        <v>299</v>
      </c>
    </row>
    <row r="92" spans="1:13" ht="16" thickBot="1" x14ac:dyDescent="0.4"/>
    <row r="93" spans="1:13" ht="46.5" x14ac:dyDescent="0.35">
      <c r="A93" s="46" t="s">
        <v>300</v>
      </c>
      <c r="B93" s="47" t="s">
        <v>301</v>
      </c>
      <c r="C93" s="47" t="s">
        <v>255</v>
      </c>
      <c r="D93" s="47" t="s">
        <v>179</v>
      </c>
      <c r="E93" s="47" t="s">
        <v>433</v>
      </c>
      <c r="F93" s="47" t="s">
        <v>434</v>
      </c>
      <c r="G93" s="47" t="s">
        <v>435</v>
      </c>
      <c r="H93" s="47" t="s">
        <v>436</v>
      </c>
      <c r="I93" s="47" t="s">
        <v>437</v>
      </c>
      <c r="J93" s="47" t="s">
        <v>438</v>
      </c>
      <c r="K93" s="47" t="s">
        <v>439</v>
      </c>
      <c r="L93" s="47" t="s">
        <v>440</v>
      </c>
      <c r="M93" s="47" t="s">
        <v>441</v>
      </c>
    </row>
    <row r="94" spans="1:13" x14ac:dyDescent="0.35">
      <c r="A94" s="55" t="s">
        <v>302</v>
      </c>
      <c r="B94" s="78">
        <v>1</v>
      </c>
      <c r="C94" s="57">
        <v>125.9</v>
      </c>
      <c r="D94" s="57">
        <v>3.6000000000000004E-2</v>
      </c>
      <c r="E94" s="57">
        <v>4.535931002650842E-2</v>
      </c>
      <c r="F94" s="57">
        <v>-9.3593100265084161E-3</v>
      </c>
      <c r="G94" s="57">
        <v>-0.46387673416300168</v>
      </c>
      <c r="H94" s="57">
        <v>3.3099303682418975E-3</v>
      </c>
      <c r="I94" s="57">
        <v>3.8810531727850907E-2</v>
      </c>
      <c r="J94" s="57">
        <v>5.1908088325165934E-2</v>
      </c>
      <c r="K94" s="57">
        <v>2.0445982195063848E-2</v>
      </c>
      <c r="L94" s="57">
        <v>4.9064335012260069E-3</v>
      </c>
      <c r="M94" s="57">
        <v>8.5812186551790834E-2</v>
      </c>
    </row>
    <row r="95" spans="1:13" x14ac:dyDescent="0.35">
      <c r="A95" s="45" t="s">
        <v>303</v>
      </c>
      <c r="B95" s="64">
        <v>1</v>
      </c>
      <c r="C95" s="65">
        <v>99.1</v>
      </c>
      <c r="D95" s="65">
        <v>2.7000000000000003E-2</v>
      </c>
      <c r="E95" s="65">
        <v>3.6278099271572446E-2</v>
      </c>
      <c r="F95" s="65">
        <v>-9.2780992715724431E-3</v>
      </c>
      <c r="G95" s="65">
        <v>-0.45985167465841076</v>
      </c>
      <c r="H95" s="65">
        <v>1.811127164228068E-3</v>
      </c>
      <c r="I95" s="65">
        <v>3.2694739819963861E-2</v>
      </c>
      <c r="J95" s="65">
        <v>3.9861458723181031E-2</v>
      </c>
      <c r="K95" s="65">
        <v>2.0257411741959108E-2</v>
      </c>
      <c r="L95" s="65">
        <v>-3.8016859938729067E-3</v>
      </c>
      <c r="M95" s="65">
        <v>7.6357884537017806E-2</v>
      </c>
    </row>
    <row r="96" spans="1:13" x14ac:dyDescent="0.35">
      <c r="A96" s="45" t="s">
        <v>304</v>
      </c>
      <c r="B96" s="64">
        <v>1</v>
      </c>
      <c r="C96" s="65">
        <v>95.2</v>
      </c>
      <c r="D96" s="65">
        <v>2.7000000000000003E-2</v>
      </c>
      <c r="E96" s="65">
        <v>3.4956579796040721E-2</v>
      </c>
      <c r="F96" s="65">
        <v>-7.9565797960407178E-3</v>
      </c>
      <c r="G96" s="65">
        <v>-0.39435302820838458</v>
      </c>
      <c r="H96" s="65">
        <v>1.9719070768840045E-3</v>
      </c>
      <c r="I96" s="65">
        <v>3.1055113349504469E-2</v>
      </c>
      <c r="J96" s="65">
        <v>3.8858046242576973E-2</v>
      </c>
      <c r="K96" s="65">
        <v>2.0272418859083468E-2</v>
      </c>
      <c r="L96" s="65">
        <v>-5.1528974181816734E-3</v>
      </c>
      <c r="M96" s="65">
        <v>7.5066057010263115E-2</v>
      </c>
    </row>
    <row r="97" spans="1:13" x14ac:dyDescent="0.35">
      <c r="A97" s="45" t="s">
        <v>305</v>
      </c>
      <c r="B97" s="64">
        <v>1</v>
      </c>
      <c r="C97" s="65">
        <v>91.8</v>
      </c>
      <c r="D97" s="65">
        <v>3.6000000000000004E-2</v>
      </c>
      <c r="E97" s="65">
        <v>3.3804485894295112E-2</v>
      </c>
      <c r="F97" s="65">
        <v>2.1955141057048919E-3</v>
      </c>
      <c r="G97" s="65">
        <v>0.10881655915645853</v>
      </c>
      <c r="H97" s="65">
        <v>2.1854759846005019E-3</v>
      </c>
      <c r="I97" s="65">
        <v>2.94804681332233E-2</v>
      </c>
      <c r="J97" s="65">
        <v>3.8128503655366922E-2</v>
      </c>
      <c r="K97" s="65">
        <v>2.0294305954073014E-2</v>
      </c>
      <c r="L97" s="65">
        <v>-6.3482954734114319E-3</v>
      </c>
      <c r="M97" s="65">
        <v>7.3957267262001664E-2</v>
      </c>
    </row>
    <row r="98" spans="1:13" x14ac:dyDescent="0.35">
      <c r="A98" s="45" t="s">
        <v>306</v>
      </c>
      <c r="B98" s="64">
        <v>1</v>
      </c>
      <c r="C98" s="65">
        <v>92.4</v>
      </c>
      <c r="D98" s="65">
        <v>2.8999999999999998E-2</v>
      </c>
      <c r="E98" s="65">
        <v>3.4007796582838458E-2</v>
      </c>
      <c r="F98" s="65">
        <v>-5.0077965828384599E-3</v>
      </c>
      <c r="G98" s="65">
        <v>-0.24820209156661124</v>
      </c>
      <c r="H98" s="65">
        <v>2.1436912377475257E-3</v>
      </c>
      <c r="I98" s="65">
        <v>2.976645096678552E-2</v>
      </c>
      <c r="J98" s="65">
        <v>3.8249142198891396E-2</v>
      </c>
      <c r="K98" s="65">
        <v>2.0289848718042562E-2</v>
      </c>
      <c r="L98" s="65">
        <v>-6.13616603421753E-3</v>
      </c>
      <c r="M98" s="65">
        <v>7.4151759199894446E-2</v>
      </c>
    </row>
    <row r="99" spans="1:13" x14ac:dyDescent="0.35">
      <c r="A99" s="45" t="s">
        <v>307</v>
      </c>
      <c r="B99" s="64">
        <v>1</v>
      </c>
      <c r="C99" s="65">
        <v>87.2</v>
      </c>
      <c r="D99" s="65">
        <v>3.2000000000000001E-2</v>
      </c>
      <c r="E99" s="65">
        <v>3.2245770615462827E-2</v>
      </c>
      <c r="F99" s="65">
        <v>-2.4577061546282602E-4</v>
      </c>
      <c r="G99" s="65">
        <v>-1.2181161873174761E-2</v>
      </c>
      <c r="H99" s="65">
        <v>2.5510420500116757E-3</v>
      </c>
      <c r="I99" s="65">
        <v>2.7198471440721302E-2</v>
      </c>
      <c r="J99" s="65">
        <v>3.7293069790204351E-2</v>
      </c>
      <c r="K99" s="65">
        <v>2.0336921212887306E-2</v>
      </c>
      <c r="L99" s="65">
        <v>-7.9913260855185228E-3</v>
      </c>
      <c r="M99" s="65">
        <v>7.2482867316444183E-2</v>
      </c>
    </row>
    <row r="100" spans="1:13" x14ac:dyDescent="0.35">
      <c r="A100" s="45" t="s">
        <v>308</v>
      </c>
      <c r="B100" s="64">
        <v>1</v>
      </c>
      <c r="C100" s="65">
        <v>99.9</v>
      </c>
      <c r="D100" s="65">
        <v>2.6000000000000002E-2</v>
      </c>
      <c r="E100" s="65">
        <v>3.6549180189630243E-2</v>
      </c>
      <c r="F100" s="65">
        <v>-1.054918018963024E-2</v>
      </c>
      <c r="G100" s="65">
        <v>-0.52285042814083238</v>
      </c>
      <c r="H100" s="65">
        <v>1.7915337051922246E-3</v>
      </c>
      <c r="I100" s="65">
        <v>3.3004586876596867E-2</v>
      </c>
      <c r="J100" s="65">
        <v>4.0093773502663618E-2</v>
      </c>
      <c r="K100" s="65">
        <v>2.0255669376623861E-2</v>
      </c>
      <c r="L100" s="65">
        <v>-3.5271577633262177E-3</v>
      </c>
      <c r="M100" s="65">
        <v>7.6625518142586696E-2</v>
      </c>
    </row>
    <row r="101" spans="1:13" x14ac:dyDescent="0.35">
      <c r="A101" s="45" t="s">
        <v>309</v>
      </c>
      <c r="B101" s="64">
        <v>1</v>
      </c>
      <c r="C101" s="65">
        <v>99.7</v>
      </c>
      <c r="D101" s="65">
        <v>2.3E-2</v>
      </c>
      <c r="E101" s="65">
        <v>3.6481409960115792E-2</v>
      </c>
      <c r="F101" s="65">
        <v>-1.3481409960115792E-2</v>
      </c>
      <c r="G101" s="65">
        <v>-0.66818092428807874</v>
      </c>
      <c r="H101" s="65">
        <v>1.7959707922587794E-3</v>
      </c>
      <c r="I101" s="65">
        <v>3.292803776165041E-2</v>
      </c>
      <c r="J101" s="65">
        <v>4.0034782158581174E-2</v>
      </c>
      <c r="K101" s="65">
        <v>2.0256062301565538E-2</v>
      </c>
      <c r="L101" s="65">
        <v>-3.5957054044610873E-3</v>
      </c>
      <c r="M101" s="65">
        <v>7.6558525324692678E-2</v>
      </c>
    </row>
    <row r="102" spans="1:13" x14ac:dyDescent="0.35">
      <c r="A102" s="45" t="s">
        <v>310</v>
      </c>
      <c r="B102" s="64">
        <v>1</v>
      </c>
      <c r="C102" s="65">
        <v>106.1</v>
      </c>
      <c r="D102" s="65">
        <v>0.125</v>
      </c>
      <c r="E102" s="65">
        <v>3.8650057304578107E-2</v>
      </c>
      <c r="F102" s="65">
        <v>8.63499426954219E-2</v>
      </c>
      <c r="G102" s="65">
        <v>4.27977375461061</v>
      </c>
      <c r="H102" s="65">
        <v>1.8132515154657073E-3</v>
      </c>
      <c r="I102" s="65">
        <v>3.5062494772017345E-2</v>
      </c>
      <c r="J102" s="65">
        <v>4.2237619837138869E-2</v>
      </c>
      <c r="K102" s="65">
        <v>2.0257601781469507E-2</v>
      </c>
      <c r="L102" s="65">
        <v>-1.4301039586929187E-3</v>
      </c>
      <c r="M102" s="65">
        <v>7.8730218567849133E-2</v>
      </c>
    </row>
    <row r="103" spans="1:13" x14ac:dyDescent="0.35">
      <c r="A103" s="45" t="s">
        <v>311</v>
      </c>
      <c r="B103" s="64">
        <v>1</v>
      </c>
      <c r="C103" s="65">
        <v>105.8</v>
      </c>
      <c r="D103" s="65">
        <v>0.13800000000000001</v>
      </c>
      <c r="E103" s="65">
        <v>3.8548401960306442E-2</v>
      </c>
      <c r="F103" s="65">
        <v>9.945159803969357E-2</v>
      </c>
      <c r="G103" s="65">
        <v>4.9291328501012499</v>
      </c>
      <c r="H103" s="65">
        <v>1.8051562364767449E-3</v>
      </c>
      <c r="I103" s="65">
        <v>3.4976856135490703E-2</v>
      </c>
      <c r="J103" s="65">
        <v>4.211994778512218E-2</v>
      </c>
      <c r="K103" s="65">
        <v>2.0256878780215593E-2</v>
      </c>
      <c r="L103" s="65">
        <v>-1.5303288272763421E-3</v>
      </c>
      <c r="M103" s="65">
        <v>7.8627132747889225E-2</v>
      </c>
    </row>
    <row r="104" spans="1:13" x14ac:dyDescent="0.35">
      <c r="A104" s="45" t="s">
        <v>312</v>
      </c>
      <c r="B104" s="64">
        <v>1</v>
      </c>
      <c r="C104" s="65">
        <v>122</v>
      </c>
      <c r="D104" s="65">
        <v>6.3E-2</v>
      </c>
      <c r="E104" s="65">
        <v>4.4037790550976688E-2</v>
      </c>
      <c r="F104" s="65">
        <v>1.8962209449023312E-2</v>
      </c>
      <c r="G104" s="65">
        <v>0.93982652212763895</v>
      </c>
      <c r="H104" s="65">
        <v>2.9243499132508653E-3</v>
      </c>
      <c r="I104" s="65">
        <v>3.8251892625954645E-2</v>
      </c>
      <c r="J104" s="65">
        <v>4.9823688475998731E-2</v>
      </c>
      <c r="K104" s="65">
        <v>2.0387112872925099E-2</v>
      </c>
      <c r="L104" s="65">
        <v>3.7013884213425649E-3</v>
      </c>
      <c r="M104" s="65">
        <v>8.4374192680610804E-2</v>
      </c>
    </row>
    <row r="105" spans="1:13" x14ac:dyDescent="0.35">
      <c r="A105" s="45" t="s">
        <v>313</v>
      </c>
      <c r="B105" s="64">
        <v>1</v>
      </c>
      <c r="C105" s="65">
        <v>114</v>
      </c>
      <c r="D105" s="65">
        <v>4.0999999999999995E-2</v>
      </c>
      <c r="E105" s="65">
        <v>4.1326981370398787E-2</v>
      </c>
      <c r="F105" s="65">
        <v>-3.2698137039879199E-4</v>
      </c>
      <c r="G105" s="65">
        <v>-1.6206221377765364E-2</v>
      </c>
      <c r="H105" s="65">
        <v>2.2344241134064848E-3</v>
      </c>
      <c r="I105" s="65">
        <v>3.6906118537672256E-2</v>
      </c>
      <c r="J105" s="65">
        <v>4.5747844203125318E-2</v>
      </c>
      <c r="K105" s="65">
        <v>2.0299635464629168E-2</v>
      </c>
      <c r="L105" s="65">
        <v>1.1636554355292927E-3</v>
      </c>
      <c r="M105" s="65">
        <v>8.1490307305268281E-2</v>
      </c>
    </row>
    <row r="106" spans="1:13" x14ac:dyDescent="0.35">
      <c r="A106" s="45" t="s">
        <v>314</v>
      </c>
      <c r="B106" s="64">
        <v>1</v>
      </c>
      <c r="C106" s="65">
        <v>122.8</v>
      </c>
      <c r="D106" s="65">
        <v>3.2000000000000001E-2</v>
      </c>
      <c r="E106" s="65">
        <v>4.4308871469034478E-2</v>
      </c>
      <c r="F106" s="65">
        <v>-1.2308871469034477E-2</v>
      </c>
      <c r="G106" s="65">
        <v>-0.61006624228879824</v>
      </c>
      <c r="H106" s="65">
        <v>3.001529400578665E-3</v>
      </c>
      <c r="I106" s="65">
        <v>3.8370272038094566E-2</v>
      </c>
      <c r="J106" s="65">
        <v>5.0247470899974389E-2</v>
      </c>
      <c r="K106" s="65">
        <v>2.0398326588737518E-2</v>
      </c>
      <c r="L106" s="65">
        <v>3.9502827280250008E-3</v>
      </c>
      <c r="M106" s="65">
        <v>8.4667460210043954E-2</v>
      </c>
    </row>
    <row r="107" spans="1:13" x14ac:dyDescent="0.35">
      <c r="A107" s="45" t="s">
        <v>315</v>
      </c>
      <c r="B107" s="64">
        <v>1</v>
      </c>
      <c r="C107" s="65">
        <v>144.69999999999999</v>
      </c>
      <c r="D107" s="65">
        <v>2.5000000000000001E-2</v>
      </c>
      <c r="E107" s="65">
        <v>5.1729711600866479E-2</v>
      </c>
      <c r="F107" s="65">
        <v>-2.6729711600866478E-2</v>
      </c>
      <c r="G107" s="65">
        <v>-1.3248082697773951</v>
      </c>
      <c r="H107" s="65">
        <v>5.356532732857403E-3</v>
      </c>
      <c r="I107" s="65">
        <v>4.1131680399497848E-2</v>
      </c>
      <c r="J107" s="65">
        <v>6.232774280223511E-2</v>
      </c>
      <c r="K107" s="65">
        <v>2.0875224353199912E-2</v>
      </c>
      <c r="L107" s="65">
        <v>1.0427568952936457E-2</v>
      </c>
      <c r="M107" s="65">
        <v>9.3031854248796508E-2</v>
      </c>
    </row>
    <row r="108" spans="1:13" x14ac:dyDescent="0.35">
      <c r="A108" s="45" t="s">
        <v>316</v>
      </c>
      <c r="B108" s="64">
        <v>1</v>
      </c>
      <c r="C108" s="65">
        <v>96.8</v>
      </c>
      <c r="D108" s="65">
        <v>3.7000000000000005E-2</v>
      </c>
      <c r="E108" s="65">
        <v>3.54987416321563E-2</v>
      </c>
      <c r="F108" s="65">
        <v>1.5012583678437053E-3</v>
      </c>
      <c r="G108" s="65">
        <v>7.4407069200379372E-2</v>
      </c>
      <c r="H108" s="65">
        <v>1.8936366604121889E-3</v>
      </c>
      <c r="I108" s="65">
        <v>3.1752135121567819E-2</v>
      </c>
      <c r="J108" s="65">
        <v>3.9245348142744781E-2</v>
      </c>
      <c r="K108" s="65">
        <v>2.0264955185736656E-2</v>
      </c>
      <c r="L108" s="65">
        <v>-4.5959685215530288E-3</v>
      </c>
      <c r="M108" s="65">
        <v>7.5593451785865629E-2</v>
      </c>
    </row>
    <row r="109" spans="1:13" x14ac:dyDescent="0.35">
      <c r="A109" s="45" t="s">
        <v>317</v>
      </c>
      <c r="B109" s="64">
        <v>1</v>
      </c>
      <c r="C109" s="65">
        <v>105.3</v>
      </c>
      <c r="D109" s="65">
        <v>2.5999999999999999E-2</v>
      </c>
      <c r="E109" s="65">
        <v>3.8378976386520318E-2</v>
      </c>
      <c r="F109" s="65">
        <v>-1.2378976386520319E-2</v>
      </c>
      <c r="G109" s="65">
        <v>-0.61354086168702227</v>
      </c>
      <c r="H109" s="65">
        <v>1.79319061873687E-3</v>
      </c>
      <c r="I109" s="65">
        <v>3.4831104829458601E-2</v>
      </c>
      <c r="J109" s="65">
        <v>4.1926847943582035E-2</v>
      </c>
      <c r="K109" s="65">
        <v>2.0255815991299483E-2</v>
      </c>
      <c r="L109" s="65">
        <v>-1.6976516471626721E-3</v>
      </c>
      <c r="M109" s="65">
        <v>7.8455604420203301E-2</v>
      </c>
    </row>
    <row r="110" spans="1:13" x14ac:dyDescent="0.35">
      <c r="A110" s="45" t="s">
        <v>318</v>
      </c>
      <c r="B110" s="64">
        <v>1</v>
      </c>
      <c r="C110" s="65">
        <v>92.5</v>
      </c>
      <c r="D110" s="65">
        <v>5.7999999999999996E-2</v>
      </c>
      <c r="E110" s="65">
        <v>3.404168169759568E-2</v>
      </c>
      <c r="F110" s="65">
        <v>2.3958318302404316E-2</v>
      </c>
      <c r="G110" s="65">
        <v>1.1874493331965266</v>
      </c>
      <c r="H110" s="65">
        <v>2.1368836870009071E-3</v>
      </c>
      <c r="I110" s="65">
        <v>2.9813804987421914E-2</v>
      </c>
      <c r="J110" s="65">
        <v>3.8269558407769445E-2</v>
      </c>
      <c r="K110" s="65">
        <v>2.0289130606559475E-2</v>
      </c>
      <c r="L110" s="65">
        <v>-6.1008601183034084E-3</v>
      </c>
      <c r="M110" s="65">
        <v>7.4184223513494768E-2</v>
      </c>
    </row>
    <row r="111" spans="1:13" x14ac:dyDescent="0.35">
      <c r="A111" s="45" t="s">
        <v>319</v>
      </c>
      <c r="B111" s="64">
        <v>1</v>
      </c>
      <c r="C111" s="65">
        <v>121.8</v>
      </c>
      <c r="D111" s="65">
        <v>3.4000000000000002E-2</v>
      </c>
      <c r="E111" s="65">
        <v>4.3970020321462244E-2</v>
      </c>
      <c r="F111" s="65">
        <v>-9.9700203214622418E-3</v>
      </c>
      <c r="G111" s="65">
        <v>-0.49414545016242134</v>
      </c>
      <c r="H111" s="65">
        <v>2.9052306498226739E-3</v>
      </c>
      <c r="I111" s="65">
        <v>3.8221950327391917E-2</v>
      </c>
      <c r="J111" s="65">
        <v>4.9718090315532572E-2</v>
      </c>
      <c r="K111" s="65">
        <v>2.0384379166580643E-2</v>
      </c>
      <c r="L111" s="65">
        <v>3.6390268967831443E-3</v>
      </c>
      <c r="M111" s="65">
        <v>8.4301013746141351E-2</v>
      </c>
    </row>
    <row r="112" spans="1:13" x14ac:dyDescent="0.35">
      <c r="A112" s="45" t="s">
        <v>320</v>
      </c>
      <c r="B112" s="64">
        <v>1</v>
      </c>
      <c r="C112" s="65">
        <v>132</v>
      </c>
      <c r="D112" s="65">
        <v>2.8999999999999998E-2</v>
      </c>
      <c r="E112" s="65">
        <v>4.7426302026699063E-2</v>
      </c>
      <c r="F112" s="65">
        <v>-1.8426302026699065E-2</v>
      </c>
      <c r="G112" s="65">
        <v>-0.91326527090533871</v>
      </c>
      <c r="H112" s="65">
        <v>3.9489748527232896E-3</v>
      </c>
      <c r="I112" s="65">
        <v>3.9613158564350388E-2</v>
      </c>
      <c r="J112" s="65">
        <v>5.5239445489047738E-2</v>
      </c>
      <c r="K112" s="65">
        <v>2.0559108717687614E-2</v>
      </c>
      <c r="L112" s="65">
        <v>6.7496019057696477E-3</v>
      </c>
      <c r="M112" s="65">
        <v>8.8103002147628479E-2</v>
      </c>
    </row>
    <row r="113" spans="1:13" x14ac:dyDescent="0.35">
      <c r="A113" s="45" t="s">
        <v>321</v>
      </c>
      <c r="B113" s="64">
        <v>1</v>
      </c>
      <c r="C113" s="65">
        <v>108.1</v>
      </c>
      <c r="D113" s="65">
        <v>3.2000000000000001E-2</v>
      </c>
      <c r="E113" s="65">
        <v>3.9327759599722588E-2</v>
      </c>
      <c r="F113" s="65">
        <v>-7.3277595997225872E-3</v>
      </c>
      <c r="G113" s="65">
        <v>-0.36318672874639191</v>
      </c>
      <c r="H113" s="65">
        <v>1.8839964138261183E-3</v>
      </c>
      <c r="I113" s="65">
        <v>3.5600226553108544E-2</v>
      </c>
      <c r="J113" s="65">
        <v>4.3055292646336632E-2</v>
      </c>
      <c r="K113" s="65">
        <v>2.0264056636457757E-2</v>
      </c>
      <c r="L113" s="65">
        <v>-7.6517275223163261E-4</v>
      </c>
      <c r="M113" s="65">
        <v>7.9420691951676808E-2</v>
      </c>
    </row>
    <row r="114" spans="1:13" x14ac:dyDescent="0.35">
      <c r="A114" s="45" t="s">
        <v>322</v>
      </c>
      <c r="B114" s="64">
        <v>1</v>
      </c>
      <c r="C114" s="65">
        <v>97.2</v>
      </c>
      <c r="D114" s="65">
        <v>4.4000000000000004E-2</v>
      </c>
      <c r="E114" s="65">
        <v>3.5634282091185202E-2</v>
      </c>
      <c r="F114" s="65">
        <v>8.3657179088148029E-3</v>
      </c>
      <c r="G114" s="65">
        <v>0.41463119519267239</v>
      </c>
      <c r="H114" s="65">
        <v>1.876631970757107E-3</v>
      </c>
      <c r="I114" s="65">
        <v>3.1921319775549302E-2</v>
      </c>
      <c r="J114" s="65">
        <v>3.9347244406821101E-2</v>
      </c>
      <c r="K114" s="65">
        <v>2.02633732737648E-2</v>
      </c>
      <c r="L114" s="65">
        <v>-4.4572982109444409E-3</v>
      </c>
      <c r="M114" s="65">
        <v>7.5725862393314844E-2</v>
      </c>
    </row>
    <row r="115" spans="1:13" x14ac:dyDescent="0.35">
      <c r="A115" s="45" t="s">
        <v>323</v>
      </c>
      <c r="B115" s="64">
        <v>1</v>
      </c>
      <c r="C115" s="65">
        <v>95.4</v>
      </c>
      <c r="D115" s="65">
        <v>2.8999999999999998E-2</v>
      </c>
      <c r="E115" s="65">
        <v>3.5024350025555172E-2</v>
      </c>
      <c r="F115" s="65">
        <v>-6.0243500255551738E-3</v>
      </c>
      <c r="G115" s="65">
        <v>-0.29858566575893913</v>
      </c>
      <c r="H115" s="65">
        <v>1.9612657371050565E-3</v>
      </c>
      <c r="I115" s="65">
        <v>3.1143937730393721E-2</v>
      </c>
      <c r="J115" s="65">
        <v>3.8904762320716622E-2</v>
      </c>
      <c r="K115" s="65">
        <v>2.0271386537920887E-2</v>
      </c>
      <c r="L115" s="65">
        <v>-5.0830847159639841E-3</v>
      </c>
      <c r="M115" s="65">
        <v>7.5131784767074328E-2</v>
      </c>
    </row>
    <row r="116" spans="1:13" x14ac:dyDescent="0.35">
      <c r="A116" s="45" t="s">
        <v>324</v>
      </c>
      <c r="B116" s="64">
        <v>1</v>
      </c>
      <c r="C116" s="65">
        <v>104.5</v>
      </c>
      <c r="D116" s="65">
        <v>6.7000000000000004E-2</v>
      </c>
      <c r="E116" s="65">
        <v>3.8107895468462528E-2</v>
      </c>
      <c r="F116" s="65">
        <v>2.8892104531537476E-2</v>
      </c>
      <c r="G116" s="65">
        <v>1.4319832397074206</v>
      </c>
      <c r="H116" s="65">
        <v>1.7780966290990802E-3</v>
      </c>
      <c r="I116" s="65">
        <v>3.4589887739573312E-2</v>
      </c>
      <c r="J116" s="65">
        <v>4.1625903197351745E-2</v>
      </c>
      <c r="K116" s="65">
        <v>2.0254485342774606E-2</v>
      </c>
      <c r="L116" s="65">
        <v>-1.9660998445244424E-3</v>
      </c>
      <c r="M116" s="65">
        <v>7.8181890781449492E-2</v>
      </c>
    </row>
    <row r="117" spans="1:13" x14ac:dyDescent="0.35">
      <c r="A117" s="45" t="s">
        <v>325</v>
      </c>
      <c r="B117" s="64">
        <v>1</v>
      </c>
      <c r="C117" s="65">
        <v>97</v>
      </c>
      <c r="D117" s="65">
        <v>2.8999999999999998E-2</v>
      </c>
      <c r="E117" s="65">
        <v>3.5566511861670751E-2</v>
      </c>
      <c r="F117" s="65">
        <v>-6.5665118616707527E-3</v>
      </c>
      <c r="G117" s="65">
        <v>-0.32545690532818061</v>
      </c>
      <c r="H117" s="65">
        <v>1.885000615008979E-3</v>
      </c>
      <c r="I117" s="65">
        <v>3.1836991978422047E-2</v>
      </c>
      <c r="J117" s="65">
        <v>3.9296031744919455E-2</v>
      </c>
      <c r="K117" s="65">
        <v>2.0264150024041031E-2</v>
      </c>
      <c r="L117" s="65">
        <v>-4.5266052599041776E-3</v>
      </c>
      <c r="M117" s="65">
        <v>7.5659628983245686E-2</v>
      </c>
    </row>
    <row r="118" spans="1:13" x14ac:dyDescent="0.35">
      <c r="A118" s="45" t="s">
        <v>326</v>
      </c>
      <c r="B118" s="64">
        <v>1</v>
      </c>
      <c r="C118" s="65">
        <v>93.6</v>
      </c>
      <c r="D118" s="65">
        <v>3.7000000000000005E-2</v>
      </c>
      <c r="E118" s="65">
        <v>3.4414417959925142E-2</v>
      </c>
      <c r="F118" s="65">
        <v>2.585582040074863E-3</v>
      </c>
      <c r="G118" s="65">
        <v>0.1281495483388623</v>
      </c>
      <c r="H118" s="65">
        <v>2.0651269210571182E-3</v>
      </c>
      <c r="I118" s="65">
        <v>3.0328513768600508E-2</v>
      </c>
      <c r="J118" s="65">
        <v>3.850032215124978E-2</v>
      </c>
      <c r="K118" s="65">
        <v>2.0281698599435224E-2</v>
      </c>
      <c r="L118" s="65">
        <v>-5.7134194478577691E-3</v>
      </c>
      <c r="M118" s="65">
        <v>7.454225536770806E-2</v>
      </c>
    </row>
    <row r="119" spans="1:13" x14ac:dyDescent="0.35">
      <c r="A119" s="45" t="s">
        <v>327</v>
      </c>
      <c r="B119" s="64">
        <v>1</v>
      </c>
      <c r="C119" s="65">
        <v>100.1</v>
      </c>
      <c r="D119" s="65">
        <v>3.1E-2</v>
      </c>
      <c r="E119" s="65">
        <v>3.6616950419144687E-2</v>
      </c>
      <c r="F119" s="65">
        <v>-5.6169504191446867E-3</v>
      </c>
      <c r="G119" s="65">
        <v>-0.27839366459798487</v>
      </c>
      <c r="H119" s="65">
        <v>1.7874080858016747E-3</v>
      </c>
      <c r="I119" s="65">
        <v>3.3080519745118039E-2</v>
      </c>
      <c r="J119" s="65">
        <v>4.0153381093171334E-2</v>
      </c>
      <c r="K119" s="65">
        <v>2.0255304898802364E-2</v>
      </c>
      <c r="L119" s="65">
        <v>-3.4586664055153427E-3</v>
      </c>
      <c r="M119" s="65">
        <v>7.6692567243804716E-2</v>
      </c>
    </row>
    <row r="120" spans="1:13" x14ac:dyDescent="0.35">
      <c r="A120" s="45" t="s">
        <v>328</v>
      </c>
      <c r="B120" s="64">
        <v>1</v>
      </c>
      <c r="C120" s="65">
        <v>97.8</v>
      </c>
      <c r="D120" s="65">
        <v>2.9000000000000001E-2</v>
      </c>
      <c r="E120" s="65">
        <v>3.583759277972854E-2</v>
      </c>
      <c r="F120" s="65">
        <v>-6.8375927797285387E-3</v>
      </c>
      <c r="G120" s="65">
        <v>-0.33889252511280116</v>
      </c>
      <c r="H120" s="65">
        <v>1.8531660928950116E-3</v>
      </c>
      <c r="I120" s="65">
        <v>3.2171058278156854E-2</v>
      </c>
      <c r="J120" s="65">
        <v>3.9504127281300226E-2</v>
      </c>
      <c r="K120" s="65">
        <v>2.0261213523530955E-2</v>
      </c>
      <c r="L120" s="65">
        <v>-4.2497144036679618E-3</v>
      </c>
      <c r="M120" s="65">
        <v>7.5924899963125042E-2</v>
      </c>
    </row>
    <row r="121" spans="1:13" x14ac:dyDescent="0.35">
      <c r="A121" s="45" t="s">
        <v>329</v>
      </c>
      <c r="B121" s="64">
        <v>1</v>
      </c>
      <c r="C121" s="65">
        <v>104.7</v>
      </c>
      <c r="D121" s="65">
        <v>5.6000000000000001E-2</v>
      </c>
      <c r="E121" s="65">
        <v>3.8175665697976979E-2</v>
      </c>
      <c r="F121" s="65">
        <v>1.7824334302023022E-2</v>
      </c>
      <c r="G121" s="65">
        <v>0.8834298640854592</v>
      </c>
      <c r="H121" s="65">
        <v>1.7813968643615619E-3</v>
      </c>
      <c r="I121" s="65">
        <v>3.4651128372793299E-2</v>
      </c>
      <c r="J121" s="65">
        <v>4.1700203023160659E-2</v>
      </c>
      <c r="K121" s="65">
        <v>2.0254775329946642E-2</v>
      </c>
      <c r="L121" s="65">
        <v>-1.8989033617320752E-3</v>
      </c>
      <c r="M121" s="65">
        <v>7.8250234757686027E-2</v>
      </c>
    </row>
    <row r="122" spans="1:13" x14ac:dyDescent="0.35">
      <c r="A122" s="45" t="s">
        <v>330</v>
      </c>
      <c r="B122" s="64">
        <v>1</v>
      </c>
      <c r="C122" s="65">
        <v>97.4</v>
      </c>
      <c r="D122" s="65">
        <v>0.03</v>
      </c>
      <c r="E122" s="65">
        <v>3.5702052320699645E-2</v>
      </c>
      <c r="F122" s="65">
        <v>-5.7020523206996465E-3</v>
      </c>
      <c r="G122" s="65">
        <v>-0.28261158152269039</v>
      </c>
      <c r="H122" s="65">
        <v>1.8685343205056338E-3</v>
      </c>
      <c r="I122" s="65">
        <v>3.2005111404409717E-2</v>
      </c>
      <c r="J122" s="65">
        <v>3.9398993236989574E-2</v>
      </c>
      <c r="K122" s="65">
        <v>2.0262624938175343E-2</v>
      </c>
      <c r="L122" s="65">
        <v>-4.3880473811384116E-3</v>
      </c>
      <c r="M122" s="65">
        <v>7.5792152022537695E-2</v>
      </c>
    </row>
    <row r="123" spans="1:13" x14ac:dyDescent="0.35">
      <c r="A123" s="45" t="s">
        <v>331</v>
      </c>
      <c r="B123" s="64">
        <v>1</v>
      </c>
      <c r="C123" s="65">
        <v>93.9</v>
      </c>
      <c r="D123" s="65">
        <v>4.4000000000000004E-2</v>
      </c>
      <c r="E123" s="65">
        <v>3.4516073304196815E-2</v>
      </c>
      <c r="F123" s="65">
        <v>9.4839266958031895E-3</v>
      </c>
      <c r="G123" s="65">
        <v>0.47005312680423311</v>
      </c>
      <c r="H123" s="65">
        <v>2.0465990103153368E-3</v>
      </c>
      <c r="I123" s="65">
        <v>3.0466827038050735E-2</v>
      </c>
      <c r="J123" s="65">
        <v>3.8565319570342892E-2</v>
      </c>
      <c r="K123" s="65">
        <v>2.0279820422954481E-2</v>
      </c>
      <c r="L123" s="65">
        <v>-5.6080480854196271E-3</v>
      </c>
      <c r="M123" s="65">
        <v>7.464019469381325E-2</v>
      </c>
    </row>
    <row r="124" spans="1:13" x14ac:dyDescent="0.35">
      <c r="A124" s="45" t="s">
        <v>332</v>
      </c>
      <c r="B124" s="64">
        <v>1</v>
      </c>
      <c r="C124" s="65">
        <v>95.1</v>
      </c>
      <c r="D124" s="65">
        <v>4.7E-2</v>
      </c>
      <c r="E124" s="65">
        <v>3.4922694681283499E-2</v>
      </c>
      <c r="F124" s="65">
        <v>1.2077305318716501E-2</v>
      </c>
      <c r="G124" s="65">
        <v>0.59858909822070339</v>
      </c>
      <c r="H124" s="65">
        <v>1.9773155801073618E-3</v>
      </c>
      <c r="I124" s="65">
        <v>3.1010527378657591E-2</v>
      </c>
      <c r="J124" s="65">
        <v>3.8834861983909411E-2</v>
      </c>
      <c r="K124" s="65">
        <v>2.0272945661190759E-2</v>
      </c>
      <c r="L124" s="65">
        <v>-5.1878248238103331E-3</v>
      </c>
      <c r="M124" s="65">
        <v>7.5033214186377331E-2</v>
      </c>
    </row>
    <row r="125" spans="1:13" x14ac:dyDescent="0.35">
      <c r="A125" s="45" t="s">
        <v>333</v>
      </c>
      <c r="B125" s="64">
        <v>1</v>
      </c>
      <c r="C125" s="65">
        <v>94.7</v>
      </c>
      <c r="D125" s="65">
        <v>1.8000000000000002E-2</v>
      </c>
      <c r="E125" s="65">
        <v>3.4787154222254604E-2</v>
      </c>
      <c r="F125" s="65">
        <v>-1.6787154222254602E-2</v>
      </c>
      <c r="G125" s="65">
        <v>-0.83202396912320153</v>
      </c>
      <c r="H125" s="65">
        <v>1.9995240015079478E-3</v>
      </c>
      <c r="I125" s="65">
        <v>3.0831047013970544E-2</v>
      </c>
      <c r="J125" s="65">
        <v>3.8743261430538661E-2</v>
      </c>
      <c r="K125" s="65">
        <v>2.0275123800136567E-2</v>
      </c>
      <c r="L125" s="65">
        <v>-5.3276747840893535E-3</v>
      </c>
      <c r="M125" s="65">
        <v>7.4901983228598562E-2</v>
      </c>
    </row>
    <row r="126" spans="1:13" x14ac:dyDescent="0.35">
      <c r="A126" s="45" t="s">
        <v>334</v>
      </c>
      <c r="B126" s="64">
        <v>1</v>
      </c>
      <c r="C126" s="65">
        <v>107.5</v>
      </c>
      <c r="D126" s="65">
        <v>2.5999999999999999E-2</v>
      </c>
      <c r="E126" s="65">
        <v>3.9124448911179242E-2</v>
      </c>
      <c r="F126" s="65">
        <v>-1.3124448911179244E-2</v>
      </c>
      <c r="G126" s="65">
        <v>-0.65048881609472953</v>
      </c>
      <c r="H126" s="65">
        <v>1.859803892343899E-3</v>
      </c>
      <c r="I126" s="65">
        <v>3.544478136082841E-2</v>
      </c>
      <c r="J126" s="65">
        <v>4.2804116461530074E-2</v>
      </c>
      <c r="K126" s="65">
        <v>2.0261821719584728E-2</v>
      </c>
      <c r="L126" s="65">
        <v>-9.6406160300527288E-4</v>
      </c>
      <c r="M126" s="65">
        <v>7.9212959425363758E-2</v>
      </c>
    </row>
    <row r="127" spans="1:13" x14ac:dyDescent="0.35">
      <c r="A127" s="45" t="s">
        <v>335</v>
      </c>
      <c r="B127" s="64">
        <v>1</v>
      </c>
      <c r="C127" s="65">
        <v>102.7</v>
      </c>
      <c r="D127" s="65">
        <v>3.3000000000000002E-2</v>
      </c>
      <c r="E127" s="65">
        <v>3.7497963402832506E-2</v>
      </c>
      <c r="F127" s="65">
        <v>-4.4979634028325041E-3</v>
      </c>
      <c r="G127" s="65">
        <v>-0.22293316150240125</v>
      </c>
      <c r="H127" s="65">
        <v>1.7628883815921351E-3</v>
      </c>
      <c r="I127" s="65">
        <v>3.4010045564108256E-2</v>
      </c>
      <c r="J127" s="65">
        <v>4.0985881241556756E-2</v>
      </c>
      <c r="K127" s="65">
        <v>2.0253155910233113E-2</v>
      </c>
      <c r="L127" s="65">
        <v>-2.5734015953113448E-3</v>
      </c>
      <c r="M127" s="65">
        <v>7.7569328400976356E-2</v>
      </c>
    </row>
    <row r="128" spans="1:13" x14ac:dyDescent="0.35">
      <c r="A128" s="45" t="s">
        <v>336</v>
      </c>
      <c r="B128" s="64">
        <v>1</v>
      </c>
      <c r="C128" s="65">
        <v>99.8</v>
      </c>
      <c r="D128" s="65">
        <v>4.4999999999999998E-2</v>
      </c>
      <c r="E128" s="65">
        <v>3.6515295074873014E-2</v>
      </c>
      <c r="F128" s="65">
        <v>8.4847049251269846E-3</v>
      </c>
      <c r="G128" s="65">
        <v>0.4205285645904554</v>
      </c>
      <c r="H128" s="65">
        <v>1.7937134559270248E-3</v>
      </c>
      <c r="I128" s="65">
        <v>3.2966389071625517E-2</v>
      </c>
      <c r="J128" s="65">
        <v>4.0064201078120511E-2</v>
      </c>
      <c r="K128" s="65">
        <v>2.0255862283305334E-2</v>
      </c>
      <c r="L128" s="65">
        <v>-3.5614245486773055E-3</v>
      </c>
      <c r="M128" s="65">
        <v>7.6592014698423333E-2</v>
      </c>
    </row>
    <row r="129" spans="1:13" x14ac:dyDescent="0.35">
      <c r="A129" s="45" t="s">
        <v>337</v>
      </c>
      <c r="B129" s="64">
        <v>1</v>
      </c>
      <c r="C129" s="65">
        <v>121.6</v>
      </c>
      <c r="D129" s="65">
        <v>0.04</v>
      </c>
      <c r="E129" s="65">
        <v>4.3902250091947793E-2</v>
      </c>
      <c r="F129" s="65">
        <v>-3.9022500919477926E-3</v>
      </c>
      <c r="G129" s="65">
        <v>-0.19340774302946287</v>
      </c>
      <c r="H129" s="65">
        <v>2.886184429374548E-3</v>
      </c>
      <c r="I129" s="65">
        <v>3.81918635115042E-2</v>
      </c>
      <c r="J129" s="65">
        <v>4.9612636672391387E-2</v>
      </c>
      <c r="K129" s="65">
        <v>2.0381673371895205E-2</v>
      </c>
      <c r="L129" s="65">
        <v>3.5766101483227439E-3</v>
      </c>
      <c r="M129" s="65">
        <v>8.422789003557285E-2</v>
      </c>
    </row>
    <row r="130" spans="1:13" x14ac:dyDescent="0.35">
      <c r="A130" s="45" t="s">
        <v>338</v>
      </c>
      <c r="B130" s="64">
        <v>1</v>
      </c>
      <c r="C130" s="65">
        <v>103.6</v>
      </c>
      <c r="D130" s="65">
        <v>4.0999999999999995E-2</v>
      </c>
      <c r="E130" s="65">
        <v>3.7802929435647517E-2</v>
      </c>
      <c r="F130" s="65">
        <v>3.1970705643524777E-3</v>
      </c>
      <c r="G130" s="65">
        <v>0.15845683582230446</v>
      </c>
      <c r="H130" s="65">
        <v>1.7672097393492277E-3</v>
      </c>
      <c r="I130" s="65">
        <v>3.4306461684764415E-2</v>
      </c>
      <c r="J130" s="65">
        <v>4.1299397186530619E-2</v>
      </c>
      <c r="K130" s="65">
        <v>2.0253532510184705E-2</v>
      </c>
      <c r="L130" s="65">
        <v>-2.2691806747240501E-3</v>
      </c>
      <c r="M130" s="65">
        <v>7.7875039546019084E-2</v>
      </c>
    </row>
    <row r="131" spans="1:13" x14ac:dyDescent="0.35">
      <c r="A131" s="45" t="s">
        <v>339</v>
      </c>
      <c r="B131" s="64">
        <v>1</v>
      </c>
      <c r="C131" s="65">
        <v>95.1</v>
      </c>
      <c r="D131" s="65">
        <v>3.6000000000000004E-2</v>
      </c>
      <c r="E131" s="65">
        <v>3.4922694681283499E-2</v>
      </c>
      <c r="F131" s="65">
        <v>1.0773053187165052E-3</v>
      </c>
      <c r="G131" s="65">
        <v>5.3394627544897759E-2</v>
      </c>
      <c r="H131" s="65">
        <v>1.9773155801073618E-3</v>
      </c>
      <c r="I131" s="65">
        <v>3.1010527378657591E-2</v>
      </c>
      <c r="J131" s="65">
        <v>3.8834861983909411E-2</v>
      </c>
      <c r="K131" s="65">
        <v>2.0272945661190759E-2</v>
      </c>
      <c r="L131" s="65">
        <v>-5.1878248238103331E-3</v>
      </c>
      <c r="M131" s="65">
        <v>7.5033214186377331E-2</v>
      </c>
    </row>
    <row r="132" spans="1:13" x14ac:dyDescent="0.35">
      <c r="A132" s="45" t="s">
        <v>340</v>
      </c>
      <c r="B132" s="64">
        <v>1</v>
      </c>
      <c r="C132" s="65">
        <v>93.3</v>
      </c>
      <c r="D132" s="65">
        <v>2.4E-2</v>
      </c>
      <c r="E132" s="65">
        <v>3.4312762615653469E-2</v>
      </c>
      <c r="F132" s="65">
        <v>-1.0312762615653469E-2</v>
      </c>
      <c r="G132" s="65">
        <v>-0.51113283231331197</v>
      </c>
      <c r="H132" s="65">
        <v>2.0841124026735221E-3</v>
      </c>
      <c r="I132" s="65">
        <v>3.0189295183968248E-2</v>
      </c>
      <c r="J132" s="65">
        <v>3.843623004733869E-2</v>
      </c>
      <c r="K132" s="65">
        <v>2.0283640535792274E-2</v>
      </c>
      <c r="L132" s="65">
        <v>-5.8189169607727603E-3</v>
      </c>
      <c r="M132" s="65">
        <v>7.4444442192079699E-2</v>
      </c>
    </row>
    <row r="133" spans="1:13" x14ac:dyDescent="0.35">
      <c r="A133" s="45" t="s">
        <v>341</v>
      </c>
      <c r="B133" s="64">
        <v>1</v>
      </c>
      <c r="C133" s="65">
        <v>94.9</v>
      </c>
      <c r="D133" s="65">
        <v>2.3E-2</v>
      </c>
      <c r="E133" s="65">
        <v>3.4854924451769055E-2</v>
      </c>
      <c r="F133" s="65">
        <v>-1.1854924451769056E-2</v>
      </c>
      <c r="G133" s="65">
        <v>-0.58756720558035436</v>
      </c>
      <c r="H133" s="65">
        <v>1.988305864019089E-3</v>
      </c>
      <c r="I133" s="65">
        <v>3.0921012603255485E-2</v>
      </c>
      <c r="J133" s="65">
        <v>3.8788836300282625E-2</v>
      </c>
      <c r="K133" s="65">
        <v>2.0274020545692228E-2</v>
      </c>
      <c r="L133" s="65">
        <v>-5.2577217386364436E-3</v>
      </c>
      <c r="M133" s="65">
        <v>7.4967570642174547E-2</v>
      </c>
    </row>
    <row r="134" spans="1:13" x14ac:dyDescent="0.35">
      <c r="A134" s="45" t="s">
        <v>342</v>
      </c>
      <c r="B134" s="64">
        <v>1</v>
      </c>
      <c r="C134" s="65">
        <v>90.9</v>
      </c>
      <c r="D134" s="65">
        <v>2.4E-2</v>
      </c>
      <c r="E134" s="65">
        <v>3.3499519861480101E-2</v>
      </c>
      <c r="F134" s="65">
        <v>-9.4995198614801005E-3</v>
      </c>
      <c r="G134" s="65">
        <v>-0.47082597295944983</v>
      </c>
      <c r="H134" s="65">
        <v>2.2510213532655901E-3</v>
      </c>
      <c r="I134" s="65">
        <v>2.9045818983201376E-2</v>
      </c>
      <c r="J134" s="65">
        <v>3.7953220739758826E-2</v>
      </c>
      <c r="K134" s="65">
        <v>2.0301469060418156E-2</v>
      </c>
      <c r="L134" s="65">
        <v>-6.6674338875653757E-3</v>
      </c>
      <c r="M134" s="65">
        <v>7.3666473610525585E-2</v>
      </c>
    </row>
    <row r="135" spans="1:13" x14ac:dyDescent="0.35">
      <c r="A135" s="45" t="s">
        <v>343</v>
      </c>
      <c r="B135" s="64">
        <v>1</v>
      </c>
      <c r="C135" s="65">
        <v>95.1</v>
      </c>
      <c r="D135" s="65">
        <v>4.2999999999999997E-2</v>
      </c>
      <c r="E135" s="65">
        <v>3.4922694681283499E-2</v>
      </c>
      <c r="F135" s="65">
        <v>8.0773053187164975E-3</v>
      </c>
      <c r="G135" s="65">
        <v>0.40033656342950114</v>
      </c>
      <c r="H135" s="65">
        <v>1.9773155801073618E-3</v>
      </c>
      <c r="I135" s="65">
        <v>3.1010527378657591E-2</v>
      </c>
      <c r="J135" s="65">
        <v>3.8834861983909411E-2</v>
      </c>
      <c r="K135" s="65">
        <v>2.0272945661190759E-2</v>
      </c>
      <c r="L135" s="65">
        <v>-5.1878248238103331E-3</v>
      </c>
      <c r="M135" s="65">
        <v>7.5033214186377331E-2</v>
      </c>
    </row>
    <row r="136" spans="1:13" x14ac:dyDescent="0.35">
      <c r="A136" s="45" t="s">
        <v>344</v>
      </c>
      <c r="B136" s="64">
        <v>1</v>
      </c>
      <c r="C136" s="65">
        <v>94.8</v>
      </c>
      <c r="D136" s="65">
        <v>3.3000000000000002E-2</v>
      </c>
      <c r="E136" s="65">
        <v>3.4821039337011826E-2</v>
      </c>
      <c r="F136" s="65">
        <v>-1.8210393370118247E-3</v>
      </c>
      <c r="G136" s="65">
        <v>-9.0256416129271114E-2</v>
      </c>
      <c r="H136" s="65">
        <v>1.9938866896039992E-3</v>
      </c>
      <c r="I136" s="65">
        <v>3.0876085688395838E-2</v>
      </c>
      <c r="J136" s="65">
        <v>3.8765992985627815E-2</v>
      </c>
      <c r="K136" s="65">
        <v>2.0274568626958204E-2</v>
      </c>
      <c r="L136" s="65">
        <v>-5.2926912456017286E-3</v>
      </c>
      <c r="M136" s="65">
        <v>7.4934769919625388E-2</v>
      </c>
    </row>
    <row r="137" spans="1:13" x14ac:dyDescent="0.35">
      <c r="A137" s="45" t="s">
        <v>345</v>
      </c>
      <c r="B137" s="64">
        <v>1</v>
      </c>
      <c r="C137" s="65">
        <v>95.9</v>
      </c>
      <c r="D137" s="65">
        <v>1.9E-2</v>
      </c>
      <c r="E137" s="65">
        <v>3.5193775599341288E-2</v>
      </c>
      <c r="F137" s="65">
        <v>-1.6193775599341289E-2</v>
      </c>
      <c r="G137" s="65">
        <v>-0.80261426510233225</v>
      </c>
      <c r="H137" s="65">
        <v>1.9357093952007591E-3</v>
      </c>
      <c r="I137" s="65">
        <v>3.1363927152550111E-2</v>
      </c>
      <c r="J137" s="65">
        <v>3.9023624046132466E-2</v>
      </c>
      <c r="K137" s="65">
        <v>2.0268929911096106E-2</v>
      </c>
      <c r="L137" s="65">
        <v>-4.9087986458386107E-3</v>
      </c>
      <c r="M137" s="65">
        <v>7.5296349844521188E-2</v>
      </c>
    </row>
    <row r="138" spans="1:13" x14ac:dyDescent="0.35">
      <c r="A138" s="45" t="s">
        <v>346</v>
      </c>
      <c r="B138" s="64">
        <v>1</v>
      </c>
      <c r="C138" s="65">
        <v>92.8</v>
      </c>
      <c r="D138" s="65">
        <v>2.7000000000000003E-2</v>
      </c>
      <c r="E138" s="65">
        <v>3.4143337041867353E-2</v>
      </c>
      <c r="F138" s="65">
        <v>-7.1433370418673495E-3</v>
      </c>
      <c r="G138" s="65">
        <v>-0.35404616885452239</v>
      </c>
      <c r="H138" s="65">
        <v>2.1167381217170461E-3</v>
      </c>
      <c r="I138" s="65">
        <v>2.99553188260024E-2</v>
      </c>
      <c r="J138" s="65">
        <v>3.8331355257732305E-2</v>
      </c>
      <c r="K138" s="65">
        <v>2.0287018734998698E-2</v>
      </c>
      <c r="L138" s="65">
        <v>-5.9950263844258805E-3</v>
      </c>
      <c r="M138" s="65">
        <v>7.4281700468160586E-2</v>
      </c>
    </row>
    <row r="139" spans="1:13" x14ac:dyDescent="0.35">
      <c r="A139" s="45" t="s">
        <v>347</v>
      </c>
      <c r="B139" s="64">
        <v>1</v>
      </c>
      <c r="C139" s="65">
        <v>98.5</v>
      </c>
      <c r="D139" s="65">
        <v>3.7000000000000005E-2</v>
      </c>
      <c r="E139" s="65">
        <v>3.6074788583029108E-2</v>
      </c>
      <c r="F139" s="65">
        <v>9.2521141697089748E-4</v>
      </c>
      <c r="G139" s="65">
        <v>4.5856377158060069E-2</v>
      </c>
      <c r="H139" s="65">
        <v>1.8289960598015049E-3</v>
      </c>
      <c r="I139" s="65">
        <v>3.2456075083892789E-2</v>
      </c>
      <c r="J139" s="65">
        <v>3.9693502082165426E-2</v>
      </c>
      <c r="K139" s="65">
        <v>2.0259017139659746E-2</v>
      </c>
      <c r="L139" s="65">
        <v>-4.0081730010855174E-3</v>
      </c>
      <c r="M139" s="65">
        <v>7.615775016714374E-2</v>
      </c>
    </row>
    <row r="140" spans="1:13" x14ac:dyDescent="0.35">
      <c r="A140" s="45" t="s">
        <v>348</v>
      </c>
      <c r="B140" s="64">
        <v>1</v>
      </c>
      <c r="C140" s="65">
        <v>94.5</v>
      </c>
      <c r="D140" s="65">
        <v>0.04</v>
      </c>
      <c r="E140" s="65">
        <v>3.4719383992740153E-2</v>
      </c>
      <c r="F140" s="65">
        <v>5.2806160072598474E-3</v>
      </c>
      <c r="G140" s="65">
        <v>0.26172387717456547</v>
      </c>
      <c r="H140" s="65">
        <v>2.0109661793467058E-3</v>
      </c>
      <c r="I140" s="65">
        <v>3.0740638155366248E-2</v>
      </c>
      <c r="J140" s="65">
        <v>3.8698129830114059E-2</v>
      </c>
      <c r="K140" s="65">
        <v>2.027625541989285E-2</v>
      </c>
      <c r="L140" s="65">
        <v>-5.3976839510066488E-3</v>
      </c>
      <c r="M140" s="65">
        <v>7.4836451936486956E-2</v>
      </c>
    </row>
    <row r="141" spans="1:13" x14ac:dyDescent="0.35">
      <c r="A141" s="45" t="s">
        <v>349</v>
      </c>
      <c r="B141" s="64">
        <v>1</v>
      </c>
      <c r="C141" s="65">
        <v>94.9</v>
      </c>
      <c r="D141" s="65">
        <v>4.8000000000000001E-2</v>
      </c>
      <c r="E141" s="65">
        <v>3.4854924451769055E-2</v>
      </c>
      <c r="F141" s="65">
        <v>1.3145075548230946E-2</v>
      </c>
      <c r="G141" s="65">
        <v>0.651511136864659</v>
      </c>
      <c r="H141" s="65">
        <v>1.988305864019089E-3</v>
      </c>
      <c r="I141" s="65">
        <v>3.0921012603255485E-2</v>
      </c>
      <c r="J141" s="65">
        <v>3.8788836300282625E-2</v>
      </c>
      <c r="K141" s="65">
        <v>2.0274020545692228E-2</v>
      </c>
      <c r="L141" s="65">
        <v>-5.2577217386364436E-3</v>
      </c>
      <c r="M141" s="65">
        <v>7.4967570642174547E-2</v>
      </c>
    </row>
    <row r="142" spans="1:13" x14ac:dyDescent="0.35">
      <c r="A142" s="45" t="s">
        <v>350</v>
      </c>
      <c r="B142" s="64">
        <v>1</v>
      </c>
      <c r="C142" s="65">
        <v>136.80000000000001</v>
      </c>
      <c r="D142" s="65">
        <v>2.1999999999999999E-2</v>
      </c>
      <c r="E142" s="65">
        <v>4.9052787535045814E-2</v>
      </c>
      <c r="F142" s="65">
        <v>-2.7052787535045815E-2</v>
      </c>
      <c r="G142" s="65">
        <v>-1.3408209254976675</v>
      </c>
      <c r="H142" s="65">
        <v>4.4719631591639917E-3</v>
      </c>
      <c r="I142" s="65">
        <v>4.0204898899646957E-2</v>
      </c>
      <c r="J142" s="65">
        <v>5.790067617044467E-2</v>
      </c>
      <c r="K142" s="65">
        <v>2.0665938240863345E-2</v>
      </c>
      <c r="L142" s="65">
        <v>8.1647225861001607E-3</v>
      </c>
      <c r="M142" s="65">
        <v>8.9940852483991474E-2</v>
      </c>
    </row>
    <row r="143" spans="1:13" x14ac:dyDescent="0.35">
      <c r="A143" s="45" t="s">
        <v>351</v>
      </c>
      <c r="B143" s="64">
        <v>1</v>
      </c>
      <c r="C143" s="65">
        <v>102.3</v>
      </c>
      <c r="D143" s="65">
        <v>4.7E-2</v>
      </c>
      <c r="E143" s="65">
        <v>3.7362422943803611E-2</v>
      </c>
      <c r="F143" s="65">
        <v>9.6375770561963892E-3</v>
      </c>
      <c r="G143" s="65">
        <v>0.47766852015911654</v>
      </c>
      <c r="H143" s="65">
        <v>1.7630905238662233E-3</v>
      </c>
      <c r="I143" s="65">
        <v>3.3874105161639315E-2</v>
      </c>
      <c r="J143" s="65">
        <v>4.0850740725967907E-2</v>
      </c>
      <c r="K143" s="65">
        <v>2.0253173506233655E-2</v>
      </c>
      <c r="L143" s="65">
        <v>-2.7089768684582655E-3</v>
      </c>
      <c r="M143" s="65">
        <v>7.7433822756065487E-2</v>
      </c>
    </row>
    <row r="144" spans="1:13" x14ac:dyDescent="0.35">
      <c r="A144" s="45" t="s">
        <v>352</v>
      </c>
      <c r="B144" s="64">
        <v>1</v>
      </c>
      <c r="C144" s="65">
        <v>113</v>
      </c>
      <c r="D144" s="65">
        <v>2.7999999999999997E-2</v>
      </c>
      <c r="E144" s="65">
        <v>4.0988130222826553E-2</v>
      </c>
      <c r="F144" s="65">
        <v>-1.2988130222826556E-2</v>
      </c>
      <c r="G144" s="65">
        <v>-0.64373243471839647</v>
      </c>
      <c r="H144" s="65">
        <v>2.1627379635737803E-3</v>
      </c>
      <c r="I144" s="65">
        <v>3.6709100193243881E-2</v>
      </c>
      <c r="J144" s="65">
        <v>4.5267160252409226E-2</v>
      </c>
      <c r="K144" s="65">
        <v>2.0291869908348546E-2</v>
      </c>
      <c r="L144" s="65">
        <v>8.4016863124823649E-4</v>
      </c>
      <c r="M144" s="65">
        <v>8.113609181440487E-2</v>
      </c>
    </row>
    <row r="145" spans="1:13" x14ac:dyDescent="0.35">
      <c r="A145" s="45" t="s">
        <v>353</v>
      </c>
      <c r="B145" s="64">
        <v>1</v>
      </c>
      <c r="C145" s="65">
        <v>102.1</v>
      </c>
      <c r="D145" s="65">
        <v>2.5000000000000001E-2</v>
      </c>
      <c r="E145" s="65">
        <v>3.729465271428916E-2</v>
      </c>
      <c r="F145" s="65">
        <v>-1.2294652714289159E-2</v>
      </c>
      <c r="G145" s="65">
        <v>-0.60936151624633983</v>
      </c>
      <c r="H145" s="65">
        <v>1.7636818441199792E-3</v>
      </c>
      <c r="I145" s="65">
        <v>3.3805164990520498E-2</v>
      </c>
      <c r="J145" s="65">
        <v>4.0784140438057823E-2</v>
      </c>
      <c r="K145" s="65">
        <v>2.0253224990740028E-2</v>
      </c>
      <c r="L145" s="65">
        <v>-2.7768489613295075E-3</v>
      </c>
      <c r="M145" s="65">
        <v>7.7366154389907821E-2</v>
      </c>
    </row>
    <row r="146" spans="1:13" x14ac:dyDescent="0.35">
      <c r="A146" s="45" t="s">
        <v>354</v>
      </c>
      <c r="B146" s="64">
        <v>1</v>
      </c>
      <c r="C146" s="65">
        <v>102.9</v>
      </c>
      <c r="D146" s="65">
        <v>2.1000000000000001E-2</v>
      </c>
      <c r="E146" s="65">
        <v>3.7565733632346957E-2</v>
      </c>
      <c r="F146" s="65">
        <v>-1.6565733632346955E-2</v>
      </c>
      <c r="G146" s="65">
        <v>-0.82104967082216296</v>
      </c>
      <c r="H146" s="65">
        <v>1.7632776719761916E-3</v>
      </c>
      <c r="I146" s="65">
        <v>3.4077045573063555E-2</v>
      </c>
      <c r="J146" s="65">
        <v>4.1054421691630358E-2</v>
      </c>
      <c r="K146" s="65">
        <v>2.0253189798813118E-2</v>
      </c>
      <c r="L146" s="65">
        <v>-2.5056984151824169E-3</v>
      </c>
      <c r="M146" s="65">
        <v>7.763716567987633E-2</v>
      </c>
    </row>
    <row r="147" spans="1:13" x14ac:dyDescent="0.35">
      <c r="A147" s="45" t="s">
        <v>355</v>
      </c>
      <c r="B147" s="64">
        <v>1</v>
      </c>
      <c r="C147" s="65">
        <v>99.7</v>
      </c>
      <c r="D147" s="65">
        <v>1.4999999999999999E-2</v>
      </c>
      <c r="E147" s="65">
        <v>3.6481409960115792E-2</v>
      </c>
      <c r="F147" s="65">
        <v>-2.1481409960115792E-2</v>
      </c>
      <c r="G147" s="65">
        <v>-1.0646859938704831</v>
      </c>
      <c r="H147" s="65">
        <v>1.7959707922587794E-3</v>
      </c>
      <c r="I147" s="65">
        <v>3.292803776165041E-2</v>
      </c>
      <c r="J147" s="65">
        <v>4.0034782158581174E-2</v>
      </c>
      <c r="K147" s="65">
        <v>2.0256062301565538E-2</v>
      </c>
      <c r="L147" s="65">
        <v>-3.5957054044610873E-3</v>
      </c>
      <c r="M147" s="65">
        <v>7.6558525324692678E-2</v>
      </c>
    </row>
    <row r="148" spans="1:13" x14ac:dyDescent="0.35">
      <c r="A148" s="45" t="s">
        <v>356</v>
      </c>
      <c r="B148" s="64">
        <v>1</v>
      </c>
      <c r="C148" s="65">
        <v>97.5</v>
      </c>
      <c r="D148" s="65">
        <v>1.2E-2</v>
      </c>
      <c r="E148" s="65">
        <v>3.5735937435456867E-2</v>
      </c>
      <c r="F148" s="65">
        <v>-2.3735937435456867E-2</v>
      </c>
      <c r="G148" s="65">
        <v>-1.1764274405561774</v>
      </c>
      <c r="H148" s="65">
        <v>1.864588226079937E-3</v>
      </c>
      <c r="I148" s="65">
        <v>3.2046803963633873E-2</v>
      </c>
      <c r="J148" s="65">
        <v>3.9425070907279862E-2</v>
      </c>
      <c r="K148" s="65">
        <v>2.0262261426876663E-2</v>
      </c>
      <c r="L148" s="65">
        <v>-4.3534430503738217E-3</v>
      </c>
      <c r="M148" s="65">
        <v>7.5825317921287549E-2</v>
      </c>
    </row>
    <row r="149" spans="1:13" x14ac:dyDescent="0.35">
      <c r="A149" s="45" t="s">
        <v>357</v>
      </c>
      <c r="B149" s="64">
        <v>1</v>
      </c>
      <c r="C149" s="65">
        <v>93.1</v>
      </c>
      <c r="D149" s="65">
        <v>1.3999999999999999E-2</v>
      </c>
      <c r="E149" s="65">
        <v>3.4244992386139018E-2</v>
      </c>
      <c r="F149" s="65">
        <v>-2.024499238613902E-2</v>
      </c>
      <c r="G149" s="65">
        <v>-1.0034052643451621</v>
      </c>
      <c r="H149" s="65">
        <v>2.0970174715393862E-3</v>
      </c>
      <c r="I149" s="65">
        <v>3.0095991959638461E-2</v>
      </c>
      <c r="J149" s="65">
        <v>3.8393992812639575E-2</v>
      </c>
      <c r="K149" s="65">
        <v>2.0284970573165726E-2</v>
      </c>
      <c r="L149" s="65">
        <v>-5.8893187018051671E-3</v>
      </c>
      <c r="M149" s="65">
        <v>7.4379303474083197E-2</v>
      </c>
    </row>
    <row r="150" spans="1:13" x14ac:dyDescent="0.35">
      <c r="A150" s="45" t="s">
        <v>358</v>
      </c>
      <c r="B150" s="64">
        <v>1</v>
      </c>
      <c r="C150" s="65">
        <v>96.1</v>
      </c>
      <c r="D150" s="65">
        <v>3.2000000000000001E-2</v>
      </c>
      <c r="E150" s="65">
        <v>3.5261545828855732E-2</v>
      </c>
      <c r="F150" s="65">
        <v>-3.2615458288557317E-3</v>
      </c>
      <c r="G150" s="65">
        <v>-0.16165243197708029</v>
      </c>
      <c r="H150" s="65">
        <v>1.9259156647923258E-3</v>
      </c>
      <c r="I150" s="65">
        <v>3.1451074517540582E-2</v>
      </c>
      <c r="J150" s="65">
        <v>3.9072017140170882E-2</v>
      </c>
      <c r="K150" s="65">
        <v>2.026799694163561E-2</v>
      </c>
      <c r="L150" s="65">
        <v>-4.8391825133967739E-3</v>
      </c>
      <c r="M150" s="65">
        <v>7.5362274171108246E-2</v>
      </c>
    </row>
    <row r="151" spans="1:13" x14ac:dyDescent="0.35">
      <c r="A151" s="45" t="s">
        <v>359</v>
      </c>
      <c r="B151" s="64">
        <v>1</v>
      </c>
      <c r="C151" s="65">
        <v>94.5</v>
      </c>
      <c r="D151" s="65">
        <v>2.5000000000000001E-2</v>
      </c>
      <c r="E151" s="65">
        <v>3.4719383992740153E-2</v>
      </c>
      <c r="F151" s="65">
        <v>-9.7193839927401521E-3</v>
      </c>
      <c r="G151" s="65">
        <v>-0.48172312829244252</v>
      </c>
      <c r="H151" s="65">
        <v>2.0109661793467058E-3</v>
      </c>
      <c r="I151" s="65">
        <v>3.0740638155366248E-2</v>
      </c>
      <c r="J151" s="65">
        <v>3.8698129830114059E-2</v>
      </c>
      <c r="K151" s="65">
        <v>2.027625541989285E-2</v>
      </c>
      <c r="L151" s="65">
        <v>-5.3976839510066488E-3</v>
      </c>
      <c r="M151" s="65">
        <v>7.4836451936486956E-2</v>
      </c>
    </row>
    <row r="152" spans="1:13" x14ac:dyDescent="0.35">
      <c r="A152" s="45" t="s">
        <v>360</v>
      </c>
      <c r="B152" s="64">
        <v>1</v>
      </c>
      <c r="C152" s="65">
        <v>97.4</v>
      </c>
      <c r="D152" s="65">
        <v>3.5000000000000003E-2</v>
      </c>
      <c r="E152" s="65">
        <v>3.5702052320699645E-2</v>
      </c>
      <c r="F152" s="65">
        <v>-7.0205232069964207E-4</v>
      </c>
      <c r="G152" s="65">
        <v>-3.4795913033687495E-2</v>
      </c>
      <c r="H152" s="65">
        <v>1.8685343205056338E-3</v>
      </c>
      <c r="I152" s="65">
        <v>3.2005111404409717E-2</v>
      </c>
      <c r="J152" s="65">
        <v>3.9398993236989574E-2</v>
      </c>
      <c r="K152" s="65">
        <v>2.0262624938175343E-2</v>
      </c>
      <c r="L152" s="65">
        <v>-4.3880473811384116E-3</v>
      </c>
      <c r="M152" s="65">
        <v>7.5792152022537695E-2</v>
      </c>
    </row>
    <row r="153" spans="1:13" x14ac:dyDescent="0.35">
      <c r="A153" s="45" t="s">
        <v>361</v>
      </c>
      <c r="B153" s="64">
        <v>1</v>
      </c>
      <c r="C153" s="65">
        <v>94.3</v>
      </c>
      <c r="D153" s="65">
        <v>2.8000000000000001E-2</v>
      </c>
      <c r="E153" s="65">
        <v>3.465161376322571E-2</v>
      </c>
      <c r="F153" s="65">
        <v>-6.651613763225709E-3</v>
      </c>
      <c r="G153" s="65">
        <v>-0.32967482225288597</v>
      </c>
      <c r="H153" s="65">
        <v>2.022628595294374E-3</v>
      </c>
      <c r="I153" s="65">
        <v>3.0649793550269526E-2</v>
      </c>
      <c r="J153" s="65">
        <v>3.8653433976181893E-2</v>
      </c>
      <c r="K153" s="65">
        <v>2.0277415400212138E-2</v>
      </c>
      <c r="L153" s="65">
        <v>-5.4677492299924427E-3</v>
      </c>
      <c r="M153" s="65">
        <v>7.4770976756443869E-2</v>
      </c>
    </row>
    <row r="154" spans="1:13" x14ac:dyDescent="0.35">
      <c r="A154" s="45" t="s">
        <v>362</v>
      </c>
      <c r="B154" s="64">
        <v>1</v>
      </c>
      <c r="C154" s="65">
        <v>102.7</v>
      </c>
      <c r="D154" s="65">
        <v>3.7999999999999999E-2</v>
      </c>
      <c r="E154" s="65">
        <v>3.7497963402832506E-2</v>
      </c>
      <c r="F154" s="65">
        <v>5.0203659716749338E-4</v>
      </c>
      <c r="G154" s="65">
        <v>2.4882506986601303E-2</v>
      </c>
      <c r="H154" s="65">
        <v>1.7628883815921351E-3</v>
      </c>
      <c r="I154" s="65">
        <v>3.4010045564108256E-2</v>
      </c>
      <c r="J154" s="65">
        <v>4.0985881241556756E-2</v>
      </c>
      <c r="K154" s="65">
        <v>2.0253155910233113E-2</v>
      </c>
      <c r="L154" s="65">
        <v>-2.5734015953113448E-3</v>
      </c>
      <c r="M154" s="65">
        <v>7.7569328400976356E-2</v>
      </c>
    </row>
    <row r="155" spans="1:13" x14ac:dyDescent="0.35">
      <c r="A155" s="45" t="s">
        <v>363</v>
      </c>
      <c r="B155" s="64">
        <v>1</v>
      </c>
      <c r="C155" s="65">
        <v>102.5</v>
      </c>
      <c r="D155" s="65">
        <v>5.7000000000000002E-2</v>
      </c>
      <c r="E155" s="65">
        <v>3.7430193173318055E-2</v>
      </c>
      <c r="F155" s="65">
        <v>1.9569806826681947E-2</v>
      </c>
      <c r="G155" s="65">
        <v>0.96994095219096699</v>
      </c>
      <c r="H155" s="65">
        <v>1.7628259873202373E-3</v>
      </c>
      <c r="I155" s="65">
        <v>3.394239878318888E-2</v>
      </c>
      <c r="J155" s="65">
        <v>4.0917987563447229E-2</v>
      </c>
      <c r="K155" s="65">
        <v>2.0253150479365659E-2</v>
      </c>
      <c r="L155" s="65">
        <v>-2.641161079721531E-3</v>
      </c>
      <c r="M155" s="65">
        <v>7.7501547426357648E-2</v>
      </c>
    </row>
    <row r="156" spans="1:13" x14ac:dyDescent="0.35">
      <c r="A156" s="45" t="s">
        <v>364</v>
      </c>
      <c r="B156" s="64">
        <v>1</v>
      </c>
      <c r="C156" s="65">
        <v>101.8</v>
      </c>
      <c r="D156" s="65">
        <v>5.2000000000000005E-2</v>
      </c>
      <c r="E156" s="65">
        <v>3.7192997370017487E-2</v>
      </c>
      <c r="F156" s="65">
        <v>1.4807002629982517E-2</v>
      </c>
      <c r="G156" s="65">
        <v>0.73388145101350766</v>
      </c>
      <c r="H156" s="65">
        <v>1.7651807759316968E-3</v>
      </c>
      <c r="I156" s="65">
        <v>3.3700543972948284E-2</v>
      </c>
      <c r="J156" s="65">
        <v>4.0685450767086691E-2</v>
      </c>
      <c r="K156" s="65">
        <v>2.0253355575064018E-2</v>
      </c>
      <c r="L156" s="65">
        <v>-2.8787626698843979E-3</v>
      </c>
      <c r="M156" s="65">
        <v>7.7264757409919366E-2</v>
      </c>
    </row>
    <row r="157" spans="1:13" x14ac:dyDescent="0.35">
      <c r="A157" s="45" t="s">
        <v>365</v>
      </c>
      <c r="B157" s="64">
        <v>1</v>
      </c>
      <c r="C157" s="65">
        <v>100</v>
      </c>
      <c r="D157" s="65">
        <v>3.3000000000000002E-2</v>
      </c>
      <c r="E157" s="65">
        <v>3.6583065304387465E-2</v>
      </c>
      <c r="F157" s="65">
        <v>-3.583065304387463E-3</v>
      </c>
      <c r="G157" s="65">
        <v>-0.1775879447293062</v>
      </c>
      <c r="H157" s="65">
        <v>1.7894318235811501E-3</v>
      </c>
      <c r="I157" s="65">
        <v>3.304263061559979E-2</v>
      </c>
      <c r="J157" s="65">
        <v>4.0123499993175139E-2</v>
      </c>
      <c r="K157" s="65">
        <v>2.0255483581724305E-2</v>
      </c>
      <c r="L157" s="65">
        <v>-3.4929050488098287E-3</v>
      </c>
      <c r="M157" s="65">
        <v>7.6659035657584751E-2</v>
      </c>
    </row>
    <row r="158" spans="1:13" x14ac:dyDescent="0.35">
      <c r="A158" s="45" t="s">
        <v>366</v>
      </c>
      <c r="B158" s="64">
        <v>1</v>
      </c>
      <c r="C158" s="65">
        <v>96.8</v>
      </c>
      <c r="D158" s="65">
        <v>0.05</v>
      </c>
      <c r="E158" s="65">
        <v>3.54987416321563E-2</v>
      </c>
      <c r="F158" s="65">
        <v>1.4501258367843703E-2</v>
      </c>
      <c r="G158" s="65">
        <v>0.7187278072717862</v>
      </c>
      <c r="H158" s="65">
        <v>1.8936366604121889E-3</v>
      </c>
      <c r="I158" s="65">
        <v>3.1752135121567819E-2</v>
      </c>
      <c r="J158" s="65">
        <v>3.9245348142744781E-2</v>
      </c>
      <c r="K158" s="65">
        <v>2.0264955185736656E-2</v>
      </c>
      <c r="L158" s="65">
        <v>-4.5959685215530288E-3</v>
      </c>
      <c r="M158" s="65">
        <v>7.5593451785865629E-2</v>
      </c>
    </row>
    <row r="159" spans="1:13" x14ac:dyDescent="0.35">
      <c r="A159" s="45" t="s">
        <v>367</v>
      </c>
      <c r="B159" s="64">
        <v>1</v>
      </c>
      <c r="C159" s="65">
        <v>97.5</v>
      </c>
      <c r="D159" s="65">
        <v>2.7999999999999997E-2</v>
      </c>
      <c r="E159" s="65">
        <v>3.5735937435456867E-2</v>
      </c>
      <c r="F159" s="65">
        <v>-7.7359374354568702E-3</v>
      </c>
      <c r="G159" s="65">
        <v>-0.38341730139136904</v>
      </c>
      <c r="H159" s="65">
        <v>1.864588226079937E-3</v>
      </c>
      <c r="I159" s="65">
        <v>3.2046803963633873E-2</v>
      </c>
      <c r="J159" s="65">
        <v>3.9425070907279862E-2</v>
      </c>
      <c r="K159" s="65">
        <v>2.0262261426876663E-2</v>
      </c>
      <c r="L159" s="65">
        <v>-4.3534430503738217E-3</v>
      </c>
      <c r="M159" s="65">
        <v>7.5825317921287549E-2</v>
      </c>
    </row>
    <row r="160" spans="1:13" x14ac:dyDescent="0.35">
      <c r="A160" s="45" t="s">
        <v>368</v>
      </c>
      <c r="B160" s="64">
        <v>1</v>
      </c>
      <c r="C160" s="65">
        <v>97.3</v>
      </c>
      <c r="D160" s="65">
        <v>1.9E-2</v>
      </c>
      <c r="E160" s="65">
        <v>3.5668167205942423E-2</v>
      </c>
      <c r="F160" s="65">
        <v>-1.6668167205942424E-2</v>
      </c>
      <c r="G160" s="65">
        <v>-0.82612659972541869</v>
      </c>
      <c r="H160" s="65">
        <v>1.8725490488951267E-3</v>
      </c>
      <c r="I160" s="65">
        <v>3.1963283051207249E-2</v>
      </c>
      <c r="J160" s="65">
        <v>3.9373051360677598E-2</v>
      </c>
      <c r="K160" s="65">
        <v>2.0262995553934664E-2</v>
      </c>
      <c r="L160" s="65">
        <v>-4.4226657682523776E-3</v>
      </c>
      <c r="M160" s="65">
        <v>7.5759000180137231E-2</v>
      </c>
    </row>
    <row r="161" spans="1:13" x14ac:dyDescent="0.35">
      <c r="A161" s="45" t="s">
        <v>369</v>
      </c>
      <c r="B161" s="64">
        <v>1</v>
      </c>
      <c r="C161" s="65">
        <v>97.8</v>
      </c>
      <c r="D161" s="65">
        <v>4.2000000000000003E-2</v>
      </c>
      <c r="E161" s="65">
        <v>3.583759277972854E-2</v>
      </c>
      <c r="F161" s="65">
        <v>6.1624072202714625E-3</v>
      </c>
      <c r="G161" s="65">
        <v>0.30542821295860584</v>
      </c>
      <c r="H161" s="65">
        <v>1.8531660928950116E-3</v>
      </c>
      <c r="I161" s="65">
        <v>3.2171058278156854E-2</v>
      </c>
      <c r="J161" s="65">
        <v>3.9504127281300226E-2</v>
      </c>
      <c r="K161" s="65">
        <v>2.0261213523530955E-2</v>
      </c>
      <c r="L161" s="65">
        <v>-4.2497144036679618E-3</v>
      </c>
      <c r="M161" s="65">
        <v>7.5924899963125042E-2</v>
      </c>
    </row>
    <row r="162" spans="1:13" x14ac:dyDescent="0.35">
      <c r="A162" s="45" t="s">
        <v>370</v>
      </c>
      <c r="B162" s="64">
        <v>1</v>
      </c>
      <c r="C162" s="65">
        <v>99.9</v>
      </c>
      <c r="D162" s="65">
        <v>1.8000000000000002E-2</v>
      </c>
      <c r="E162" s="65">
        <v>3.6549180189630243E-2</v>
      </c>
      <c r="F162" s="65">
        <v>-1.8549180189630241E-2</v>
      </c>
      <c r="G162" s="65">
        <v>-0.91935549772323666</v>
      </c>
      <c r="H162" s="65">
        <v>1.7915337051922246E-3</v>
      </c>
      <c r="I162" s="65">
        <v>3.3004586876596867E-2</v>
      </c>
      <c r="J162" s="65">
        <v>4.0093773502663618E-2</v>
      </c>
      <c r="K162" s="65">
        <v>2.0255669376623861E-2</v>
      </c>
      <c r="L162" s="65">
        <v>-3.5271577633262177E-3</v>
      </c>
      <c r="M162" s="65">
        <v>7.6625518142586696E-2</v>
      </c>
    </row>
    <row r="163" spans="1:13" x14ac:dyDescent="0.35">
      <c r="A163" s="45" t="s">
        <v>371</v>
      </c>
      <c r="B163" s="64">
        <v>1</v>
      </c>
      <c r="C163" s="65">
        <v>100.8</v>
      </c>
      <c r="D163" s="65">
        <v>1.1000000000000001E-2</v>
      </c>
      <c r="E163" s="65">
        <v>3.6854146222445254E-2</v>
      </c>
      <c r="F163" s="65">
        <v>-2.5854146222445251E-2</v>
      </c>
      <c r="G163" s="65">
        <v>-1.2814125058655386</v>
      </c>
      <c r="H163" s="65">
        <v>1.7754510947623544E-3</v>
      </c>
      <c r="I163" s="65">
        <v>3.3341372748034295E-2</v>
      </c>
      <c r="J163" s="65">
        <v>4.0366919696856213E-2</v>
      </c>
      <c r="K163" s="65">
        <v>2.0254253268589064E-2</v>
      </c>
      <c r="L163" s="65">
        <v>-3.2193899260817768E-3</v>
      </c>
      <c r="M163" s="65">
        <v>7.6927682370972278E-2</v>
      </c>
    </row>
    <row r="164" spans="1:13" x14ac:dyDescent="0.35">
      <c r="A164" s="45" t="s">
        <v>372</v>
      </c>
      <c r="B164" s="64">
        <v>1</v>
      </c>
      <c r="C164" s="65">
        <v>88.8</v>
      </c>
      <c r="D164" s="65">
        <v>1.3999999999999999E-2</v>
      </c>
      <c r="E164" s="65">
        <v>3.2787932451578405E-2</v>
      </c>
      <c r="F164" s="65">
        <v>-1.8787932451578407E-2</v>
      </c>
      <c r="G164" s="65">
        <v>-0.93118880800282589</v>
      </c>
      <c r="H164" s="65">
        <v>2.4158617536424523E-3</v>
      </c>
      <c r="I164" s="65">
        <v>2.8008090803968815E-2</v>
      </c>
      <c r="J164" s="65">
        <v>3.7567774099187996E-2</v>
      </c>
      <c r="K164" s="65">
        <v>2.0320406907613102E-2</v>
      </c>
      <c r="L164" s="65">
        <v>-7.4164902919581638E-3</v>
      </c>
      <c r="M164" s="65">
        <v>7.2992355195114975E-2</v>
      </c>
    </row>
    <row r="165" spans="1:13" x14ac:dyDescent="0.35">
      <c r="A165" s="45" t="s">
        <v>373</v>
      </c>
      <c r="B165" s="64">
        <v>1</v>
      </c>
      <c r="C165" s="65">
        <v>92.3</v>
      </c>
      <c r="D165" s="65">
        <v>1.9E-2</v>
      </c>
      <c r="E165" s="65">
        <v>3.3973911468081229E-2</v>
      </c>
      <c r="F165" s="65">
        <v>-1.4973911468081229E-2</v>
      </c>
      <c r="G165" s="65">
        <v>-0.74215397607153866</v>
      </c>
      <c r="H165" s="65">
        <v>2.1505442412002407E-3</v>
      </c>
      <c r="I165" s="65">
        <v>2.9719007016856903E-2</v>
      </c>
      <c r="J165" s="65">
        <v>3.8228815919305555E-2</v>
      </c>
      <c r="K165" s="65">
        <v>2.0290573905427548E-2</v>
      </c>
      <c r="L165" s="65">
        <v>-6.1714859499768654E-3</v>
      </c>
      <c r="M165" s="65">
        <v>7.4119308886139323E-2</v>
      </c>
    </row>
    <row r="166" spans="1:13" x14ac:dyDescent="0.35">
      <c r="A166" s="45" t="s">
        <v>374</v>
      </c>
      <c r="B166" s="64">
        <v>1</v>
      </c>
      <c r="C166" s="65">
        <v>108.8</v>
      </c>
      <c r="D166" s="65">
        <v>2.3E-2</v>
      </c>
      <c r="E166" s="65">
        <v>3.9564955403023155E-2</v>
      </c>
      <c r="F166" s="65">
        <v>-1.6564955403023156E-2</v>
      </c>
      <c r="G166" s="65">
        <v>-0.82101109933813998</v>
      </c>
      <c r="H166" s="65">
        <v>1.9152602835884889E-3</v>
      </c>
      <c r="I166" s="65">
        <v>3.5775566024385842E-2</v>
      </c>
      <c r="J166" s="65">
        <v>4.3354344781660469E-2</v>
      </c>
      <c r="K166" s="65">
        <v>2.0266987216459909E-2</v>
      </c>
      <c r="L166" s="65">
        <v>-5.3377517323956181E-4</v>
      </c>
      <c r="M166" s="65">
        <v>7.9663685979285873E-2</v>
      </c>
    </row>
    <row r="167" spans="1:13" x14ac:dyDescent="0.35">
      <c r="A167" s="45" t="s">
        <v>375</v>
      </c>
      <c r="B167" s="64">
        <v>1</v>
      </c>
      <c r="C167" s="65">
        <v>132.6</v>
      </c>
      <c r="D167" s="65">
        <v>0.127</v>
      </c>
      <c r="E167" s="65">
        <v>4.7629612715242409E-2</v>
      </c>
      <c r="F167" s="65">
        <v>7.9370387284757593E-2</v>
      </c>
      <c r="G167" s="65">
        <v>3.9338451166406481</v>
      </c>
      <c r="H167" s="65">
        <v>4.0135518283938012E-3</v>
      </c>
      <c r="I167" s="65">
        <v>3.9688702124943964E-2</v>
      </c>
      <c r="J167" s="65">
        <v>5.5570523305540853E-2</v>
      </c>
      <c r="K167" s="65">
        <v>2.0571610222767229E-2</v>
      </c>
      <c r="L167" s="65">
        <v>6.928178060332621E-3</v>
      </c>
      <c r="M167" s="65">
        <v>8.8331047370152196E-2</v>
      </c>
    </row>
    <row r="168" spans="1:13" x14ac:dyDescent="0.35">
      <c r="A168" s="45" t="s">
        <v>376</v>
      </c>
      <c r="B168" s="64">
        <v>1</v>
      </c>
      <c r="C168" s="65">
        <v>102.8</v>
      </c>
      <c r="D168" s="65">
        <v>4.5999999999999999E-2</v>
      </c>
      <c r="E168" s="65">
        <v>3.7531848517589728E-2</v>
      </c>
      <c r="F168" s="65">
        <v>8.4681514824102716E-3</v>
      </c>
      <c r="G168" s="65">
        <v>0.41970812409592806</v>
      </c>
      <c r="H168" s="65">
        <v>1.7630421740422498E-3</v>
      </c>
      <c r="I168" s="65">
        <v>3.4043626396736318E-2</v>
      </c>
      <c r="J168" s="65">
        <v>4.1020070638443137E-2</v>
      </c>
      <c r="K168" s="65">
        <v>2.0253169297315163E-2</v>
      </c>
      <c r="L168" s="65">
        <v>-2.5395429672238345E-3</v>
      </c>
      <c r="M168" s="65">
        <v>7.760324000240329E-2</v>
      </c>
    </row>
    <row r="169" spans="1:13" x14ac:dyDescent="0.35">
      <c r="A169" s="45" t="s">
        <v>377</v>
      </c>
      <c r="B169" s="64">
        <v>1</v>
      </c>
      <c r="C169" s="65">
        <v>105.6</v>
      </c>
      <c r="D169" s="65">
        <v>3.3000000000000002E-2</v>
      </c>
      <c r="E169" s="65">
        <v>3.8480631730791991E-2</v>
      </c>
      <c r="F169" s="65">
        <v>-5.4806317307919891E-3</v>
      </c>
      <c r="G169" s="65">
        <v>-0.27163728322165132</v>
      </c>
      <c r="H169" s="65">
        <v>1.8001394174584631E-3</v>
      </c>
      <c r="I169" s="65">
        <v>3.4919011805273237E-2</v>
      </c>
      <c r="J169" s="65">
        <v>4.2042251656310745E-2</v>
      </c>
      <c r="K169" s="65">
        <v>2.0256432331497706E-2</v>
      </c>
      <c r="L169" s="65">
        <v>-1.5972157470682605E-3</v>
      </c>
      <c r="M169" s="65">
        <v>7.8558479208652249E-2</v>
      </c>
    </row>
    <row r="170" spans="1:13" x14ac:dyDescent="0.35">
      <c r="A170" s="45" t="s">
        <v>378</v>
      </c>
      <c r="B170" s="64">
        <v>1</v>
      </c>
      <c r="C170" s="65">
        <v>111.8</v>
      </c>
      <c r="D170" s="65">
        <v>2.8000000000000001E-2</v>
      </c>
      <c r="E170" s="65">
        <v>4.0581508845739862E-2</v>
      </c>
      <c r="F170" s="65">
        <v>-1.2581508845739862E-2</v>
      </c>
      <c r="G170" s="65">
        <v>-0.6235790050414648</v>
      </c>
      <c r="H170" s="65">
        <v>2.0825984862314056E-3</v>
      </c>
      <c r="I170" s="65">
        <v>3.6461036734813421E-2</v>
      </c>
      <c r="J170" s="65">
        <v>4.4701980956666304E-2</v>
      </c>
      <c r="K170" s="65">
        <v>2.0283485039142343E-2</v>
      </c>
      <c r="L170" s="65">
        <v>4.5013692324386706E-4</v>
      </c>
      <c r="M170" s="65">
        <v>8.0712880768235851E-2</v>
      </c>
    </row>
    <row r="171" spans="1:13" x14ac:dyDescent="0.35">
      <c r="A171" s="45" t="s">
        <v>379</v>
      </c>
      <c r="B171" s="64">
        <v>1</v>
      </c>
      <c r="C171" s="65">
        <v>109.7</v>
      </c>
      <c r="D171" s="65">
        <v>3.1E-2</v>
      </c>
      <c r="E171" s="65">
        <v>3.9869921435838167E-2</v>
      </c>
      <c r="F171" s="65">
        <v>-8.869921435838167E-3</v>
      </c>
      <c r="G171" s="65">
        <v>-0.43962110201343396</v>
      </c>
      <c r="H171" s="65">
        <v>1.9600222799085951E-3</v>
      </c>
      <c r="I171" s="65">
        <v>3.5991969351194024E-2</v>
      </c>
      <c r="J171" s="65">
        <v>4.374787352048231E-2</v>
      </c>
      <c r="K171" s="65">
        <v>2.0271266270659956E-2</v>
      </c>
      <c r="L171" s="65">
        <v>-2.3727535395971083E-4</v>
      </c>
      <c r="M171" s="65">
        <v>7.9977118225636051E-2</v>
      </c>
    </row>
    <row r="172" spans="1:13" x14ac:dyDescent="0.35">
      <c r="A172" s="45" t="s">
        <v>380</v>
      </c>
      <c r="B172" s="64">
        <v>1</v>
      </c>
      <c r="C172" s="65">
        <v>97.3</v>
      </c>
      <c r="D172" s="65">
        <v>4.4999999999999998E-2</v>
      </c>
      <c r="E172" s="65">
        <v>3.5668167205942423E-2</v>
      </c>
      <c r="F172" s="65">
        <v>9.3318327940575749E-3</v>
      </c>
      <c r="G172" s="65">
        <v>0.46251487641739508</v>
      </c>
      <c r="H172" s="65">
        <v>1.8725490488951267E-3</v>
      </c>
      <c r="I172" s="65">
        <v>3.1963283051207249E-2</v>
      </c>
      <c r="J172" s="65">
        <v>3.9373051360677598E-2</v>
      </c>
      <c r="K172" s="65">
        <v>2.0262995553934664E-2</v>
      </c>
      <c r="L172" s="65">
        <v>-4.4226657682523776E-3</v>
      </c>
      <c r="M172" s="65">
        <v>7.5759000180137231E-2</v>
      </c>
    </row>
    <row r="173" spans="1:13" x14ac:dyDescent="0.35">
      <c r="A173" s="45" t="s">
        <v>381</v>
      </c>
      <c r="B173" s="64">
        <v>1</v>
      </c>
      <c r="C173" s="65">
        <v>226.5</v>
      </c>
      <c r="D173" s="65">
        <v>7.5999999999999998E-2</v>
      </c>
      <c r="E173" s="65">
        <v>7.9447735472275516E-2</v>
      </c>
      <c r="F173" s="65">
        <v>-3.4477354722755177E-3</v>
      </c>
      <c r="G173" s="65">
        <v>-0.17088057416704094</v>
      </c>
      <c r="H173" s="65">
        <v>1.4981289423307318E-2</v>
      </c>
      <c r="I173" s="65">
        <v>4.9806887434323002E-2</v>
      </c>
      <c r="J173" s="65">
        <v>0.10908858351022803</v>
      </c>
      <c r="K173" s="65">
        <v>2.5130093148716295E-2</v>
      </c>
      <c r="L173" s="65">
        <v>2.9727230704385522E-2</v>
      </c>
      <c r="M173" s="65">
        <v>0.12916824024016552</v>
      </c>
    </row>
    <row r="174" spans="1:13" x14ac:dyDescent="0.35">
      <c r="A174" s="45" t="s">
        <v>382</v>
      </c>
      <c r="B174" s="64">
        <v>1</v>
      </c>
      <c r="C174" s="65">
        <v>110.4</v>
      </c>
      <c r="D174" s="65">
        <v>3.5000000000000003E-2</v>
      </c>
      <c r="E174" s="65">
        <v>4.0107117239138734E-2</v>
      </c>
      <c r="F174" s="65">
        <v>-5.1071172391387309E-3</v>
      </c>
      <c r="G174" s="65">
        <v>-0.25312473453377488</v>
      </c>
      <c r="H174" s="65">
        <v>1.9981849045309849E-3</v>
      </c>
      <c r="I174" s="65">
        <v>3.6153659467020059E-2</v>
      </c>
      <c r="J174" s="65">
        <v>4.4060575011257409E-2</v>
      </c>
      <c r="K174" s="65">
        <v>2.0274991782759207E-2</v>
      </c>
      <c r="L174" s="65">
        <v>-7.4505675908137503E-6</v>
      </c>
      <c r="M174" s="65">
        <v>8.0221685045868282E-2</v>
      </c>
    </row>
    <row r="175" spans="1:13" x14ac:dyDescent="0.35">
      <c r="A175" s="45" t="s">
        <v>383</v>
      </c>
      <c r="B175" s="64">
        <v>1</v>
      </c>
      <c r="C175" s="65">
        <v>102.9</v>
      </c>
      <c r="D175" s="65">
        <v>3.4000000000000002E-2</v>
      </c>
      <c r="E175" s="65">
        <v>3.7565733632346957E-2</v>
      </c>
      <c r="F175" s="65">
        <v>-3.5657336323469541E-3</v>
      </c>
      <c r="G175" s="65">
        <v>-0.17672893275075602</v>
      </c>
      <c r="H175" s="65">
        <v>1.7632776719761916E-3</v>
      </c>
      <c r="I175" s="65">
        <v>3.4077045573063555E-2</v>
      </c>
      <c r="J175" s="65">
        <v>4.1054421691630358E-2</v>
      </c>
      <c r="K175" s="65">
        <v>2.0253189798813118E-2</v>
      </c>
      <c r="L175" s="65">
        <v>-2.5056984151824169E-3</v>
      </c>
      <c r="M175" s="65">
        <v>7.763716567987633E-2</v>
      </c>
    </row>
    <row r="176" spans="1:13" x14ac:dyDescent="0.35">
      <c r="A176" s="45" t="s">
        <v>384</v>
      </c>
      <c r="B176" s="64">
        <v>1</v>
      </c>
      <c r="C176" s="65">
        <v>96.3</v>
      </c>
      <c r="D176" s="65">
        <v>3.6999999999999998E-2</v>
      </c>
      <c r="E176" s="65">
        <v>3.5329316058370183E-2</v>
      </c>
      <c r="F176" s="65">
        <v>1.670683941629815E-3</v>
      </c>
      <c r="G176" s="65">
        <v>8.28043315657669E-2</v>
      </c>
      <c r="H176" s="65">
        <v>1.9163726545932329E-3</v>
      </c>
      <c r="I176" s="65">
        <v>3.1537725826456378E-2</v>
      </c>
      <c r="J176" s="65">
        <v>3.9120906290283988E-2</v>
      </c>
      <c r="K176" s="65">
        <v>2.0267092367419914E-2</v>
      </c>
      <c r="L176" s="65">
        <v>-4.7696225616422061E-3</v>
      </c>
      <c r="M176" s="65">
        <v>7.5428254678382572E-2</v>
      </c>
    </row>
    <row r="177" spans="1:13" x14ac:dyDescent="0.35">
      <c r="A177" s="45" t="s">
        <v>385</v>
      </c>
      <c r="B177" s="64">
        <v>1</v>
      </c>
      <c r="C177" s="65">
        <v>101.1</v>
      </c>
      <c r="D177" s="65">
        <v>3.2000000000000001E-2</v>
      </c>
      <c r="E177" s="65">
        <v>3.695580156671692E-2</v>
      </c>
      <c r="F177" s="65">
        <v>-4.9558015667169192E-3</v>
      </c>
      <c r="G177" s="65">
        <v>-0.24562505563096002</v>
      </c>
      <c r="H177" s="65">
        <v>1.771522418509126E-3</v>
      </c>
      <c r="I177" s="65">
        <v>3.3450801074492068E-2</v>
      </c>
      <c r="J177" s="65">
        <v>4.0460802058941772E-2</v>
      </c>
      <c r="K177" s="65">
        <v>2.0253909266053759E-2</v>
      </c>
      <c r="L177" s="65">
        <v>-3.117053964368878E-3</v>
      </c>
      <c r="M177" s="65">
        <v>7.7028657097802711E-2</v>
      </c>
    </row>
    <row r="178" spans="1:13" x14ac:dyDescent="0.35">
      <c r="A178" s="45" t="s">
        <v>386</v>
      </c>
      <c r="B178" s="64">
        <v>1</v>
      </c>
      <c r="C178" s="65">
        <v>106</v>
      </c>
      <c r="D178" s="65">
        <v>4.2000000000000003E-2</v>
      </c>
      <c r="E178" s="65">
        <v>3.8616172189820885E-2</v>
      </c>
      <c r="F178" s="65">
        <v>3.3838278101791172E-3</v>
      </c>
      <c r="G178" s="65">
        <v>0.16771311016624318</v>
      </c>
      <c r="H178" s="65">
        <v>1.8104775259721814E-3</v>
      </c>
      <c r="I178" s="65">
        <v>3.5034098063412171E-2</v>
      </c>
      <c r="J178" s="65">
        <v>4.21982463162296E-2</v>
      </c>
      <c r="K178" s="65">
        <v>2.0257353670958808E-2</v>
      </c>
      <c r="L178" s="65">
        <v>-1.4634981807281275E-3</v>
      </c>
      <c r="M178" s="65">
        <v>7.8695842560369905E-2</v>
      </c>
    </row>
    <row r="179" spans="1:13" x14ac:dyDescent="0.35">
      <c r="A179" s="45" t="s">
        <v>387</v>
      </c>
      <c r="B179" s="64">
        <v>1</v>
      </c>
      <c r="C179" s="65">
        <v>101.4</v>
      </c>
      <c r="D179" s="65">
        <v>2.5000000000000001E-2</v>
      </c>
      <c r="E179" s="65">
        <v>3.70574569109886E-2</v>
      </c>
      <c r="F179" s="65">
        <v>-1.2057456910988598E-2</v>
      </c>
      <c r="G179" s="65">
        <v>-0.59760534893479689</v>
      </c>
      <c r="H179" s="65">
        <v>1.7683185189664263E-3</v>
      </c>
      <c r="I179" s="65">
        <v>3.3558795412477214E-2</v>
      </c>
      <c r="J179" s="65">
        <v>4.0556118409499985E-2</v>
      </c>
      <c r="K179" s="65">
        <v>2.0253629286198994E-2</v>
      </c>
      <c r="L179" s="65">
        <v>-3.0148446730974277E-3</v>
      </c>
      <c r="M179" s="65">
        <v>7.7129758495074627E-2</v>
      </c>
    </row>
    <row r="180" spans="1:13" x14ac:dyDescent="0.35">
      <c r="A180" s="45" t="s">
        <v>388</v>
      </c>
      <c r="B180" s="64">
        <v>1</v>
      </c>
      <c r="C180" s="65">
        <v>96.9</v>
      </c>
      <c r="D180" s="65">
        <v>4.5999999999999999E-2</v>
      </c>
      <c r="E180" s="65">
        <v>3.5532626746913529E-2</v>
      </c>
      <c r="F180" s="65">
        <v>1.046737325308647E-2</v>
      </c>
      <c r="G180" s="65">
        <v>0.51879582000750601</v>
      </c>
      <c r="H180" s="65">
        <v>1.8892854390883062E-3</v>
      </c>
      <c r="I180" s="65">
        <v>3.1794629234282196E-2</v>
      </c>
      <c r="J180" s="65">
        <v>3.9270624259544862E-2</v>
      </c>
      <c r="K180" s="65">
        <v>2.026454905367028E-2</v>
      </c>
      <c r="L180" s="65">
        <v>-4.5612798645556923E-3</v>
      </c>
      <c r="M180" s="65">
        <v>7.562653335838275E-2</v>
      </c>
    </row>
    <row r="181" spans="1:13" x14ac:dyDescent="0.35">
      <c r="A181" s="45" t="s">
        <v>389</v>
      </c>
      <c r="B181" s="64">
        <v>1</v>
      </c>
      <c r="C181" s="65">
        <v>90.2</v>
      </c>
      <c r="D181" s="65">
        <v>0.03</v>
      </c>
      <c r="E181" s="65">
        <v>3.3262324058179533E-2</v>
      </c>
      <c r="F181" s="65">
        <v>-3.2623240581795346E-3</v>
      </c>
      <c r="G181" s="65">
        <v>-0.16169100346110349</v>
      </c>
      <c r="H181" s="65">
        <v>2.3042149701640738E-3</v>
      </c>
      <c r="I181" s="65">
        <v>2.8703378306076794E-2</v>
      </c>
      <c r="J181" s="65">
        <v>3.7821269810282276E-2</v>
      </c>
      <c r="K181" s="65">
        <v>2.0307435965847245E-2</v>
      </c>
      <c r="L181" s="65">
        <v>-6.916435359395734E-3</v>
      </c>
      <c r="M181" s="65">
        <v>7.3441083475754801E-2</v>
      </c>
    </row>
    <row r="182" spans="1:13" x14ac:dyDescent="0.35">
      <c r="A182" s="45" t="s">
        <v>390</v>
      </c>
      <c r="B182" s="64">
        <v>1</v>
      </c>
      <c r="C182" s="65">
        <v>89.4</v>
      </c>
      <c r="D182" s="65">
        <v>0.03</v>
      </c>
      <c r="E182" s="65">
        <v>3.2991243140121751E-2</v>
      </c>
      <c r="F182" s="65">
        <v>-2.9912431401217521E-3</v>
      </c>
      <c r="G182" s="65">
        <v>-0.14825538367648308</v>
      </c>
      <c r="H182" s="65">
        <v>2.3671971906054018E-3</v>
      </c>
      <c r="I182" s="65">
        <v>2.8307685522348098E-2</v>
      </c>
      <c r="J182" s="65">
        <v>3.7674800757895401E-2</v>
      </c>
      <c r="K182" s="65">
        <v>2.0314678718046909E-2</v>
      </c>
      <c r="L182" s="65">
        <v>-7.2018462400662703E-3</v>
      </c>
      <c r="M182" s="65">
        <v>7.3184332520309772E-2</v>
      </c>
    </row>
    <row r="183" spans="1:13" x14ac:dyDescent="0.35">
      <c r="A183" s="45" t="s">
        <v>391</v>
      </c>
      <c r="B183" s="64">
        <v>1</v>
      </c>
      <c r="C183" s="65">
        <v>108.9</v>
      </c>
      <c r="D183" s="65">
        <v>5.0999999999999997E-2</v>
      </c>
      <c r="E183" s="65">
        <v>3.9598840517780377E-2</v>
      </c>
      <c r="F183" s="65">
        <v>1.1401159482219619E-2</v>
      </c>
      <c r="G183" s="65">
        <v>0.56507719172719728</v>
      </c>
      <c r="H183" s="65">
        <v>1.9199851997538163E-3</v>
      </c>
      <c r="I183" s="65">
        <v>3.5800102776789779E-2</v>
      </c>
      <c r="J183" s="65">
        <v>4.3397578258770976E-2</v>
      </c>
      <c r="K183" s="65">
        <v>2.0267434273867319E-2</v>
      </c>
      <c r="L183" s="65">
        <v>-5.0077457251199858E-4</v>
      </c>
      <c r="M183" s="65">
        <v>7.969845560807276E-2</v>
      </c>
    </row>
    <row r="184" spans="1:13" x14ac:dyDescent="0.35">
      <c r="A184" s="45" t="s">
        <v>392</v>
      </c>
      <c r="B184" s="64">
        <v>1</v>
      </c>
      <c r="C184" s="65">
        <v>107.3</v>
      </c>
      <c r="D184" s="65">
        <v>4.2999999999999997E-2</v>
      </c>
      <c r="E184" s="65">
        <v>3.9056678681664798E-2</v>
      </c>
      <c r="F184" s="65">
        <v>3.9433213183351981E-3</v>
      </c>
      <c r="G184" s="65">
        <v>0.19544336171403448</v>
      </c>
      <c r="H184" s="65">
        <v>1.8522919040599431E-3</v>
      </c>
      <c r="I184" s="65">
        <v>3.5391873784113473E-2</v>
      </c>
      <c r="J184" s="65">
        <v>4.2721483579216124E-2</v>
      </c>
      <c r="K184" s="65">
        <v>2.026113358566356E-2</v>
      </c>
      <c r="L184" s="65">
        <v>-1.0304703427032672E-3</v>
      </c>
      <c r="M184" s="65">
        <v>7.9143827706032871E-2</v>
      </c>
    </row>
    <row r="185" spans="1:13" x14ac:dyDescent="0.35">
      <c r="A185" s="45" t="s">
        <v>393</v>
      </c>
      <c r="B185" s="64">
        <v>1</v>
      </c>
      <c r="C185" s="65">
        <v>103.3</v>
      </c>
      <c r="D185" s="65">
        <v>5.5E-2</v>
      </c>
      <c r="E185" s="65">
        <v>3.7701274091375844E-2</v>
      </c>
      <c r="F185" s="65">
        <v>1.7298725908624156E-2</v>
      </c>
      <c r="G185" s="65">
        <v>0.85737906501074501</v>
      </c>
      <c r="H185" s="65">
        <v>1.7650358942619484E-3</v>
      </c>
      <c r="I185" s="65">
        <v>3.420910734623861E-2</v>
      </c>
      <c r="J185" s="65">
        <v>4.1193440836513079E-2</v>
      </c>
      <c r="K185" s="65">
        <v>2.0253342948419427E-2</v>
      </c>
      <c r="L185" s="65">
        <v>-2.3704609664004714E-3</v>
      </c>
      <c r="M185" s="65">
        <v>7.7773009149152167E-2</v>
      </c>
    </row>
    <row r="186" spans="1:13" x14ac:dyDescent="0.35">
      <c r="A186" s="45" t="s">
        <v>394</v>
      </c>
      <c r="B186" s="64">
        <v>1</v>
      </c>
      <c r="C186" s="65">
        <v>104.4</v>
      </c>
      <c r="D186" s="65">
        <v>4.4000000000000004E-2</v>
      </c>
      <c r="E186" s="65">
        <v>3.8074010353705313E-2</v>
      </c>
      <c r="F186" s="65">
        <v>5.9259896462946909E-3</v>
      </c>
      <c r="G186" s="65">
        <v>0.29371061713108548</v>
      </c>
      <c r="H186" s="65">
        <v>1.7765658751507829E-3</v>
      </c>
      <c r="I186" s="65">
        <v>3.4559031258993227E-2</v>
      </c>
      <c r="J186" s="65">
        <v>4.15889894484174E-2</v>
      </c>
      <c r="K186" s="65">
        <v>2.0254351018657895E-2</v>
      </c>
      <c r="L186" s="65">
        <v>-1.9997191957269456E-3</v>
      </c>
      <c r="M186" s="65">
        <v>7.8147739903137572E-2</v>
      </c>
    </row>
    <row r="187" spans="1:13" x14ac:dyDescent="0.35">
      <c r="A187" s="45" t="s">
        <v>395</v>
      </c>
      <c r="B187" s="64">
        <v>1</v>
      </c>
      <c r="C187" s="65">
        <v>101.6</v>
      </c>
      <c r="D187" s="65">
        <v>4.7E-2</v>
      </c>
      <c r="E187" s="65">
        <v>3.7125227140503043E-2</v>
      </c>
      <c r="F187" s="65">
        <v>9.8747728594969567E-3</v>
      </c>
      <c r="G187" s="65">
        <v>0.48942468747065976</v>
      </c>
      <c r="H187" s="65">
        <v>1.7665872237285893E-3</v>
      </c>
      <c r="I187" s="65">
        <v>3.3629991052021704E-2</v>
      </c>
      <c r="J187" s="65">
        <v>4.0620463228984383E-2</v>
      </c>
      <c r="K187" s="65">
        <v>2.0253478202454486E-2</v>
      </c>
      <c r="L187" s="65">
        <v>-2.9467755206942087E-3</v>
      </c>
      <c r="M187" s="65">
        <v>7.7197229801700296E-2</v>
      </c>
    </row>
    <row r="188" spans="1:13" x14ac:dyDescent="0.35">
      <c r="A188" s="45" t="s">
        <v>396</v>
      </c>
      <c r="B188" s="64">
        <v>1</v>
      </c>
      <c r="C188" s="65">
        <v>104.9</v>
      </c>
      <c r="D188" s="65">
        <v>2.7000000000000003E-2</v>
      </c>
      <c r="E188" s="65">
        <v>3.824343592749143E-2</v>
      </c>
      <c r="F188" s="65">
        <v>-1.1243435927491427E-2</v>
      </c>
      <c r="G188" s="65">
        <v>-0.55725991809691156</v>
      </c>
      <c r="H188" s="65">
        <v>1.7850139137993212E-3</v>
      </c>
      <c r="I188" s="65">
        <v>3.4711742181408253E-2</v>
      </c>
      <c r="J188" s="65">
        <v>4.1775129673574607E-2</v>
      </c>
      <c r="K188" s="65">
        <v>2.025509376800599E-2</v>
      </c>
      <c r="L188" s="65">
        <v>-1.8317631697170669E-3</v>
      </c>
      <c r="M188" s="65">
        <v>7.8318635024699934E-2</v>
      </c>
    </row>
    <row r="189" spans="1:13" x14ac:dyDescent="0.35">
      <c r="A189" s="45" t="s">
        <v>397</v>
      </c>
      <c r="B189" s="64">
        <v>1</v>
      </c>
      <c r="C189" s="65">
        <v>127.4</v>
      </c>
      <c r="D189" s="65">
        <v>0.04</v>
      </c>
      <c r="E189" s="65">
        <v>4.5867586747866777E-2</v>
      </c>
      <c r="F189" s="65">
        <v>-5.8675867478667765E-3</v>
      </c>
      <c r="G189" s="65">
        <v>-0.29081598646796369</v>
      </c>
      <c r="H189" s="65">
        <v>3.4636536507935451E-3</v>
      </c>
      <c r="I189" s="65">
        <v>3.9014663169770245E-2</v>
      </c>
      <c r="J189" s="65">
        <v>5.272051032596331E-2</v>
      </c>
      <c r="K189" s="65">
        <v>2.0471429981584417E-2</v>
      </c>
      <c r="L189" s="65">
        <v>5.3643611536994817E-3</v>
      </c>
      <c r="M189" s="65">
        <v>8.6370812342034073E-2</v>
      </c>
    </row>
    <row r="190" spans="1:13" x14ac:dyDescent="0.35">
      <c r="A190" s="45" t="s">
        <v>398</v>
      </c>
      <c r="B190" s="64">
        <v>1</v>
      </c>
      <c r="C190" s="65">
        <v>113.3</v>
      </c>
      <c r="D190" s="65">
        <v>4.3099999999999999E-2</v>
      </c>
      <c r="E190" s="65">
        <v>4.1089785567098219E-2</v>
      </c>
      <c r="F190" s="65">
        <v>2.0102144329017801E-3</v>
      </c>
      <c r="G190" s="65">
        <v>9.9632526699159202E-2</v>
      </c>
      <c r="H190" s="65">
        <v>2.1837981362227083E-3</v>
      </c>
      <c r="I190" s="65">
        <v>3.6769087470134861E-2</v>
      </c>
      <c r="J190" s="65">
        <v>4.5410483664061578E-2</v>
      </c>
      <c r="K190" s="65">
        <v>2.0294125336609795E-2</v>
      </c>
      <c r="L190" s="65">
        <v>9.3736155546624705E-4</v>
      </c>
      <c r="M190" s="65">
        <v>8.1242209578730185E-2</v>
      </c>
    </row>
    <row r="191" spans="1:13" x14ac:dyDescent="0.35">
      <c r="A191" s="45" t="s">
        <v>399</v>
      </c>
      <c r="B191" s="64">
        <v>1</v>
      </c>
      <c r="C191" s="65">
        <v>97.5</v>
      </c>
      <c r="D191" s="65">
        <v>5.0999999999999997E-2</v>
      </c>
      <c r="E191" s="65">
        <v>3.5735937435456867E-2</v>
      </c>
      <c r="F191" s="65">
        <v>1.5264062564543129E-2</v>
      </c>
      <c r="G191" s="65">
        <v>0.75653477365804322</v>
      </c>
      <c r="H191" s="65">
        <v>1.864588226079937E-3</v>
      </c>
      <c r="I191" s="65">
        <v>3.2046803963633873E-2</v>
      </c>
      <c r="J191" s="65">
        <v>3.9425070907279862E-2</v>
      </c>
      <c r="K191" s="65">
        <v>2.0262261426876663E-2</v>
      </c>
      <c r="L191" s="65">
        <v>-4.3534430503738217E-3</v>
      </c>
      <c r="M191" s="65">
        <v>7.5825317921287549E-2</v>
      </c>
    </row>
    <row r="192" spans="1:13" x14ac:dyDescent="0.35">
      <c r="A192" s="45" t="s">
        <v>400</v>
      </c>
      <c r="B192" s="64">
        <v>1</v>
      </c>
      <c r="C192" s="65">
        <v>95.2</v>
      </c>
      <c r="D192" s="65">
        <v>2.5000000000000001E-2</v>
      </c>
      <c r="E192" s="65">
        <v>3.4956579796040721E-2</v>
      </c>
      <c r="F192" s="65">
        <v>-9.9565797960407196E-3</v>
      </c>
      <c r="G192" s="65">
        <v>-0.49347929560398573</v>
      </c>
      <c r="H192" s="65">
        <v>1.9719070768840045E-3</v>
      </c>
      <c r="I192" s="65">
        <v>3.1055113349504469E-2</v>
      </c>
      <c r="J192" s="65">
        <v>3.8858046242576973E-2</v>
      </c>
      <c r="K192" s="65">
        <v>2.0272418859083468E-2</v>
      </c>
      <c r="L192" s="65">
        <v>-5.1528974181816734E-3</v>
      </c>
      <c r="M192" s="65">
        <v>7.5066057010263115E-2</v>
      </c>
    </row>
    <row r="193" spans="1:13" x14ac:dyDescent="0.35">
      <c r="A193" s="45" t="s">
        <v>401</v>
      </c>
      <c r="B193" s="64">
        <v>1</v>
      </c>
      <c r="C193" s="65">
        <v>94.2</v>
      </c>
      <c r="D193" s="65">
        <v>1.7999999999999999E-2</v>
      </c>
      <c r="E193" s="65">
        <v>3.4617728648468488E-2</v>
      </c>
      <c r="F193" s="65">
        <v>-1.6617728648468489E-2</v>
      </c>
      <c r="G193" s="65">
        <v>-0.82362670675781391</v>
      </c>
      <c r="H193" s="65">
        <v>2.0285412083130565E-3</v>
      </c>
      <c r="I193" s="65">
        <v>3.0604210185846203E-2</v>
      </c>
      <c r="J193" s="65">
        <v>3.8631247111090769E-2</v>
      </c>
      <c r="K193" s="65">
        <v>2.0278006024066618E-2</v>
      </c>
      <c r="L193" s="65">
        <v>-5.5028029085110036E-3</v>
      </c>
      <c r="M193" s="65">
        <v>7.4738260205447979E-2</v>
      </c>
    </row>
    <row r="194" spans="1:13" x14ac:dyDescent="0.35">
      <c r="A194" s="45" t="s">
        <v>402</v>
      </c>
      <c r="B194" s="64">
        <v>1</v>
      </c>
      <c r="C194" s="65">
        <v>95.2</v>
      </c>
      <c r="D194" s="65">
        <v>2.5000000000000001E-2</v>
      </c>
      <c r="E194" s="65">
        <v>3.4956579796040721E-2</v>
      </c>
      <c r="F194" s="65">
        <v>-9.9565797960407196E-3</v>
      </c>
      <c r="G194" s="65">
        <v>-0.49347929560398573</v>
      </c>
      <c r="H194" s="65">
        <v>1.9719070768840045E-3</v>
      </c>
      <c r="I194" s="65">
        <v>3.1055113349504469E-2</v>
      </c>
      <c r="J194" s="65">
        <v>3.8858046242576973E-2</v>
      </c>
      <c r="K194" s="65">
        <v>2.0272418859083468E-2</v>
      </c>
      <c r="L194" s="65">
        <v>-5.1528974181816734E-3</v>
      </c>
      <c r="M194" s="65">
        <v>7.5066057010263115E-2</v>
      </c>
    </row>
    <row r="195" spans="1:13" x14ac:dyDescent="0.35">
      <c r="A195" s="45" t="s">
        <v>403</v>
      </c>
      <c r="B195" s="64">
        <v>1</v>
      </c>
      <c r="C195" s="65">
        <v>100.2</v>
      </c>
      <c r="D195" s="65">
        <v>2.4E-2</v>
      </c>
      <c r="E195" s="65">
        <v>3.6650835533901908E-2</v>
      </c>
      <c r="F195" s="65">
        <v>-1.2650835533901908E-2</v>
      </c>
      <c r="G195" s="65">
        <v>-0.62701505295566606</v>
      </c>
      <c r="H195" s="65">
        <v>1.785462757570855E-3</v>
      </c>
      <c r="I195" s="65">
        <v>3.3118253739423897E-2</v>
      </c>
      <c r="J195" s="65">
        <v>4.018341732837992E-2</v>
      </c>
      <c r="K195" s="65">
        <v>2.0255133328046262E-2</v>
      </c>
      <c r="L195" s="65">
        <v>-3.4244418338151492E-3</v>
      </c>
      <c r="M195" s="65">
        <v>7.6726112901618959E-2</v>
      </c>
    </row>
    <row r="196" spans="1:13" x14ac:dyDescent="0.35">
      <c r="A196" s="45" t="s">
        <v>404</v>
      </c>
      <c r="B196" s="64">
        <v>1</v>
      </c>
      <c r="C196" s="65">
        <v>96.6</v>
      </c>
      <c r="D196" s="65">
        <v>1.3999999999999999E-2</v>
      </c>
      <c r="E196" s="65">
        <v>3.5430971402641856E-2</v>
      </c>
      <c r="F196" s="65">
        <v>-2.1430971402641857E-2</v>
      </c>
      <c r="G196" s="65">
        <v>-1.0621861009028781</v>
      </c>
      <c r="H196" s="65">
        <v>1.9025364655864282E-3</v>
      </c>
      <c r="I196" s="65">
        <v>3.1666756409546748E-2</v>
      </c>
      <c r="J196" s="65">
        <v>3.9195186395736964E-2</v>
      </c>
      <c r="K196" s="65">
        <v>2.0265788755465305E-2</v>
      </c>
      <c r="L196" s="65">
        <v>-4.6653879891909583E-3</v>
      </c>
      <c r="M196" s="65">
        <v>7.552733079447467E-2</v>
      </c>
    </row>
    <row r="197" spans="1:13" x14ac:dyDescent="0.35">
      <c r="A197" s="45" t="s">
        <v>405</v>
      </c>
      <c r="B197" s="64">
        <v>1</v>
      </c>
      <c r="C197" s="65">
        <v>93.8</v>
      </c>
      <c r="D197" s="65">
        <v>3.4000000000000002E-2</v>
      </c>
      <c r="E197" s="65">
        <v>3.4482188189439586E-2</v>
      </c>
      <c r="F197" s="65">
        <v>-4.8218818943958353E-4</v>
      </c>
      <c r="G197" s="65">
        <v>-2.389875770069445E-2</v>
      </c>
      <c r="H197" s="65">
        <v>2.0527233682358895E-3</v>
      </c>
      <c r="I197" s="65">
        <v>3.0420824731153109E-2</v>
      </c>
      <c r="J197" s="65">
        <v>3.8543551647726063E-2</v>
      </c>
      <c r="K197" s="65">
        <v>2.0280439396244836E-2</v>
      </c>
      <c r="L197" s="65">
        <v>-5.6431578539913943E-3</v>
      </c>
      <c r="M197" s="65">
        <v>7.4607534232870559E-2</v>
      </c>
    </row>
    <row r="198" spans="1:13" x14ac:dyDescent="0.35">
      <c r="A198" s="45" t="s">
        <v>406</v>
      </c>
      <c r="B198" s="64">
        <v>1</v>
      </c>
      <c r="C198" s="65">
        <v>95.3</v>
      </c>
      <c r="D198" s="65">
        <v>3.2000000000000001E-2</v>
      </c>
      <c r="E198" s="65">
        <v>3.4990464910797943E-2</v>
      </c>
      <c r="F198" s="65">
        <v>-2.9904649107979422E-3</v>
      </c>
      <c r="G198" s="65">
        <v>-0.14821681219245955</v>
      </c>
      <c r="H198" s="65">
        <v>1.966556969918288E-3</v>
      </c>
      <c r="I198" s="65">
        <v>3.1099583781925396E-2</v>
      </c>
      <c r="J198" s="65">
        <v>3.8881346039670493E-2</v>
      </c>
      <c r="K198" s="65">
        <v>2.0271899151144971E-2</v>
      </c>
      <c r="L198" s="65">
        <v>-5.1179840485397199E-3</v>
      </c>
      <c r="M198" s="65">
        <v>7.5098913870135606E-2</v>
      </c>
    </row>
    <row r="199" spans="1:13" x14ac:dyDescent="0.35">
      <c r="A199" s="45" t="s">
        <v>407</v>
      </c>
      <c r="B199" s="64">
        <v>1</v>
      </c>
      <c r="C199" s="65">
        <v>91.7</v>
      </c>
      <c r="D199" s="65">
        <v>2.5000000000000001E-2</v>
      </c>
      <c r="E199" s="65">
        <v>3.377060077953789E-2</v>
      </c>
      <c r="F199" s="65">
        <v>-8.770600779537889E-3</v>
      </c>
      <c r="G199" s="65">
        <v>-0.43469845904626997</v>
      </c>
      <c r="H199" s="65">
        <v>2.1925927043260772E-3</v>
      </c>
      <c r="I199" s="65">
        <v>2.9432502414190036E-2</v>
      </c>
      <c r="J199" s="65">
        <v>3.8108699144885745E-2</v>
      </c>
      <c r="K199" s="65">
        <v>2.0295073580682624E-2</v>
      </c>
      <c r="L199" s="65">
        <v>-6.3836993562160771E-3</v>
      </c>
      <c r="M199" s="65">
        <v>7.3924900915291858E-2</v>
      </c>
    </row>
    <row r="200" spans="1:13" x14ac:dyDescent="0.35">
      <c r="A200" s="45" t="s">
        <v>408</v>
      </c>
      <c r="B200" s="64">
        <v>1</v>
      </c>
      <c r="C200" s="65">
        <v>91.8</v>
      </c>
      <c r="D200" s="65">
        <v>3.4000000000000002E-2</v>
      </c>
      <c r="E200" s="65">
        <v>3.3804485894295112E-2</v>
      </c>
      <c r="F200" s="65">
        <v>1.9551410570489008E-4</v>
      </c>
      <c r="G200" s="65">
        <v>9.6902917608573738E-3</v>
      </c>
      <c r="H200" s="65">
        <v>2.1854759846005019E-3</v>
      </c>
      <c r="I200" s="65">
        <v>2.94804681332233E-2</v>
      </c>
      <c r="J200" s="65">
        <v>3.8128503655366922E-2</v>
      </c>
      <c r="K200" s="65">
        <v>2.0294305954073014E-2</v>
      </c>
      <c r="L200" s="65">
        <v>-6.3482954734114319E-3</v>
      </c>
      <c r="M200" s="65">
        <v>7.3957267262001664E-2</v>
      </c>
    </row>
    <row r="201" spans="1:13" x14ac:dyDescent="0.35">
      <c r="A201" s="45" t="s">
        <v>409</v>
      </c>
      <c r="B201" s="64">
        <v>1</v>
      </c>
      <c r="C201" s="65">
        <v>90</v>
      </c>
      <c r="D201" s="65">
        <v>3.1E-2</v>
      </c>
      <c r="E201" s="65">
        <v>3.3194553828665083E-2</v>
      </c>
      <c r="F201" s="65">
        <v>-2.1945538286650829E-3</v>
      </c>
      <c r="G201" s="65">
        <v>-0.10876896481714754</v>
      </c>
      <c r="H201" s="65">
        <v>2.3197481607093225E-3</v>
      </c>
      <c r="I201" s="65">
        <v>2.8604875278637754E-2</v>
      </c>
      <c r="J201" s="65">
        <v>3.7784232378692412E-2</v>
      </c>
      <c r="K201" s="65">
        <v>2.0309204327284027E-2</v>
      </c>
      <c r="L201" s="65">
        <v>-6.987704335322649E-3</v>
      </c>
      <c r="M201" s="65">
        <v>7.3376811992652807E-2</v>
      </c>
    </row>
    <row r="202" spans="1:13" x14ac:dyDescent="0.35">
      <c r="A202" s="45" t="s">
        <v>410</v>
      </c>
      <c r="B202" s="64">
        <v>1</v>
      </c>
      <c r="C202" s="65">
        <v>100.9</v>
      </c>
      <c r="D202" s="65">
        <v>2.4E-2</v>
      </c>
      <c r="E202" s="65">
        <v>3.6888031337202476E-2</v>
      </c>
      <c r="F202" s="65">
        <v>-1.2888031337202475E-2</v>
      </c>
      <c r="G202" s="65">
        <v>-0.63877122026720923</v>
      </c>
      <c r="H202" s="65">
        <v>1.7740612842147346E-3</v>
      </c>
      <c r="I202" s="65">
        <v>3.3378007636998497E-2</v>
      </c>
      <c r="J202" s="65">
        <v>4.0398055037406455E-2</v>
      </c>
      <c r="K202" s="65">
        <v>2.0254131487635E-2</v>
      </c>
      <c r="L202" s="65">
        <v>-3.1852638647243484E-3</v>
      </c>
      <c r="M202" s="65">
        <v>7.6961326539129293E-2</v>
      </c>
    </row>
    <row r="203" spans="1:13" x14ac:dyDescent="0.35">
      <c r="A203" s="45" t="s">
        <v>411</v>
      </c>
      <c r="B203" s="64">
        <v>1</v>
      </c>
      <c r="C203" s="65">
        <v>93.6</v>
      </c>
      <c r="D203" s="65">
        <v>6.4000000000000001E-2</v>
      </c>
      <c r="E203" s="65">
        <v>3.4414417959925142E-2</v>
      </c>
      <c r="F203" s="65">
        <v>2.9585582040074859E-2</v>
      </c>
      <c r="G203" s="65">
        <v>1.4663541581794766</v>
      </c>
      <c r="H203" s="65">
        <v>2.0651269210571182E-3</v>
      </c>
      <c r="I203" s="65">
        <v>3.0328513768600508E-2</v>
      </c>
      <c r="J203" s="65">
        <v>3.850032215124978E-2</v>
      </c>
      <c r="K203" s="65">
        <v>2.0281698599435224E-2</v>
      </c>
      <c r="L203" s="65">
        <v>-5.7134194478577691E-3</v>
      </c>
      <c r="M203" s="65">
        <v>7.454225536770806E-2</v>
      </c>
    </row>
    <row r="204" spans="1:13" x14ac:dyDescent="0.35">
      <c r="A204" s="45" t="s">
        <v>412</v>
      </c>
      <c r="B204" s="64">
        <v>1</v>
      </c>
      <c r="C204" s="65">
        <v>101.8</v>
      </c>
      <c r="D204" s="65">
        <v>2.9000000000000001E-2</v>
      </c>
      <c r="E204" s="65">
        <v>3.7192997370017487E-2</v>
      </c>
      <c r="F204" s="65">
        <v>-8.1929973700174859E-3</v>
      </c>
      <c r="G204" s="65">
        <v>-0.40607062403590477</v>
      </c>
      <c r="H204" s="65">
        <v>1.7651807759316968E-3</v>
      </c>
      <c r="I204" s="65">
        <v>3.3700543972948284E-2</v>
      </c>
      <c r="J204" s="65">
        <v>4.0685450767086691E-2</v>
      </c>
      <c r="K204" s="65">
        <v>2.0253355575064018E-2</v>
      </c>
      <c r="L204" s="65">
        <v>-2.8787626698843979E-3</v>
      </c>
      <c r="M204" s="65">
        <v>7.7264757409919366E-2</v>
      </c>
    </row>
    <row r="205" spans="1:13" x14ac:dyDescent="0.35">
      <c r="A205" s="45" t="s">
        <v>413</v>
      </c>
      <c r="B205" s="64">
        <v>1</v>
      </c>
      <c r="C205" s="65">
        <v>95</v>
      </c>
      <c r="D205" s="65">
        <v>9.8000000000000004E-2</v>
      </c>
      <c r="E205" s="65">
        <v>3.4888809566526277E-2</v>
      </c>
      <c r="F205" s="65">
        <v>6.3111190433473727E-2</v>
      </c>
      <c r="G205" s="65">
        <v>3.1279883692816082</v>
      </c>
      <c r="H205" s="65">
        <v>1.9827820017199243E-3</v>
      </c>
      <c r="I205" s="65">
        <v>3.0965826814859161E-2</v>
      </c>
      <c r="J205" s="65">
        <v>3.8811792318193393E-2</v>
      </c>
      <c r="K205" s="65">
        <v>2.0273479556913814E-2</v>
      </c>
      <c r="L205" s="65">
        <v>-5.2227662643315118E-3</v>
      </c>
      <c r="M205" s="65">
        <v>7.5000385397384073E-2</v>
      </c>
    </row>
    <row r="206" spans="1:13" x14ac:dyDescent="0.35">
      <c r="A206" s="45" t="s">
        <v>414</v>
      </c>
      <c r="B206" s="64">
        <v>1</v>
      </c>
      <c r="C206" s="65">
        <v>96.8</v>
      </c>
      <c r="D206" s="65">
        <v>3.7999999999999999E-2</v>
      </c>
      <c r="E206" s="65">
        <v>3.54987416321563E-2</v>
      </c>
      <c r="F206" s="65">
        <v>2.5012583678436992E-3</v>
      </c>
      <c r="G206" s="65">
        <v>0.12397020289817962</v>
      </c>
      <c r="H206" s="65">
        <v>1.8936366604121889E-3</v>
      </c>
      <c r="I206" s="65">
        <v>3.1752135121567819E-2</v>
      </c>
      <c r="J206" s="65">
        <v>3.9245348142744781E-2</v>
      </c>
      <c r="K206" s="65">
        <v>2.0264955185736656E-2</v>
      </c>
      <c r="L206" s="65">
        <v>-4.5959685215530288E-3</v>
      </c>
      <c r="M206" s="65">
        <v>7.5593451785865629E-2</v>
      </c>
    </row>
    <row r="207" spans="1:13" x14ac:dyDescent="0.35">
      <c r="A207" s="45" t="s">
        <v>415</v>
      </c>
      <c r="B207" s="64">
        <v>1</v>
      </c>
      <c r="C207" s="65">
        <v>99.6</v>
      </c>
      <c r="D207" s="65">
        <v>3.2000000000000001E-2</v>
      </c>
      <c r="E207" s="65">
        <v>3.6447524845358563E-2</v>
      </c>
      <c r="F207" s="65">
        <v>-4.4475248453585622E-3</v>
      </c>
      <c r="G207" s="65">
        <v>-0.22043326853479606</v>
      </c>
      <c r="H207" s="65">
        <v>1.7983054220178101E-3</v>
      </c>
      <c r="I207" s="65">
        <v>3.2889533524736406E-2</v>
      </c>
      <c r="J207" s="65">
        <v>4.000551616598072E-2</v>
      </c>
      <c r="K207" s="65">
        <v>2.0256269431193803E-2</v>
      </c>
      <c r="L207" s="65">
        <v>-3.6300003302607506E-3</v>
      </c>
      <c r="M207" s="65">
        <v>7.6525050020977869E-2</v>
      </c>
    </row>
    <row r="208" spans="1:13" x14ac:dyDescent="0.35">
      <c r="A208" s="45" t="s">
        <v>416</v>
      </c>
      <c r="B208" s="64">
        <v>1</v>
      </c>
      <c r="C208" s="65">
        <v>92.1</v>
      </c>
      <c r="D208" s="65">
        <v>3.3000000000000002E-2</v>
      </c>
      <c r="E208" s="65">
        <v>3.3906141238566785E-2</v>
      </c>
      <c r="F208" s="65">
        <v>-9.0614123856678358E-4</v>
      </c>
      <c r="G208" s="65">
        <v>-4.4911199356176067E-2</v>
      </c>
      <c r="H208" s="65">
        <v>2.1643848763805208E-3</v>
      </c>
      <c r="I208" s="65">
        <v>2.9623852751660643E-2</v>
      </c>
      <c r="J208" s="65">
        <v>3.8188429725472928E-2</v>
      </c>
      <c r="K208" s="65">
        <v>2.0292045504861324E-2</v>
      </c>
      <c r="L208" s="65">
        <v>-6.2421677750126858E-3</v>
      </c>
      <c r="M208" s="65">
        <v>7.4054450252146256E-2</v>
      </c>
    </row>
    <row r="209" spans="1:13" x14ac:dyDescent="0.35">
      <c r="A209" s="45" t="s">
        <v>417</v>
      </c>
      <c r="B209" s="64">
        <v>1</v>
      </c>
      <c r="C209" s="65">
        <v>100.9</v>
      </c>
      <c r="D209" s="65">
        <v>2.7000000000000003E-2</v>
      </c>
      <c r="E209" s="65">
        <v>3.6888031337202476E-2</v>
      </c>
      <c r="F209" s="65">
        <v>-9.8880313372024728E-3</v>
      </c>
      <c r="G209" s="65">
        <v>-0.49008181917380755</v>
      </c>
      <c r="H209" s="65">
        <v>1.7740612842147346E-3</v>
      </c>
      <c r="I209" s="65">
        <v>3.3378007636998497E-2</v>
      </c>
      <c r="J209" s="65">
        <v>4.0398055037406455E-2</v>
      </c>
      <c r="K209" s="65">
        <v>2.0254131487635E-2</v>
      </c>
      <c r="L209" s="65">
        <v>-3.1852638647243484E-3</v>
      </c>
      <c r="M209" s="65">
        <v>7.6961326539129293E-2</v>
      </c>
    </row>
    <row r="210" spans="1:13" x14ac:dyDescent="0.35">
      <c r="A210" s="45" t="s">
        <v>418</v>
      </c>
      <c r="B210" s="64">
        <v>1</v>
      </c>
      <c r="C210" s="65">
        <v>100.5</v>
      </c>
      <c r="D210" s="65">
        <v>3.3000000000000002E-2</v>
      </c>
      <c r="E210" s="65">
        <v>3.6752490878173581E-2</v>
      </c>
      <c r="F210" s="65">
        <v>-3.7524908781735797E-3</v>
      </c>
      <c r="G210" s="65">
        <v>-0.18598520709469407</v>
      </c>
      <c r="H210" s="65">
        <v>1.7800997489907345E-3</v>
      </c>
      <c r="I210" s="65">
        <v>3.3230519927519353E-2</v>
      </c>
      <c r="J210" s="65">
        <v>4.0274461828827809E-2</v>
      </c>
      <c r="K210" s="65">
        <v>2.0254661290542847E-2</v>
      </c>
      <c r="L210" s="65">
        <v>-3.3218525517820716E-3</v>
      </c>
      <c r="M210" s="65">
        <v>7.6826834308129227E-2</v>
      </c>
    </row>
    <row r="211" spans="1:13" x14ac:dyDescent="0.35">
      <c r="A211" s="45" t="s">
        <v>419</v>
      </c>
      <c r="B211" s="64">
        <v>1</v>
      </c>
      <c r="C211" s="65">
        <v>102</v>
      </c>
      <c r="D211" s="65">
        <v>2.7999999999999997E-2</v>
      </c>
      <c r="E211" s="65">
        <v>3.7260767599531938E-2</v>
      </c>
      <c r="F211" s="65">
        <v>-9.2607675995319411E-3</v>
      </c>
      <c r="G211" s="65">
        <v>-0.45899266267986089</v>
      </c>
      <c r="H211" s="65">
        <v>1.7640999525403431E-3</v>
      </c>
      <c r="I211" s="65">
        <v>3.3770452638013496E-2</v>
      </c>
      <c r="J211" s="65">
        <v>4.0751082561050381E-2</v>
      </c>
      <c r="K211" s="65">
        <v>2.0253261404544472E-2</v>
      </c>
      <c r="L211" s="65">
        <v>-2.8108061216906496E-3</v>
      </c>
      <c r="M211" s="65">
        <v>7.7332341320754533E-2</v>
      </c>
    </row>
    <row r="212" spans="1:13" x14ac:dyDescent="0.35">
      <c r="A212" s="45" t="s">
        <v>420</v>
      </c>
      <c r="B212" s="64">
        <v>1</v>
      </c>
      <c r="C212" s="65">
        <v>93</v>
      </c>
      <c r="D212" s="65">
        <v>2.1000000000000001E-2</v>
      </c>
      <c r="E212" s="65">
        <v>3.4211107271381797E-2</v>
      </c>
      <c r="F212" s="65">
        <v>-1.3211107271381795E-2</v>
      </c>
      <c r="G212" s="65">
        <v>-0.65478387598748067</v>
      </c>
      <c r="H212" s="65">
        <v>2.1035430658134764E-3</v>
      </c>
      <c r="I212" s="65">
        <v>3.0049195796788494E-2</v>
      </c>
      <c r="J212" s="65">
        <v>3.8373018745975096E-2</v>
      </c>
      <c r="K212" s="65">
        <v>2.0285646213714509E-2</v>
      </c>
      <c r="L212" s="65">
        <v>-5.924540587935595E-3</v>
      </c>
      <c r="M212" s="65">
        <v>7.4346755130699188E-2</v>
      </c>
    </row>
    <row r="213" spans="1:13" x14ac:dyDescent="0.35">
      <c r="A213" s="45" t="s">
        <v>421</v>
      </c>
      <c r="B213" s="64">
        <v>1</v>
      </c>
      <c r="C213" s="65">
        <v>109.6</v>
      </c>
      <c r="D213" s="65">
        <v>1.9E-2</v>
      </c>
      <c r="E213" s="65">
        <v>3.9836036321080945E-2</v>
      </c>
      <c r="F213" s="65">
        <v>-2.0836036321080945E-2</v>
      </c>
      <c r="G213" s="65">
        <v>-1.0326992539139628</v>
      </c>
      <c r="H213" s="65">
        <v>1.9548045140226422E-3</v>
      </c>
      <c r="I213" s="65">
        <v>3.5968407714032966E-2</v>
      </c>
      <c r="J213" s="65">
        <v>4.3703664928128924E-2</v>
      </c>
      <c r="K213" s="65">
        <v>2.0270762431795732E-2</v>
      </c>
      <c r="L213" s="65">
        <v>-2.7016361118430837E-4</v>
      </c>
      <c r="M213" s="65">
        <v>7.9942236253346205E-2</v>
      </c>
    </row>
    <row r="214" spans="1:13" x14ac:dyDescent="0.35">
      <c r="A214" s="45" t="s">
        <v>422</v>
      </c>
      <c r="B214" s="64">
        <v>1</v>
      </c>
      <c r="C214" s="65">
        <v>103.4</v>
      </c>
      <c r="D214" s="65">
        <v>4.8000000000000001E-2</v>
      </c>
      <c r="E214" s="65">
        <v>3.7735159206133073E-2</v>
      </c>
      <c r="F214" s="65">
        <v>1.0264840793866928E-2</v>
      </c>
      <c r="G214" s="65">
        <v>0.50875767665306348</v>
      </c>
      <c r="H214" s="65">
        <v>1.7656792026771375E-3</v>
      </c>
      <c r="I214" s="65">
        <v>3.4241719659540808E-2</v>
      </c>
      <c r="J214" s="65">
        <v>4.1228598752725339E-2</v>
      </c>
      <c r="K214" s="65">
        <v>2.0253399021522893E-2</v>
      </c>
      <c r="L214" s="65">
        <v>-2.3366867936517668E-3</v>
      </c>
      <c r="M214" s="65">
        <v>7.7807005205917906E-2</v>
      </c>
    </row>
    <row r="215" spans="1:13" x14ac:dyDescent="0.35">
      <c r="A215" s="45" t="s">
        <v>423</v>
      </c>
      <c r="B215" s="64">
        <v>1</v>
      </c>
      <c r="C215" s="65">
        <v>119.7</v>
      </c>
      <c r="D215" s="65">
        <v>3.1E-2</v>
      </c>
      <c r="E215" s="65">
        <v>4.3258432911560542E-2</v>
      </c>
      <c r="F215" s="65">
        <v>-1.2258432911560542E-2</v>
      </c>
      <c r="G215" s="65">
        <v>-0.60756634932119336</v>
      </c>
      <c r="H215" s="65">
        <v>2.7091804996180616E-3</v>
      </c>
      <c r="I215" s="65">
        <v>3.7898252941228228E-2</v>
      </c>
      <c r="J215" s="65">
        <v>4.8618612881892856E-2</v>
      </c>
      <c r="K215" s="65">
        <v>2.0357362497577348E-2</v>
      </c>
      <c r="L215" s="65">
        <v>2.9808926281826506E-3</v>
      </c>
      <c r="M215" s="65">
        <v>8.353597319493844E-2</v>
      </c>
    </row>
    <row r="216" spans="1:13" x14ac:dyDescent="0.35">
      <c r="A216" s="45" t="s">
        <v>424</v>
      </c>
      <c r="B216" s="64">
        <v>1</v>
      </c>
      <c r="C216" s="65">
        <v>106.7</v>
      </c>
      <c r="D216" s="65">
        <v>5.2999999999999999E-2</v>
      </c>
      <c r="E216" s="65">
        <v>3.8853367993121453E-2</v>
      </c>
      <c r="F216" s="65">
        <v>1.4146632006878546E-2</v>
      </c>
      <c r="G216" s="65">
        <v>0.70115141353050559</v>
      </c>
      <c r="H216" s="65">
        <v>1.8314600586387684E-3</v>
      </c>
      <c r="I216" s="65">
        <v>3.5229779411938632E-2</v>
      </c>
      <c r="J216" s="65">
        <v>4.2476956574304274E-2</v>
      </c>
      <c r="K216" s="65">
        <v>2.0259239739552098E-2</v>
      </c>
      <c r="L216" s="65">
        <v>-1.2300340103319901E-3</v>
      </c>
      <c r="M216" s="65">
        <v>7.8936769996574896E-2</v>
      </c>
    </row>
    <row r="217" spans="1:13" x14ac:dyDescent="0.35">
      <c r="A217" s="45" t="s">
        <v>425</v>
      </c>
      <c r="B217" s="64">
        <v>1</v>
      </c>
      <c r="C217" s="65">
        <v>102.6</v>
      </c>
      <c r="D217" s="65">
        <v>0.11700000000000001</v>
      </c>
      <c r="E217" s="65">
        <v>3.7464078288075277E-2</v>
      </c>
      <c r="F217" s="65">
        <v>7.9535921711924723E-2</v>
      </c>
      <c r="G217" s="65">
        <v>3.9420495215859215</v>
      </c>
      <c r="H217" s="65">
        <v>1.7628163160104116E-3</v>
      </c>
      <c r="I217" s="65">
        <v>3.3976303032869457E-2</v>
      </c>
      <c r="J217" s="65">
        <v>4.0951853543281097E-2</v>
      </c>
      <c r="K217" s="65">
        <v>2.0253149637581076E-2</v>
      </c>
      <c r="L217" s="65">
        <v>-2.6072742994728976E-3</v>
      </c>
      <c r="M217" s="65">
        <v>7.7535430875623451E-2</v>
      </c>
    </row>
    <row r="218" spans="1:13" x14ac:dyDescent="0.35">
      <c r="A218" s="45" t="s">
        <v>426</v>
      </c>
      <c r="B218" s="64">
        <v>1</v>
      </c>
      <c r="C218" s="65">
        <v>97</v>
      </c>
      <c r="D218" s="65">
        <v>2.4E-2</v>
      </c>
      <c r="E218" s="65">
        <v>3.5566511861670751E-2</v>
      </c>
      <c r="F218" s="65">
        <v>-1.156651186167075E-2</v>
      </c>
      <c r="G218" s="65">
        <v>-0.57327257381718311</v>
      </c>
      <c r="H218" s="65">
        <v>1.885000615008979E-3</v>
      </c>
      <c r="I218" s="65">
        <v>3.1836991978422047E-2</v>
      </c>
      <c r="J218" s="65">
        <v>3.9296031744919455E-2</v>
      </c>
      <c r="K218" s="65">
        <v>2.0264150024041031E-2</v>
      </c>
      <c r="L218" s="65">
        <v>-4.5266052599041776E-3</v>
      </c>
      <c r="M218" s="65">
        <v>7.5659628983245686E-2</v>
      </c>
    </row>
    <row r="219" spans="1:13" x14ac:dyDescent="0.35">
      <c r="A219" s="45" t="s">
        <v>427</v>
      </c>
      <c r="B219" s="64">
        <v>1</v>
      </c>
      <c r="C219" s="65">
        <v>98.5</v>
      </c>
      <c r="D219" s="65">
        <v>2.5000000000000001E-2</v>
      </c>
      <c r="E219" s="65">
        <v>3.6074788583029108E-2</v>
      </c>
      <c r="F219" s="65">
        <v>-1.1074788583029106E-2</v>
      </c>
      <c r="G219" s="65">
        <v>-0.54890122721554646</v>
      </c>
      <c r="H219" s="65">
        <v>1.8289960598015049E-3</v>
      </c>
      <c r="I219" s="65">
        <v>3.2456075083892789E-2</v>
      </c>
      <c r="J219" s="65">
        <v>3.9693502082165426E-2</v>
      </c>
      <c r="K219" s="65">
        <v>2.0259017139659746E-2</v>
      </c>
      <c r="L219" s="65">
        <v>-4.0081730010855174E-3</v>
      </c>
      <c r="M219" s="65">
        <v>7.615775016714374E-2</v>
      </c>
    </row>
    <row r="220" spans="1:13" x14ac:dyDescent="0.35">
      <c r="A220" s="45" t="s">
        <v>428</v>
      </c>
      <c r="B220" s="64">
        <v>1</v>
      </c>
      <c r="C220" s="65">
        <v>107.5</v>
      </c>
      <c r="D220" s="65">
        <v>3.3000000000000002E-2</v>
      </c>
      <c r="E220" s="65">
        <v>3.9124448911179242E-2</v>
      </c>
      <c r="F220" s="65">
        <v>-6.1244489111792408E-3</v>
      </c>
      <c r="G220" s="65">
        <v>-0.3035468802101256</v>
      </c>
      <c r="H220" s="65">
        <v>1.859803892343899E-3</v>
      </c>
      <c r="I220" s="65">
        <v>3.544478136082841E-2</v>
      </c>
      <c r="J220" s="65">
        <v>4.2804116461530074E-2</v>
      </c>
      <c r="K220" s="65">
        <v>2.0261821719584728E-2</v>
      </c>
      <c r="L220" s="65">
        <v>-9.6406160300527288E-4</v>
      </c>
      <c r="M220" s="65">
        <v>7.9212959425363758E-2</v>
      </c>
    </row>
    <row r="221" spans="1:13" x14ac:dyDescent="0.35">
      <c r="A221" s="45" t="s">
        <v>429</v>
      </c>
      <c r="B221" s="64">
        <v>1</v>
      </c>
      <c r="C221" s="65">
        <v>96.6</v>
      </c>
      <c r="D221" s="65">
        <v>4.4000000000000004E-2</v>
      </c>
      <c r="E221" s="65">
        <v>3.5430971402641856E-2</v>
      </c>
      <c r="F221" s="65">
        <v>8.5690285973581484E-3</v>
      </c>
      <c r="G221" s="65">
        <v>0.42470791003113806</v>
      </c>
      <c r="H221" s="65">
        <v>1.9025364655864282E-3</v>
      </c>
      <c r="I221" s="65">
        <v>3.1666756409546748E-2</v>
      </c>
      <c r="J221" s="65">
        <v>3.9195186395736964E-2</v>
      </c>
      <c r="K221" s="65">
        <v>2.0265788755465305E-2</v>
      </c>
      <c r="L221" s="65">
        <v>-4.6653879891909583E-3</v>
      </c>
      <c r="M221" s="65">
        <v>7.552733079447467E-2</v>
      </c>
    </row>
    <row r="222" spans="1:13" x14ac:dyDescent="0.35">
      <c r="A222" s="45" t="s">
        <v>430</v>
      </c>
      <c r="B222" s="64">
        <v>1</v>
      </c>
      <c r="C222" s="65">
        <v>100.8</v>
      </c>
      <c r="D222" s="65">
        <v>5.7999999999999996E-2</v>
      </c>
      <c r="E222" s="65">
        <v>3.6854146222445254E-2</v>
      </c>
      <c r="F222" s="65">
        <v>2.1145853777554742E-2</v>
      </c>
      <c r="G222" s="65">
        <v>1.048054777931086</v>
      </c>
      <c r="H222" s="65">
        <v>1.7754510947623544E-3</v>
      </c>
      <c r="I222" s="65">
        <v>3.3341372748034295E-2</v>
      </c>
      <c r="J222" s="65">
        <v>4.0366919696856213E-2</v>
      </c>
      <c r="K222" s="65">
        <v>2.0254253268589064E-2</v>
      </c>
      <c r="L222" s="65">
        <v>-3.2193899260817768E-3</v>
      </c>
      <c r="M222" s="65">
        <v>7.6927682370972278E-2</v>
      </c>
    </row>
    <row r="223" spans="1:13" x14ac:dyDescent="0.35">
      <c r="A223" s="45" t="s">
        <v>431</v>
      </c>
      <c r="B223" s="64">
        <v>1</v>
      </c>
      <c r="C223" s="65">
        <v>101.4</v>
      </c>
      <c r="D223" s="65">
        <v>0.05</v>
      </c>
      <c r="E223" s="65">
        <v>3.70574569109886E-2</v>
      </c>
      <c r="F223" s="65">
        <v>1.2942543089011403E-2</v>
      </c>
      <c r="G223" s="65">
        <v>0.64147299351021647</v>
      </c>
      <c r="H223" s="65">
        <v>1.7683185189664263E-3</v>
      </c>
      <c r="I223" s="65">
        <v>3.3558795412477214E-2</v>
      </c>
      <c r="J223" s="65">
        <v>4.0556118409499985E-2</v>
      </c>
      <c r="K223" s="65">
        <v>2.0253629286198994E-2</v>
      </c>
      <c r="L223" s="65">
        <v>-3.0148446730974277E-3</v>
      </c>
      <c r="M223" s="65">
        <v>7.7129758495074627E-2</v>
      </c>
    </row>
    <row r="224" spans="1:13" ht="16" thickBot="1" x14ac:dyDescent="0.4">
      <c r="A224" s="49" t="s">
        <v>432</v>
      </c>
      <c r="B224" s="51">
        <v>1</v>
      </c>
      <c r="C224" s="53">
        <v>95</v>
      </c>
      <c r="D224" s="53">
        <v>3.3000000000000002E-2</v>
      </c>
      <c r="E224" s="53">
        <v>3.4888809566526277E-2</v>
      </c>
      <c r="F224" s="53">
        <v>-1.8888095665262755E-3</v>
      </c>
      <c r="G224" s="53">
        <v>-9.3615321075426458E-2</v>
      </c>
      <c r="H224" s="53">
        <v>1.9827820017199243E-3</v>
      </c>
      <c r="I224" s="53">
        <v>3.0965826814859161E-2</v>
      </c>
      <c r="J224" s="53">
        <v>3.8811792318193393E-2</v>
      </c>
      <c r="K224" s="53">
        <v>2.0273479556913814E-2</v>
      </c>
      <c r="L224" s="53">
        <v>-5.2227662643315118E-3</v>
      </c>
      <c r="M224" s="53">
        <v>7.5000385397384073E-2</v>
      </c>
    </row>
    <row r="243" spans="3:3" x14ac:dyDescent="0.35">
      <c r="C243" t="s">
        <v>298</v>
      </c>
    </row>
    <row r="262" spans="3:3" x14ac:dyDescent="0.35">
      <c r="C262" t="s">
        <v>298</v>
      </c>
    </row>
    <row r="281" spans="1:4" x14ac:dyDescent="0.35">
      <c r="C281" t="s">
        <v>298</v>
      </c>
    </row>
    <row r="284" spans="1:4" x14ac:dyDescent="0.35">
      <c r="A284" s="1" t="s">
        <v>442</v>
      </c>
    </row>
    <row r="286" spans="1:4" x14ac:dyDescent="0.35">
      <c r="A286" s="80" t="s">
        <v>443</v>
      </c>
      <c r="B286" s="81"/>
      <c r="C286" s="81"/>
      <c r="D286" s="81"/>
    </row>
    <row r="287" spans="1:4" x14ac:dyDescent="0.35">
      <c r="A287" s="81"/>
      <c r="B287" s="81"/>
      <c r="C287" s="81"/>
      <c r="D287" s="81"/>
    </row>
    <row r="289" spans="1:4" x14ac:dyDescent="0.35">
      <c r="A289" s="80" t="s">
        <v>444</v>
      </c>
      <c r="B289" s="81"/>
      <c r="C289" s="81"/>
      <c r="D289" s="81"/>
    </row>
    <row r="290" spans="1:4" x14ac:dyDescent="0.35">
      <c r="A290" s="81"/>
      <c r="B290" s="81"/>
      <c r="C290" s="81"/>
      <c r="D290" s="81"/>
    </row>
    <row r="291" spans="1:4" x14ac:dyDescent="0.35">
      <c r="A291" s="81"/>
      <c r="B291" s="81"/>
      <c r="C291" s="81"/>
      <c r="D291" s="81"/>
    </row>
    <row r="997" spans="648:648" x14ac:dyDescent="0.35">
      <c r="XX997" s="44">
        <v>166765</v>
      </c>
    </row>
  </sheetData>
  <mergeCells count="2">
    <mergeCell ref="A286:D287"/>
    <mergeCell ref="A289:D291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D620510">
              <controlPr defaultSize="0" autoFill="0" autoPict="0" macro="[0]!GoToResultsNew1411202513420592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2</xdr:col>
                    <xdr:colOff>1187450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_HID"/>
  <dimension ref="A1:X100"/>
  <sheetViews>
    <sheetView rightToLeft="1" workbookViewId="0">
      <selection activeCell="U1" sqref="U1"/>
    </sheetView>
  </sheetViews>
  <sheetFormatPr defaultRowHeight="15.5" x14ac:dyDescent="0.35"/>
  <sheetData>
    <row r="1" spans="1:24" x14ac:dyDescent="0.35">
      <c r="A1">
        <v>1</v>
      </c>
      <c r="C1">
        <f t="shared" ref="C1:C32" si="0">73.27+(A1-1)*2.42260869565217</f>
        <v>73.27</v>
      </c>
      <c r="D1">
        <f t="shared" ref="D1:D32" si="1">0.0026979505471637+0.000338851147572238*C1-0.0399192775731823*(0.00763358778625954+(C1-102.561832061069)^2/28252.0091603053)^0.5</f>
        <v>1.9743514588227002E-2</v>
      </c>
      <c r="E1">
        <v>1</v>
      </c>
      <c r="G1">
        <f t="shared" ref="G1:G32" si="2">73.27+(E1-1)*2.42260869565217</f>
        <v>73.27</v>
      </c>
      <c r="H1">
        <f t="shared" ref="H1:H32" si="3">0.0026979505471637+0.000338851147572238*G1+0.0399192775731823*(0.00763358778625954+(G1-102.561832061069)^2/28252.0091603053)^0.5</f>
        <v>3.5307633671336158E-2</v>
      </c>
      <c r="I1">
        <v>1</v>
      </c>
      <c r="K1">
        <f t="shared" ref="K1:K32" si="4">73.27+(I1-1)*1.68848484848485</f>
        <v>73.27</v>
      </c>
      <c r="L1">
        <f t="shared" ref="L1:L32" si="5">0.0026979505471637+0.000338851147572238*K1-0.0399192775731823*(1.00763358778626+(K1-102.561832061069)^2/28252.0091603053)^0.5</f>
        <v>-1.3145166860186595E-2</v>
      </c>
      <c r="M1">
        <v>1</v>
      </c>
      <c r="O1">
        <f t="shared" ref="O1:O32" si="6">73.27+(M1-1)*1.68848484848485</f>
        <v>73.27</v>
      </c>
      <c r="P1">
        <f t="shared" ref="P1:P32" si="7">0.0026979505471637+0.000338851147572238*O1+0.0399192775731823*(1.00763358778626+(O1-102.561832061069)^2/28252.0091603053)^0.5</f>
        <v>6.8196315119749745E-2</v>
      </c>
      <c r="Q1">
        <v>1</v>
      </c>
      <c r="S1">
        <f t="shared" ref="S1:S32" si="8">0.0303576920211903+(Q1-1)*0.0009417331963122</f>
        <v>3.0357692021190302E-2</v>
      </c>
      <c r="T1">
        <f t="shared" ref="T1:T32" si="9">0+1*S1-0.0399192775731823*(1.00763358778626+(S1-0.0374511450381679)^2/0.00324389852294898)^0.5</f>
        <v>-1.002090657576923E-2</v>
      </c>
      <c r="U1">
        <v>1</v>
      </c>
      <c r="W1">
        <f t="shared" ref="W1:W32" si="10">0.0257966164923703+(U1-1)*0.0010078357402081</f>
        <v>2.5796616492370299E-2</v>
      </c>
      <c r="X1">
        <f t="shared" ref="X1:X32" si="11">0+1*W1+0.0399192775731823*(1.00763358778626+(W1-0.0374511450381679)^2/0.00324389852294898)^0.5</f>
        <v>6.6692069181871122E-2</v>
      </c>
    </row>
    <row r="2" spans="1:24" x14ac:dyDescent="0.35">
      <c r="A2">
        <v>2</v>
      </c>
      <c r="C2">
        <f t="shared" si="0"/>
        <v>75.692608695652169</v>
      </c>
      <c r="D2">
        <f t="shared" si="1"/>
        <v>2.1074186240760618E-2</v>
      </c>
      <c r="E2">
        <v>2</v>
      </c>
      <c r="G2">
        <f t="shared" si="2"/>
        <v>75.692608695652169</v>
      </c>
      <c r="H2">
        <f t="shared" si="3"/>
        <v>3.561876949208298E-2</v>
      </c>
      <c r="I2">
        <v>2</v>
      </c>
      <c r="K2">
        <f t="shared" si="4"/>
        <v>74.958484848484844</v>
      </c>
      <c r="L2">
        <f t="shared" si="5"/>
        <v>-1.2506351490933963E-2</v>
      </c>
      <c r="M2">
        <v>2</v>
      </c>
      <c r="O2">
        <f t="shared" si="6"/>
        <v>74.958484848484844</v>
      </c>
      <c r="P2">
        <f t="shared" si="7"/>
        <v>6.8701789807631974E-2</v>
      </c>
      <c r="Q2">
        <v>2</v>
      </c>
      <c r="S2">
        <f t="shared" si="8"/>
        <v>3.1299425217502501E-2</v>
      </c>
      <c r="T2">
        <f t="shared" si="9"/>
        <v>-9.0032263176115651E-3</v>
      </c>
      <c r="U2">
        <v>2</v>
      </c>
      <c r="W2">
        <f t="shared" si="10"/>
        <v>2.68044522325784E-2</v>
      </c>
      <c r="X2">
        <f t="shared" si="11"/>
        <v>6.7564688312059862E-2</v>
      </c>
    </row>
    <row r="3" spans="1:24" x14ac:dyDescent="0.35">
      <c r="A3">
        <v>3</v>
      </c>
      <c r="C3">
        <f t="shared" si="0"/>
        <v>78.115217391304341</v>
      </c>
      <c r="D3">
        <f t="shared" si="1"/>
        <v>2.2394340673236344E-2</v>
      </c>
      <c r="E3">
        <v>3</v>
      </c>
      <c r="G3">
        <f t="shared" si="2"/>
        <v>78.115217391304341</v>
      </c>
      <c r="H3">
        <f t="shared" si="3"/>
        <v>3.5940422532887692E-2</v>
      </c>
      <c r="I3">
        <v>3</v>
      </c>
      <c r="K3">
        <f t="shared" si="4"/>
        <v>76.646969696969691</v>
      </c>
      <c r="L3">
        <f t="shared" si="5"/>
        <v>-1.1871393217180629E-2</v>
      </c>
      <c r="M3">
        <v>3</v>
      </c>
      <c r="O3">
        <f t="shared" si="6"/>
        <v>76.646969696969691</v>
      </c>
      <c r="P3">
        <f t="shared" si="7"/>
        <v>6.9211121591013489E-2</v>
      </c>
      <c r="Q3">
        <v>3</v>
      </c>
      <c r="S3">
        <f t="shared" si="8"/>
        <v>3.2241158413814704E-2</v>
      </c>
      <c r="T3">
        <f t="shared" si="9"/>
        <v>-7.9962315266781589E-3</v>
      </c>
      <c r="U3">
        <v>3</v>
      </c>
      <c r="W3">
        <f t="shared" si="10"/>
        <v>2.7812287972786499E-2</v>
      </c>
      <c r="X3">
        <f t="shared" si="11"/>
        <v>6.8449138085673308E-2</v>
      </c>
    </row>
    <row r="4" spans="1:24" x14ac:dyDescent="0.35">
      <c r="A4">
        <v>4</v>
      </c>
      <c r="C4">
        <f t="shared" si="0"/>
        <v>80.5378260869565</v>
      </c>
      <c r="D4">
        <f t="shared" si="1"/>
        <v>2.3701471794383987E-2</v>
      </c>
      <c r="E4">
        <v>4</v>
      </c>
      <c r="G4">
        <f t="shared" si="2"/>
        <v>80.5378260869565</v>
      </c>
      <c r="H4">
        <f t="shared" si="3"/>
        <v>3.6275098885020493E-2</v>
      </c>
      <c r="I4">
        <v>4</v>
      </c>
      <c r="K4">
        <f t="shared" si="4"/>
        <v>78.335454545454553</v>
      </c>
      <c r="L4">
        <f t="shared" si="5"/>
        <v>-1.1240309993189864E-2</v>
      </c>
      <c r="M4">
        <v>4</v>
      </c>
      <c r="O4">
        <f t="shared" si="6"/>
        <v>78.335454545454553</v>
      </c>
      <c r="P4">
        <f t="shared" si="7"/>
        <v>6.9724328424157586E-2</v>
      </c>
      <c r="Q4">
        <v>4</v>
      </c>
      <c r="S4">
        <f t="shared" si="8"/>
        <v>3.3182891610126899E-2</v>
      </c>
      <c r="T4">
        <f t="shared" si="9"/>
        <v>-6.9999742662850903E-3</v>
      </c>
      <c r="U4">
        <v>4</v>
      </c>
      <c r="W4">
        <f t="shared" si="10"/>
        <v>2.8820123712994597E-2</v>
      </c>
      <c r="X4">
        <f t="shared" si="11"/>
        <v>6.9345526563622722E-2</v>
      </c>
    </row>
    <row r="5" spans="1:24" x14ac:dyDescent="0.35">
      <c r="A5">
        <v>5</v>
      </c>
      <c r="C5">
        <f t="shared" si="0"/>
        <v>82.960434782608672</v>
      </c>
      <c r="D5">
        <f t="shared" si="1"/>
        <v>2.4992312866711448E-2</v>
      </c>
      <c r="E5">
        <v>5</v>
      </c>
      <c r="G5">
        <f t="shared" si="2"/>
        <v>82.960434782608672</v>
      </c>
      <c r="H5">
        <f t="shared" si="3"/>
        <v>3.6626065285973466E-2</v>
      </c>
      <c r="I5">
        <v>5</v>
      </c>
      <c r="K5">
        <f t="shared" si="4"/>
        <v>80.023939393939401</v>
      </c>
      <c r="L5">
        <f t="shared" si="5"/>
        <v>-1.0613118767061658E-2</v>
      </c>
      <c r="M5">
        <v>5</v>
      </c>
      <c r="O5">
        <f t="shared" si="6"/>
        <v>80.023939393939401</v>
      </c>
      <c r="P5">
        <f t="shared" si="7"/>
        <v>7.0241427255164246E-2</v>
      </c>
      <c r="Q5">
        <v>5</v>
      </c>
      <c r="S5">
        <f t="shared" si="8"/>
        <v>3.4124624806439102E-2</v>
      </c>
      <c r="T5">
        <f t="shared" si="9"/>
        <v>-6.0144982933017233E-3</v>
      </c>
      <c r="U5">
        <v>5</v>
      </c>
      <c r="W5">
        <f t="shared" si="10"/>
        <v>2.9827959453202699E-2</v>
      </c>
      <c r="X5">
        <f t="shared" si="11"/>
        <v>7.0253952484672838E-2</v>
      </c>
    </row>
    <row r="6" spans="1:24" x14ac:dyDescent="0.35">
      <c r="A6">
        <v>6</v>
      </c>
      <c r="C6">
        <f t="shared" si="0"/>
        <v>85.383043478260845</v>
      </c>
      <c r="D6">
        <f t="shared" si="1"/>
        <v>2.6262583493864879E-2</v>
      </c>
      <c r="E6">
        <v>6</v>
      </c>
      <c r="G6">
        <f t="shared" si="2"/>
        <v>85.383043478260845</v>
      </c>
      <c r="H6">
        <f t="shared" si="3"/>
        <v>3.6997602132100481E-2</v>
      </c>
      <c r="I6">
        <v>6</v>
      </c>
      <c r="K6">
        <f t="shared" si="4"/>
        <v>81.712424242424248</v>
      </c>
      <c r="L6">
        <f t="shared" si="5"/>
        <v>-9.9898354570898198E-3</v>
      </c>
      <c r="M6">
        <v>6</v>
      </c>
      <c r="O6">
        <f t="shared" si="6"/>
        <v>81.712424242424248</v>
      </c>
      <c r="P6">
        <f t="shared" si="7"/>
        <v>7.0762434002327262E-2</v>
      </c>
      <c r="Q6">
        <v>6</v>
      </c>
      <c r="S6">
        <f t="shared" si="8"/>
        <v>3.5066358002751305E-2</v>
      </c>
      <c r="T6">
        <f t="shared" si="9"/>
        <v>-5.0398388843455183E-3</v>
      </c>
      <c r="U6">
        <v>6</v>
      </c>
      <c r="W6">
        <f t="shared" si="10"/>
        <v>3.08357951934108E-2</v>
      </c>
      <c r="X6">
        <f t="shared" si="11"/>
        <v>7.11745048433432E-2</v>
      </c>
    </row>
    <row r="7" spans="1:24" x14ac:dyDescent="0.35">
      <c r="A7">
        <v>7</v>
      </c>
      <c r="C7">
        <f t="shared" si="0"/>
        <v>87.805652173913018</v>
      </c>
      <c r="D7">
        <f t="shared" si="1"/>
        <v>2.7506671832178389E-2</v>
      </c>
      <c r="E7">
        <v>7</v>
      </c>
      <c r="G7">
        <f t="shared" si="2"/>
        <v>87.805652173913018</v>
      </c>
      <c r="H7">
        <f t="shared" si="3"/>
        <v>3.7395321267067405E-2</v>
      </c>
      <c r="I7">
        <v>7</v>
      </c>
      <c r="K7">
        <f t="shared" si="4"/>
        <v>83.400909090909096</v>
      </c>
      <c r="L7">
        <f t="shared" si="5"/>
        <v>-9.3704749293424296E-3</v>
      </c>
      <c r="M7">
        <v>7</v>
      </c>
      <c r="O7">
        <f t="shared" si="6"/>
        <v>83.400909090909096</v>
      </c>
      <c r="P7">
        <f t="shared" si="7"/>
        <v>7.128736353171472E-2</v>
      </c>
      <c r="Q7">
        <v>7</v>
      </c>
      <c r="S7">
        <f t="shared" si="8"/>
        <v>3.6008091199063501E-2</v>
      </c>
      <c r="T7">
        <f t="shared" si="9"/>
        <v>-4.076022694510309E-3</v>
      </c>
      <c r="U7">
        <v>7</v>
      </c>
      <c r="W7">
        <f t="shared" si="10"/>
        <v>3.1843630933618902E-2</v>
      </c>
      <c r="X7">
        <f t="shared" si="11"/>
        <v>7.210726250267796E-2</v>
      </c>
    </row>
    <row r="8" spans="1:24" x14ac:dyDescent="0.35">
      <c r="A8">
        <v>8</v>
      </c>
      <c r="C8">
        <f t="shared" si="0"/>
        <v>90.22826086956519</v>
      </c>
      <c r="D8">
        <f t="shared" si="1"/>
        <v>2.8717273989812435E-2</v>
      </c>
      <c r="E8">
        <v>8</v>
      </c>
      <c r="G8">
        <f t="shared" si="2"/>
        <v>90.22826086956519</v>
      </c>
      <c r="H8">
        <f t="shared" si="3"/>
        <v>3.78265265827138E-2</v>
      </c>
      <c r="I8">
        <v>8</v>
      </c>
      <c r="K8">
        <f t="shared" si="4"/>
        <v>85.089393939393943</v>
      </c>
      <c r="L8">
        <f t="shared" si="5"/>
        <v>-8.755050976537046E-3</v>
      </c>
      <c r="M8">
        <v>8</v>
      </c>
      <c r="O8">
        <f t="shared" si="6"/>
        <v>85.089393939393943</v>
      </c>
      <c r="P8">
        <f t="shared" si="7"/>
        <v>7.1816229636044185E-2</v>
      </c>
      <c r="Q8">
        <v>8</v>
      </c>
      <c r="S8">
        <f t="shared" si="8"/>
        <v>3.6949824395375704E-2</v>
      </c>
      <c r="T8">
        <f t="shared" si="9"/>
        <v>-3.1230676499385962E-3</v>
      </c>
      <c r="U8">
        <v>8</v>
      </c>
      <c r="W8">
        <f t="shared" si="10"/>
        <v>3.2851466673826997E-2</v>
      </c>
      <c r="X8">
        <f t="shared" si="11"/>
        <v>7.3052293845697669E-2</v>
      </c>
    </row>
    <row r="9" spans="1:24" x14ac:dyDescent="0.35">
      <c r="A9">
        <v>9</v>
      </c>
      <c r="C9">
        <f t="shared" si="0"/>
        <v>92.650869565217363</v>
      </c>
      <c r="D9">
        <f t="shared" si="1"/>
        <v>2.9885075697883012E-2</v>
      </c>
      <c r="E9">
        <v>9</v>
      </c>
      <c r="G9">
        <f t="shared" si="2"/>
        <v>92.650869565217363</v>
      </c>
      <c r="H9">
        <f t="shared" si="3"/>
        <v>3.8300532347923674E-2</v>
      </c>
      <c r="I9">
        <v>9</v>
      </c>
      <c r="K9">
        <f t="shared" si="4"/>
        <v>86.777878787878791</v>
      </c>
      <c r="L9">
        <f t="shared" si="5"/>
        <v>-8.1435762982791024E-3</v>
      </c>
      <c r="M9">
        <v>9</v>
      </c>
      <c r="O9">
        <f t="shared" si="6"/>
        <v>86.777878787878791</v>
      </c>
      <c r="P9">
        <f t="shared" si="7"/>
        <v>7.2349045014921093E-2</v>
      </c>
      <c r="Q9">
        <v>9</v>
      </c>
      <c r="S9">
        <f t="shared" si="8"/>
        <v>3.7891557591687899E-2</v>
      </c>
      <c r="T9">
        <f t="shared" si="9"/>
        <v>-2.180982875243126E-3</v>
      </c>
      <c r="U9">
        <v>9</v>
      </c>
      <c r="W9">
        <f t="shared" si="10"/>
        <v>3.3859302414035099E-2</v>
      </c>
      <c r="X9">
        <f t="shared" si="11"/>
        <v>7.4009656469044421E-2</v>
      </c>
    </row>
    <row r="10" spans="1:24" x14ac:dyDescent="0.35">
      <c r="A10">
        <v>10</v>
      </c>
      <c r="C10">
        <f t="shared" si="0"/>
        <v>95.073478260869521</v>
      </c>
      <c r="D10">
        <f t="shared" si="1"/>
        <v>3.0998683138662133E-2</v>
      </c>
      <c r="E10">
        <v>10</v>
      </c>
      <c r="G10">
        <f t="shared" si="2"/>
        <v>95.073478260869521</v>
      </c>
      <c r="H10">
        <f t="shared" si="3"/>
        <v>3.8828732380424995E-2</v>
      </c>
      <c r="I10">
        <v>10</v>
      </c>
      <c r="K10">
        <f t="shared" si="4"/>
        <v>88.466363636363639</v>
      </c>
      <c r="L10">
        <f t="shared" si="5"/>
        <v>-7.5360624827284436E-3</v>
      </c>
      <c r="M10">
        <v>10</v>
      </c>
      <c r="O10">
        <f t="shared" si="6"/>
        <v>88.466363636363639</v>
      </c>
      <c r="P10">
        <f t="shared" si="7"/>
        <v>7.2885821256505279E-2</v>
      </c>
      <c r="Q10">
        <v>10</v>
      </c>
      <c r="S10">
        <f t="shared" si="8"/>
        <v>3.8833290788000102E-2</v>
      </c>
      <c r="T10">
        <f t="shared" si="9"/>
        <v>-1.2497686564613419E-3</v>
      </c>
      <c r="U10">
        <v>10</v>
      </c>
      <c r="W10">
        <f t="shared" si="10"/>
        <v>3.48671381542432E-2</v>
      </c>
      <c r="X10">
        <f t="shared" si="11"/>
        <v>7.4979396921967756E-2</v>
      </c>
    </row>
    <row r="11" spans="1:24" x14ac:dyDescent="0.35">
      <c r="A11">
        <v>11</v>
      </c>
      <c r="C11">
        <f t="shared" si="0"/>
        <v>97.496086956521694</v>
      </c>
      <c r="D11">
        <f t="shared" si="1"/>
        <v>3.2045175079180747E-2</v>
      </c>
      <c r="E11">
        <v>11</v>
      </c>
      <c r="G11">
        <f t="shared" si="2"/>
        <v>97.496086956521694</v>
      </c>
      <c r="H11">
        <f t="shared" si="3"/>
        <v>3.9424047913186815E-2</v>
      </c>
      <c r="I11">
        <v>11</v>
      </c>
      <c r="K11">
        <f t="shared" si="4"/>
        <v>90.1548484848485</v>
      </c>
      <c r="L11">
        <f t="shared" si="5"/>
        <v>-6.9325199897543391E-3</v>
      </c>
      <c r="M11">
        <v>11</v>
      </c>
      <c r="O11">
        <f t="shared" si="6"/>
        <v>90.1548484848485</v>
      </c>
      <c r="P11">
        <f t="shared" si="7"/>
        <v>7.342656882066606E-2</v>
      </c>
      <c r="Q11">
        <v>11</v>
      </c>
      <c r="S11">
        <f t="shared" si="8"/>
        <v>3.9775023984312305E-2</v>
      </c>
      <c r="T11">
        <f t="shared" si="9"/>
        <v>-3.2941643989296138E-4</v>
      </c>
      <c r="U11">
        <v>11</v>
      </c>
      <c r="W11">
        <f t="shared" si="10"/>
        <v>3.5874973894451295E-2</v>
      </c>
      <c r="X11">
        <f t="shared" si="11"/>
        <v>7.5961550493376412E-2</v>
      </c>
    </row>
    <row r="12" spans="1:24" x14ac:dyDescent="0.35">
      <c r="A12">
        <v>12</v>
      </c>
      <c r="C12">
        <f t="shared" si="0"/>
        <v>99.918695652173867</v>
      </c>
      <c r="D12">
        <f t="shared" si="1"/>
        <v>3.3011711127603219E-2</v>
      </c>
      <c r="E12">
        <v>12</v>
      </c>
      <c r="G12">
        <f t="shared" si="2"/>
        <v>99.918695652173867</v>
      </c>
      <c r="H12">
        <f t="shared" si="3"/>
        <v>4.0099319338044781E-2</v>
      </c>
      <c r="I12">
        <v>12</v>
      </c>
      <c r="K12">
        <f t="shared" si="4"/>
        <v>91.843333333333348</v>
      </c>
      <c r="L12">
        <f t="shared" si="5"/>
        <v>-6.3329581356357662E-3</v>
      </c>
      <c r="M12">
        <v>12</v>
      </c>
      <c r="O12">
        <f t="shared" si="6"/>
        <v>91.843333333333348</v>
      </c>
      <c r="P12">
        <f t="shared" si="7"/>
        <v>7.3971297023682325E-2</v>
      </c>
      <c r="Q12">
        <v>12</v>
      </c>
      <c r="S12">
        <f t="shared" si="8"/>
        <v>4.0716757180624501E-2</v>
      </c>
      <c r="T12">
        <f t="shared" si="9"/>
        <v>5.8009113316830063E-4</v>
      </c>
      <c r="U12">
        <v>12</v>
      </c>
      <c r="W12">
        <f t="shared" si="10"/>
        <v>3.6882809634659397E-2</v>
      </c>
      <c r="X12">
        <f t="shared" si="11"/>
        <v>7.6956141049209781E-2</v>
      </c>
    </row>
    <row r="13" spans="1:24" x14ac:dyDescent="0.35">
      <c r="A13">
        <v>13</v>
      </c>
      <c r="C13">
        <f t="shared" si="0"/>
        <v>102.34130434782604</v>
      </c>
      <c r="D13">
        <f t="shared" si="1"/>
        <v>3.388826226923957E-2</v>
      </c>
      <c r="E13">
        <v>13</v>
      </c>
      <c r="G13">
        <f t="shared" si="2"/>
        <v>102.34130434782604</v>
      </c>
      <c r="H13">
        <f t="shared" si="3"/>
        <v>4.0864575669688881E-2</v>
      </c>
      <c r="I13">
        <v>13</v>
      </c>
      <c r="K13">
        <f t="shared" si="4"/>
        <v>93.531818181818196</v>
      </c>
      <c r="L13">
        <f t="shared" si="5"/>
        <v>-5.7373850793581704E-3</v>
      </c>
      <c r="M13">
        <v>13</v>
      </c>
      <c r="O13">
        <f t="shared" si="6"/>
        <v>93.531818181818196</v>
      </c>
      <c r="P13">
        <f t="shared" si="7"/>
        <v>7.4520014024539588E-2</v>
      </c>
      <c r="Q13">
        <v>13</v>
      </c>
      <c r="S13">
        <f t="shared" si="8"/>
        <v>4.1658490376936703E-2</v>
      </c>
      <c r="T13">
        <f t="shared" si="9"/>
        <v>1.4787801561372965E-3</v>
      </c>
      <c r="U13">
        <v>13</v>
      </c>
      <c r="W13">
        <f t="shared" si="10"/>
        <v>3.7890645374867499E-2</v>
      </c>
      <c r="X13">
        <f t="shared" si="11"/>
        <v>7.7963180921867686E-2</v>
      </c>
    </row>
    <row r="14" spans="1:24" x14ac:dyDescent="0.35">
      <c r="A14">
        <v>14</v>
      </c>
      <c r="C14">
        <f t="shared" si="0"/>
        <v>104.7639130434782</v>
      </c>
      <c r="D14">
        <f t="shared" si="1"/>
        <v>3.4670566411357712E-2</v>
      </c>
      <c r="E14">
        <v>14</v>
      </c>
      <c r="G14">
        <f t="shared" si="2"/>
        <v>104.7639130434782</v>
      </c>
      <c r="H14">
        <f t="shared" si="3"/>
        <v>4.1724079000851164E-2</v>
      </c>
      <c r="I14">
        <v>14</v>
      </c>
      <c r="K14">
        <f t="shared" si="4"/>
        <v>95.220303030303043</v>
      </c>
      <c r="L14">
        <f t="shared" si="5"/>
        <v>-5.1458078105536889E-3</v>
      </c>
      <c r="M14">
        <v>14</v>
      </c>
      <c r="O14">
        <f t="shared" si="6"/>
        <v>95.220303030303043</v>
      </c>
      <c r="P14">
        <f t="shared" si="7"/>
        <v>7.5072726812869972E-2</v>
      </c>
      <c r="Q14">
        <v>14</v>
      </c>
      <c r="S14">
        <f t="shared" si="8"/>
        <v>4.2600223573248899E-2</v>
      </c>
      <c r="T14">
        <f t="shared" si="9"/>
        <v>2.3666853519366329E-3</v>
      </c>
      <c r="U14">
        <v>14</v>
      </c>
      <c r="W14">
        <f t="shared" si="10"/>
        <v>3.88984811150756E-2</v>
      </c>
      <c r="X14">
        <f t="shared" si="11"/>
        <v>7.8982670852889944E-2</v>
      </c>
    </row>
    <row r="15" spans="1:24" x14ac:dyDescent="0.35">
      <c r="A15">
        <v>15</v>
      </c>
      <c r="C15">
        <f t="shared" si="0"/>
        <v>107.18652173913037</v>
      </c>
      <c r="D15">
        <f t="shared" si="1"/>
        <v>3.5361606975556389E-2</v>
      </c>
      <c r="E15">
        <v>15</v>
      </c>
      <c r="G15">
        <f t="shared" si="2"/>
        <v>107.18652173913037</v>
      </c>
      <c r="H15">
        <f t="shared" si="3"/>
        <v>4.2674845909932937E-2</v>
      </c>
      <c r="I15">
        <v>15</v>
      </c>
      <c r="K15">
        <f t="shared" si="4"/>
        <v>96.908787878787905</v>
      </c>
      <c r="L15">
        <f t="shared" si="5"/>
        <v>-4.558232139125859E-3</v>
      </c>
      <c r="M15">
        <v>15</v>
      </c>
      <c r="O15">
        <f t="shared" si="6"/>
        <v>96.908787878787905</v>
      </c>
      <c r="P15">
        <f t="shared" si="7"/>
        <v>7.5629441198576994E-2</v>
      </c>
      <c r="Q15">
        <v>15</v>
      </c>
      <c r="S15">
        <f t="shared" si="8"/>
        <v>4.3541956769561102E-2</v>
      </c>
      <c r="T15">
        <f t="shared" si="9"/>
        <v>3.2438499338774546E-3</v>
      </c>
      <c r="U15">
        <v>15</v>
      </c>
      <c r="W15">
        <f t="shared" si="10"/>
        <v>3.9906316855283702E-2</v>
      </c>
      <c r="X15">
        <f t="shared" si="11"/>
        <v>8.0014599989505636E-2</v>
      </c>
    </row>
    <row r="16" spans="1:24" x14ac:dyDescent="0.35">
      <c r="A16">
        <v>16</v>
      </c>
      <c r="C16">
        <f t="shared" si="0"/>
        <v>109.60913043478254</v>
      </c>
      <c r="D16">
        <f t="shared" si="1"/>
        <v>3.5970563899588734E-2</v>
      </c>
      <c r="E16">
        <v>16</v>
      </c>
      <c r="G16">
        <f t="shared" si="2"/>
        <v>109.60913043478254</v>
      </c>
      <c r="H16">
        <f t="shared" si="3"/>
        <v>4.3707696459181031E-2</v>
      </c>
      <c r="I16">
        <v>16</v>
      </c>
      <c r="K16">
        <f t="shared" si="4"/>
        <v>98.597272727272752</v>
      </c>
      <c r="L16">
        <f t="shared" si="5"/>
        <v>-3.9746626865947016E-3</v>
      </c>
      <c r="M16">
        <v>16</v>
      </c>
      <c r="O16">
        <f t="shared" si="6"/>
        <v>98.597272727272752</v>
      </c>
      <c r="P16">
        <f t="shared" si="7"/>
        <v>7.6190161803180695E-2</v>
      </c>
      <c r="Q16">
        <v>16</v>
      </c>
      <c r="S16">
        <f t="shared" si="8"/>
        <v>4.4483689965873305E-2</v>
      </c>
      <c r="T16">
        <f t="shared" si="9"/>
        <v>4.1103254339130701E-3</v>
      </c>
      <c r="U16">
        <v>16</v>
      </c>
      <c r="W16">
        <f t="shared" si="10"/>
        <v>4.0914152595491797E-2</v>
      </c>
      <c r="X16">
        <f t="shared" si="11"/>
        <v>8.1058945935089721E-2</v>
      </c>
    </row>
    <row r="17" spans="1:24" x14ac:dyDescent="0.35">
      <c r="A17">
        <v>17</v>
      </c>
      <c r="C17">
        <f t="shared" si="0"/>
        <v>112.03173913043472</v>
      </c>
      <c r="D17">
        <f t="shared" si="1"/>
        <v>3.6509994474935123E-2</v>
      </c>
      <c r="E17">
        <v>17</v>
      </c>
      <c r="G17">
        <f t="shared" si="2"/>
        <v>112.03173913043472</v>
      </c>
      <c r="H17">
        <f t="shared" si="3"/>
        <v>4.4810073357115093E-2</v>
      </c>
      <c r="I17">
        <v>17</v>
      </c>
      <c r="K17">
        <f t="shared" si="4"/>
        <v>100.2857575757576</v>
      </c>
      <c r="L17">
        <f t="shared" si="5"/>
        <v>-3.3951028791921259E-3</v>
      </c>
      <c r="M17">
        <v>17</v>
      </c>
      <c r="O17">
        <f t="shared" si="6"/>
        <v>100.2857575757576</v>
      </c>
      <c r="P17">
        <f t="shared" si="7"/>
        <v>7.6754892052912971E-2</v>
      </c>
      <c r="Q17">
        <v>17</v>
      </c>
      <c r="S17">
        <f t="shared" si="8"/>
        <v>4.5425423162185501E-2</v>
      </c>
      <c r="T17">
        <f t="shared" si="9"/>
        <v>4.9661714998411877E-3</v>
      </c>
      <c r="U17">
        <v>17</v>
      </c>
      <c r="W17">
        <f t="shared" si="10"/>
        <v>4.1921988335699899E-2</v>
      </c>
      <c r="X17">
        <f t="shared" si="11"/>
        <v>8.2115674852980741E-2</v>
      </c>
    </row>
    <row r="18" spans="1:24" x14ac:dyDescent="0.35">
      <c r="A18">
        <v>18</v>
      </c>
      <c r="C18">
        <f t="shared" si="0"/>
        <v>114.45434782608689</v>
      </c>
      <c r="D18">
        <f t="shared" si="1"/>
        <v>3.6992961178562531E-2</v>
      </c>
      <c r="E18">
        <v>18</v>
      </c>
      <c r="G18">
        <f t="shared" si="2"/>
        <v>114.45434782608689</v>
      </c>
      <c r="H18">
        <f t="shared" si="3"/>
        <v>4.5968914126768123E-2</v>
      </c>
      <c r="I18">
        <v>18</v>
      </c>
      <c r="K18">
        <f t="shared" si="4"/>
        <v>101.97424242424245</v>
      </c>
      <c r="L18">
        <f t="shared" si="5"/>
        <v>-2.8195549427316863E-3</v>
      </c>
      <c r="M18">
        <v>18</v>
      </c>
      <c r="O18">
        <f t="shared" si="6"/>
        <v>101.97424242424245</v>
      </c>
      <c r="P18">
        <f t="shared" si="7"/>
        <v>7.7323634173587383E-2</v>
      </c>
      <c r="Q18">
        <v>18</v>
      </c>
      <c r="S18">
        <f t="shared" si="8"/>
        <v>4.6367156358497703E-2</v>
      </c>
      <c r="T18">
        <f t="shared" si="9"/>
        <v>5.8114556632899855E-3</v>
      </c>
      <c r="U18">
        <v>18</v>
      </c>
      <c r="W18">
        <f t="shared" si="10"/>
        <v>4.2929824075908E-2</v>
      </c>
      <c r="X18">
        <f t="shared" si="11"/>
        <v>8.3184741622540304E-2</v>
      </c>
    </row>
    <row r="19" spans="1:24" x14ac:dyDescent="0.35">
      <c r="A19">
        <v>19</v>
      </c>
      <c r="C19">
        <f t="shared" si="0"/>
        <v>116.87695652173906</v>
      </c>
      <c r="D19">
        <f t="shared" si="1"/>
        <v>3.7431202676603804E-2</v>
      </c>
      <c r="E19">
        <v>19</v>
      </c>
      <c r="G19">
        <f t="shared" si="2"/>
        <v>116.87695652173906</v>
      </c>
      <c r="H19">
        <f t="shared" si="3"/>
        <v>4.7172480102007287E-2</v>
      </c>
      <c r="I19">
        <v>19</v>
      </c>
      <c r="K19">
        <f t="shared" si="4"/>
        <v>103.6627272727273</v>
      </c>
      <c r="L19">
        <f t="shared" si="5"/>
        <v>-2.2480198992704953E-3</v>
      </c>
      <c r="M19">
        <v>19</v>
      </c>
      <c r="O19">
        <f t="shared" si="6"/>
        <v>103.6627272727273</v>
      </c>
      <c r="P19">
        <f t="shared" si="7"/>
        <v>7.789638918726105E-2</v>
      </c>
      <c r="Q19">
        <v>19</v>
      </c>
      <c r="S19">
        <f t="shared" si="8"/>
        <v>4.7308889554809899E-2</v>
      </c>
      <c r="T19">
        <f t="shared" si="9"/>
        <v>6.646253080552264E-3</v>
      </c>
      <c r="U19">
        <v>19</v>
      </c>
      <c r="W19">
        <f t="shared" si="10"/>
        <v>4.3937659816116095E-2</v>
      </c>
      <c r="X19">
        <f t="shared" si="11"/>
        <v>8.4266090045784003E-2</v>
      </c>
    </row>
    <row r="20" spans="1:24" x14ac:dyDescent="0.35">
      <c r="A20">
        <v>20</v>
      </c>
      <c r="C20">
        <f t="shared" si="0"/>
        <v>119.29956521739123</v>
      </c>
      <c r="D20">
        <f t="shared" si="1"/>
        <v>3.7834418994237493E-2</v>
      </c>
      <c r="E20">
        <v>20</v>
      </c>
      <c r="G20">
        <f t="shared" si="2"/>
        <v>119.29956521739123</v>
      </c>
      <c r="H20">
        <f t="shared" si="3"/>
        <v>4.8411071257654051E-2</v>
      </c>
      <c r="I20">
        <v>20</v>
      </c>
      <c r="K20">
        <f t="shared" si="4"/>
        <v>105.35121212121214</v>
      </c>
      <c r="L20">
        <f t="shared" si="5"/>
        <v>-1.6804975655751384E-3</v>
      </c>
      <c r="M20">
        <v>20</v>
      </c>
      <c r="O20">
        <f t="shared" si="6"/>
        <v>105.35121212121214</v>
      </c>
      <c r="P20">
        <f t="shared" si="7"/>
        <v>7.8473156910700559E-2</v>
      </c>
      <c r="Q20">
        <v>20</v>
      </c>
      <c r="S20">
        <f t="shared" si="8"/>
        <v>4.8250622751122102E-2</v>
      </c>
      <c r="T20">
        <f t="shared" si="9"/>
        <v>7.47064624852984E-3</v>
      </c>
      <c r="U20">
        <v>20</v>
      </c>
      <c r="W20">
        <f t="shared" si="10"/>
        <v>4.4945495556324197E-2</v>
      </c>
      <c r="X20">
        <f t="shared" si="11"/>
        <v>8.5359653102393629E-2</v>
      </c>
    </row>
    <row r="21" spans="1:24" x14ac:dyDescent="0.35">
      <c r="A21">
        <v>21</v>
      </c>
      <c r="C21">
        <f t="shared" si="0"/>
        <v>121.72217391304339</v>
      </c>
      <c r="D21">
        <f t="shared" si="1"/>
        <v>3.8210259965169434E-2</v>
      </c>
      <c r="E21">
        <v>21</v>
      </c>
      <c r="G21">
        <f t="shared" si="2"/>
        <v>121.72217391304339</v>
      </c>
      <c r="H21">
        <f t="shared" si="3"/>
        <v>4.9677037760002533E-2</v>
      </c>
      <c r="I21">
        <v>21</v>
      </c>
      <c r="K21">
        <f t="shared" si="4"/>
        <v>107.03969696969699</v>
      </c>
      <c r="L21">
        <f t="shared" si="5"/>
        <v>-1.1169865533966969E-3</v>
      </c>
      <c r="M21">
        <v>21</v>
      </c>
      <c r="O21">
        <f t="shared" si="6"/>
        <v>107.03969696969699</v>
      </c>
      <c r="P21">
        <f t="shared" si="7"/>
        <v>7.9053935955656962E-2</v>
      </c>
      <c r="Q21">
        <v>21</v>
      </c>
      <c r="S21">
        <f t="shared" si="8"/>
        <v>4.9192355947434305E-2</v>
      </c>
      <c r="T21">
        <f t="shared" si="9"/>
        <v>8.2847246982123424E-3</v>
      </c>
      <c r="U21">
        <v>21</v>
      </c>
      <c r="W21">
        <f t="shared" si="10"/>
        <v>4.5953331296532299E-2</v>
      </c>
      <c r="X21">
        <f t="shared" si="11"/>
        <v>8.6465353250443133E-2</v>
      </c>
    </row>
    <row r="22" spans="1:24" x14ac:dyDescent="0.35">
      <c r="A22">
        <v>22</v>
      </c>
      <c r="C22">
        <f t="shared" si="0"/>
        <v>124.14478260869556</v>
      </c>
      <c r="D22">
        <f t="shared" si="1"/>
        <v>3.8564618213218466E-2</v>
      </c>
      <c r="E22">
        <v>22</v>
      </c>
      <c r="G22">
        <f t="shared" si="2"/>
        <v>124.14478260869556</v>
      </c>
      <c r="H22">
        <f t="shared" si="3"/>
        <v>5.0964486985233953E-2</v>
      </c>
      <c r="I22">
        <v>22</v>
      </c>
      <c r="K22">
        <f t="shared" si="4"/>
        <v>108.72818181818184</v>
      </c>
      <c r="L22">
        <f t="shared" si="5"/>
        <v>-5.574842715542136E-4</v>
      </c>
      <c r="M22">
        <v>22</v>
      </c>
      <c r="O22">
        <f t="shared" si="6"/>
        <v>108.72818181818184</v>
      </c>
      <c r="P22">
        <f t="shared" si="7"/>
        <v>7.9638723730949323E-2</v>
      </c>
      <c r="Q22">
        <v>22</v>
      </c>
      <c r="S22">
        <f t="shared" si="8"/>
        <v>5.0134089143746507E-2</v>
      </c>
      <c r="T22">
        <f t="shared" si="9"/>
        <v>9.0885846682420071E-3</v>
      </c>
      <c r="U22">
        <v>22</v>
      </c>
      <c r="W22">
        <f t="shared" si="10"/>
        <v>4.69611670367404E-2</v>
      </c>
      <c r="X22">
        <f t="shared" si="11"/>
        <v>8.7583102769741739E-2</v>
      </c>
    </row>
    <row r="23" spans="1:24" x14ac:dyDescent="0.35">
      <c r="A23">
        <v>23</v>
      </c>
      <c r="C23">
        <f t="shared" si="0"/>
        <v>126.56739130434774</v>
      </c>
      <c r="D23">
        <f t="shared" si="1"/>
        <v>3.8901991089405272E-2</v>
      </c>
      <c r="E23">
        <v>23</v>
      </c>
      <c r="G23">
        <f t="shared" si="2"/>
        <v>126.56739130434774</v>
      </c>
      <c r="H23">
        <f t="shared" si="3"/>
        <v>5.2268921582327585E-2</v>
      </c>
      <c r="I23">
        <v>23</v>
      </c>
      <c r="K23">
        <f t="shared" si="4"/>
        <v>110.4166666666667</v>
      </c>
      <c r="L23">
        <f t="shared" si="5"/>
        <v>-1.9869298190644535E-6</v>
      </c>
      <c r="M23">
        <v>23</v>
      </c>
      <c r="O23">
        <f t="shared" si="6"/>
        <v>110.4166666666667</v>
      </c>
      <c r="P23">
        <f t="shared" si="7"/>
        <v>8.022751644634904E-2</v>
      </c>
      <c r="Q23">
        <v>23</v>
      </c>
      <c r="S23">
        <f t="shared" si="8"/>
        <v>5.1075822340058703E-2</v>
      </c>
      <c r="T23">
        <f t="shared" si="9"/>
        <v>9.8823287612058303E-3</v>
      </c>
      <c r="U23">
        <v>23</v>
      </c>
      <c r="W23">
        <f t="shared" si="10"/>
        <v>4.7969002776948502E-2</v>
      </c>
      <c r="X23">
        <f t="shared" si="11"/>
        <v>8.8712804144326224E-2</v>
      </c>
    </row>
    <row r="24" spans="1:24" x14ac:dyDescent="0.35">
      <c r="A24">
        <v>24</v>
      </c>
      <c r="C24">
        <f t="shared" si="0"/>
        <v>128.9899999999999</v>
      </c>
      <c r="D24">
        <f t="shared" si="1"/>
        <v>3.9225809106280034E-2</v>
      </c>
      <c r="E24">
        <v>24</v>
      </c>
      <c r="G24">
        <f t="shared" si="2"/>
        <v>128.9899999999999</v>
      </c>
      <c r="H24">
        <f t="shared" si="3"/>
        <v>5.3586911038733261E-2</v>
      </c>
      <c r="I24">
        <v>24</v>
      </c>
      <c r="K24">
        <f t="shared" si="4"/>
        <v>112.10515151515155</v>
      </c>
      <c r="L24">
        <f t="shared" si="5"/>
        <v>5.4951045541316856E-4</v>
      </c>
      <c r="M24">
        <v>24</v>
      </c>
      <c r="O24">
        <f t="shared" si="6"/>
        <v>112.10515151515155</v>
      </c>
      <c r="P24">
        <f t="shared" si="7"/>
        <v>8.0820309118251665E-2</v>
      </c>
      <c r="Q24">
        <v>24</v>
      </c>
      <c r="S24">
        <f t="shared" si="8"/>
        <v>5.2017555536370899E-2</v>
      </c>
      <c r="T24">
        <f t="shared" si="9"/>
        <v>1.0666065585350749E-2</v>
      </c>
      <c r="U24">
        <v>24</v>
      </c>
      <c r="W24">
        <f t="shared" si="10"/>
        <v>4.8976838517156597E-2</v>
      </c>
      <c r="X24">
        <f t="shared" si="11"/>
        <v>8.9854350480323766E-2</v>
      </c>
    </row>
    <row r="25" spans="1:24" x14ac:dyDescent="0.35">
      <c r="A25">
        <v>25</v>
      </c>
      <c r="C25">
        <f t="shared" si="0"/>
        <v>131.41260869565207</v>
      </c>
      <c r="D25">
        <f t="shared" si="1"/>
        <v>3.9538700885909987E-2</v>
      </c>
      <c r="E25">
        <v>25</v>
      </c>
      <c r="G25">
        <f t="shared" si="2"/>
        <v>131.41260869565207</v>
      </c>
      <c r="H25">
        <f t="shared" si="3"/>
        <v>5.4915826732383745E-2</v>
      </c>
      <c r="I25">
        <v>25</v>
      </c>
      <c r="K25">
        <f t="shared" si="4"/>
        <v>113.7936363636364</v>
      </c>
      <c r="L25">
        <f t="shared" si="5"/>
        <v>1.097014053683204E-3</v>
      </c>
      <c r="M25">
        <v>25</v>
      </c>
      <c r="O25">
        <f t="shared" si="6"/>
        <v>113.7936363636364</v>
      </c>
      <c r="P25">
        <f t="shared" si="7"/>
        <v>8.1417095577116488E-2</v>
      </c>
      <c r="Q25">
        <v>25</v>
      </c>
      <c r="S25">
        <f t="shared" si="8"/>
        <v>5.2959288732683102E-2</v>
      </c>
      <c r="T25">
        <f t="shared" si="9"/>
        <v>1.1439909384436064E-2</v>
      </c>
      <c r="U25">
        <v>25</v>
      </c>
      <c r="W25">
        <f t="shared" si="10"/>
        <v>4.9984674257364699E-2</v>
      </c>
      <c r="X25">
        <f t="shared" si="11"/>
        <v>9.1007625955160931E-2</v>
      </c>
    </row>
    <row r="26" spans="1:24" x14ac:dyDescent="0.35">
      <c r="A26">
        <v>26</v>
      </c>
      <c r="C26">
        <f t="shared" si="0"/>
        <v>133.83521739130424</v>
      </c>
      <c r="D26">
        <f t="shared" si="1"/>
        <v>3.984269555213317E-2</v>
      </c>
      <c r="E26">
        <v>26</v>
      </c>
      <c r="G26">
        <f t="shared" si="2"/>
        <v>133.83521739130424</v>
      </c>
      <c r="H26">
        <f t="shared" si="3"/>
        <v>5.6253639539441E-2</v>
      </c>
      <c r="I26">
        <v>26</v>
      </c>
      <c r="K26">
        <f t="shared" si="4"/>
        <v>115.48212121212126</v>
      </c>
      <c r="L26">
        <f t="shared" si="5"/>
        <v>1.640531211286704E-3</v>
      </c>
      <c r="M26">
        <v>26</v>
      </c>
      <c r="O26">
        <f t="shared" si="6"/>
        <v>115.48212121212126</v>
      </c>
      <c r="P26">
        <f t="shared" si="7"/>
        <v>8.2017868476647854E-2</v>
      </c>
      <c r="Q26">
        <v>26</v>
      </c>
      <c r="S26">
        <f t="shared" si="8"/>
        <v>5.3901021928995305E-2</v>
      </c>
      <c r="T26">
        <f t="shared" si="9"/>
        <v>1.2203979658422216E-2</v>
      </c>
      <c r="U26">
        <v>26</v>
      </c>
      <c r="W26">
        <f t="shared" si="10"/>
        <v>5.0992509997572801E-2</v>
      </c>
      <c r="X26">
        <f t="shared" si="11"/>
        <v>9.217250629391642E-2</v>
      </c>
    </row>
    <row r="27" spans="1:24" x14ac:dyDescent="0.35">
      <c r="A27">
        <v>27</v>
      </c>
      <c r="C27">
        <f t="shared" si="0"/>
        <v>136.25782608695641</v>
      </c>
      <c r="D27">
        <f t="shared" si="1"/>
        <v>4.0139373428505001E-2</v>
      </c>
      <c r="E27">
        <v>27</v>
      </c>
      <c r="G27">
        <f t="shared" si="2"/>
        <v>136.25782608695641</v>
      </c>
      <c r="H27">
        <f t="shared" si="3"/>
        <v>5.759876913634962E-2</v>
      </c>
      <c r="I27">
        <v>27</v>
      </c>
      <c r="K27">
        <f t="shared" si="4"/>
        <v>117.1706060606061</v>
      </c>
      <c r="L27">
        <f t="shared" si="5"/>
        <v>2.1800704403828614E-3</v>
      </c>
      <c r="M27">
        <v>27</v>
      </c>
      <c r="O27">
        <f t="shared" si="6"/>
        <v>117.1706060606061</v>
      </c>
      <c r="P27">
        <f t="shared" si="7"/>
        <v>8.2622619304686548E-2</v>
      </c>
      <c r="Q27">
        <v>27</v>
      </c>
      <c r="S27">
        <f t="shared" si="8"/>
        <v>5.4842755125307507E-2</v>
      </c>
      <c r="T27">
        <f t="shared" si="9"/>
        <v>1.2958400777648399E-2</v>
      </c>
      <c r="U27">
        <v>27</v>
      </c>
      <c r="W27">
        <f t="shared" si="10"/>
        <v>5.2000345737780895E-2</v>
      </c>
      <c r="X27">
        <f t="shared" si="11"/>
        <v>9.3348859268503254E-2</v>
      </c>
    </row>
    <row r="28" spans="1:24" x14ac:dyDescent="0.35">
      <c r="A28">
        <v>28</v>
      </c>
      <c r="C28">
        <f t="shared" si="0"/>
        <v>138.68043478260859</v>
      </c>
      <c r="D28">
        <f t="shared" si="1"/>
        <v>4.0429977083269494E-2</v>
      </c>
      <c r="E28">
        <v>28</v>
      </c>
      <c r="G28">
        <f t="shared" si="2"/>
        <v>138.68043478260859</v>
      </c>
      <c r="H28">
        <f t="shared" si="3"/>
        <v>5.8949972954865565E-2</v>
      </c>
      <c r="I28">
        <v>28</v>
      </c>
      <c r="K28">
        <f t="shared" si="4"/>
        <v>118.85909090909095</v>
      </c>
      <c r="L28">
        <f t="shared" si="5"/>
        <v>2.7156414064303525E-3</v>
      </c>
      <c r="M28">
        <v>28</v>
      </c>
      <c r="O28">
        <f t="shared" si="6"/>
        <v>118.85909090909095</v>
      </c>
      <c r="P28">
        <f t="shared" si="7"/>
        <v>8.3231338395773916E-2</v>
      </c>
      <c r="Q28">
        <v>28</v>
      </c>
      <c r="S28">
        <f t="shared" si="8"/>
        <v>5.5784488321619703E-2</v>
      </c>
      <c r="T28">
        <f t="shared" si="9"/>
        <v>1.3703301593075853E-2</v>
      </c>
      <c r="U28">
        <v>28</v>
      </c>
      <c r="W28">
        <f t="shared" si="10"/>
        <v>5.3008181477988997E-2</v>
      </c>
      <c r="X28">
        <f t="shared" si="11"/>
        <v>9.4536545215320247E-2</v>
      </c>
    </row>
    <row r="29" spans="1:24" x14ac:dyDescent="0.35">
      <c r="A29">
        <v>29</v>
      </c>
      <c r="C29">
        <f t="shared" si="0"/>
        <v>141.10304347826076</v>
      </c>
      <c r="D29">
        <f t="shared" si="1"/>
        <v>4.0715493000707439E-2</v>
      </c>
      <c r="E29">
        <v>29</v>
      </c>
      <c r="G29">
        <f t="shared" si="2"/>
        <v>141.10304347826076</v>
      </c>
      <c r="H29">
        <f t="shared" si="3"/>
        <v>6.0306264510708057E-2</v>
      </c>
      <c r="I29">
        <v>29</v>
      </c>
      <c r="K29">
        <f t="shared" si="4"/>
        <v>120.5475757575758</v>
      </c>
      <c r="L29">
        <f t="shared" si="5"/>
        <v>3.2472549139936149E-3</v>
      </c>
      <c r="M29">
        <v>29</v>
      </c>
      <c r="O29">
        <f t="shared" si="6"/>
        <v>120.5475757575758</v>
      </c>
      <c r="P29">
        <f t="shared" si="7"/>
        <v>8.3844014945345491E-2</v>
      </c>
      <c r="Q29">
        <v>29</v>
      </c>
      <c r="S29">
        <f t="shared" si="8"/>
        <v>5.6726221517931899E-2</v>
      </c>
      <c r="T29">
        <f t="shared" si="9"/>
        <v>1.4438815045071982E-2</v>
      </c>
      <c r="U29">
        <v>29</v>
      </c>
      <c r="W29">
        <f t="shared" si="10"/>
        <v>5.4016017218197099E-2</v>
      </c>
      <c r="X29">
        <f t="shared" si="11"/>
        <v>9.5735417567029427E-2</v>
      </c>
    </row>
    <row r="30" spans="1:24" x14ac:dyDescent="0.35">
      <c r="A30">
        <v>30</v>
      </c>
      <c r="C30">
        <f t="shared" si="0"/>
        <v>143.52565217391293</v>
      </c>
      <c r="D30">
        <f t="shared" si="1"/>
        <v>4.0996711830973032E-2</v>
      </c>
      <c r="E30">
        <v>30</v>
      </c>
      <c r="G30">
        <f t="shared" si="2"/>
        <v>143.52565217391293</v>
      </c>
      <c r="H30">
        <f t="shared" si="3"/>
        <v>6.1666853153722917E-2</v>
      </c>
      <c r="I30">
        <v>30</v>
      </c>
      <c r="K30">
        <f t="shared" si="4"/>
        <v>122.23606060606065</v>
      </c>
      <c r="L30">
        <f t="shared" si="5"/>
        <v>3.7749228909676885E-3</v>
      </c>
      <c r="M30">
        <v>30</v>
      </c>
      <c r="O30">
        <f t="shared" si="6"/>
        <v>122.23606060606065</v>
      </c>
      <c r="P30">
        <f t="shared" si="7"/>
        <v>8.4460637025506283E-2</v>
      </c>
      <c r="Q30">
        <v>30</v>
      </c>
      <c r="S30">
        <f t="shared" si="8"/>
        <v>5.7667954714244102E-2</v>
      </c>
      <c r="T30">
        <f t="shared" si="9"/>
        <v>1.5165077773086712E-2</v>
      </c>
      <c r="U30">
        <v>30</v>
      </c>
      <c r="W30">
        <f t="shared" si="10"/>
        <v>5.5023852958405201E-2</v>
      </c>
      <c r="X30">
        <f t="shared" si="11"/>
        <v>9.6945323394191651E-2</v>
      </c>
    </row>
    <row r="31" spans="1:24" x14ac:dyDescent="0.35">
      <c r="A31">
        <v>31</v>
      </c>
      <c r="C31">
        <f t="shared" si="0"/>
        <v>145.9482608695651</v>
      </c>
      <c r="D31">
        <f t="shared" si="1"/>
        <v>4.127427309884673E-2</v>
      </c>
      <c r="E31">
        <v>31</v>
      </c>
      <c r="G31">
        <f t="shared" si="2"/>
        <v>145.9482608695651</v>
      </c>
      <c r="H31">
        <f t="shared" si="3"/>
        <v>6.303109935912965E-2</v>
      </c>
      <c r="I31">
        <v>31</v>
      </c>
      <c r="K31">
        <f t="shared" si="4"/>
        <v>123.92454545454549</v>
      </c>
      <c r="L31">
        <f t="shared" si="5"/>
        <v>4.2986583712745427E-3</v>
      </c>
      <c r="M31">
        <v>31</v>
      </c>
      <c r="O31">
        <f t="shared" si="6"/>
        <v>123.92454545454549</v>
      </c>
      <c r="P31">
        <f t="shared" si="7"/>
        <v>8.5081191602334294E-2</v>
      </c>
      <c r="Q31">
        <v>31</v>
      </c>
      <c r="S31">
        <f t="shared" si="8"/>
        <v>5.8609687910556305E-2</v>
      </c>
      <c r="T31">
        <f t="shared" si="9"/>
        <v>1.5882229728428766E-2</v>
      </c>
      <c r="U31">
        <v>31</v>
      </c>
      <c r="W31">
        <f t="shared" si="10"/>
        <v>5.6031688698613302E-2</v>
      </c>
      <c r="X31">
        <f t="shared" si="11"/>
        <v>9.8166103952621375E-2</v>
      </c>
    </row>
    <row r="32" spans="1:24" x14ac:dyDescent="0.35">
      <c r="A32">
        <v>32</v>
      </c>
      <c r="C32">
        <f t="shared" si="0"/>
        <v>148.37086956521728</v>
      </c>
      <c r="D32">
        <f t="shared" si="1"/>
        <v>4.1548698629054297E-2</v>
      </c>
      <c r="E32">
        <v>32</v>
      </c>
      <c r="G32">
        <f t="shared" si="2"/>
        <v>148.37086956521728</v>
      </c>
      <c r="H32">
        <f t="shared" si="3"/>
        <v>6.4398481302202534E-2</v>
      </c>
      <c r="I32">
        <v>32</v>
      </c>
      <c r="K32">
        <f t="shared" si="4"/>
        <v>125.61303030303034</v>
      </c>
      <c r="L32">
        <f t="shared" si="5"/>
        <v>4.8184754760888238E-3</v>
      </c>
      <c r="M32">
        <v>32</v>
      </c>
      <c r="O32">
        <f t="shared" si="6"/>
        <v>125.61303030303034</v>
      </c>
      <c r="P32">
        <f t="shared" si="7"/>
        <v>8.5705664554654851E-2</v>
      </c>
      <c r="Q32">
        <v>32</v>
      </c>
      <c r="S32">
        <f t="shared" si="8"/>
        <v>5.9551421106868507E-2</v>
      </c>
      <c r="T32">
        <f t="shared" si="9"/>
        <v>1.6590413792191394E-2</v>
      </c>
      <c r="U32">
        <v>32</v>
      </c>
      <c r="W32">
        <f t="shared" si="10"/>
        <v>5.7039524438821397E-2</v>
      </c>
      <c r="X32">
        <f t="shared" si="11"/>
        <v>9.9397595232498498E-2</v>
      </c>
    </row>
    <row r="33" spans="1:24" x14ac:dyDescent="0.35">
      <c r="A33">
        <v>33</v>
      </c>
      <c r="C33">
        <f t="shared" ref="C33:C64" si="12">73.27+(A33-1)*2.42260869565217</f>
        <v>150.79347826086945</v>
      </c>
      <c r="D33">
        <f t="shared" ref="D33:D64" si="13">0.0026979505471637+0.000338851147572238*C33-0.0399192775731823*(0.00763358778625954+(C33-102.561832061069)^2/28252.0091603053)^0.5</f>
        <v>4.182041774447174E-2</v>
      </c>
      <c r="E33">
        <v>33</v>
      </c>
      <c r="G33">
        <f t="shared" ref="G33:G64" si="14">73.27+(E33-1)*2.42260869565217</f>
        <v>150.79347826086945</v>
      </c>
      <c r="H33">
        <f t="shared" ref="H33:H64" si="15">0.0026979505471637+0.000338851147572238*G33+0.0399192775731823*(0.00763358778625954+(G33-102.561832061069)^2/28252.0091603053)^0.5</f>
        <v>6.5768569660065529E-2</v>
      </c>
      <c r="I33">
        <v>33</v>
      </c>
      <c r="K33">
        <f t="shared" ref="K33:K64" si="16">73.27+(I33-1)*1.68848484848485</f>
        <v>127.30151515151519</v>
      </c>
      <c r="L33">
        <f t="shared" ref="L33:L64" si="17">0.0026979505471637+0.000338851147572238*K33-0.0399192775731823*(1.00763358778626+(K33-102.561832061069)^2/28252.0091603053)^0.5</f>
        <v>5.3343893936548537E-3</v>
      </c>
      <c r="M33">
        <v>33</v>
      </c>
      <c r="O33">
        <f t="shared" ref="O33:O64" si="18">73.27+(M33-1)*1.68848484848485</f>
        <v>127.30151515151519</v>
      </c>
      <c r="P33">
        <f t="shared" ref="P33:P64" si="19">0.0026979505471637+0.000338851147572238*O33+0.0399192775731823*(1.00763358778626+(O33-102.561832061069)^2/28252.0091603053)^0.5</f>
        <v>8.6334040694223679E-2</v>
      </c>
      <c r="Q33">
        <v>33</v>
      </c>
      <c r="S33">
        <f t="shared" ref="S33:S64" si="20">0.0303576920211903+(Q33-1)*0.0009417331963122</f>
        <v>6.0493154303180703E-2</v>
      </c>
      <c r="T33">
        <f t="shared" ref="T33:T64" si="21">0+1*S33-0.0399192775731823*(1.00763358778626+(S33-0.0374511450381679)^2/0.00324389852294898)^0.5</f>
        <v>1.7289775400205779E-2</v>
      </c>
      <c r="U33">
        <v>33</v>
      </c>
      <c r="W33">
        <f t="shared" ref="W33:W64" si="22">0.0257966164923703+(U33-1)*0.0010078357402081</f>
        <v>5.8047360179029499E-2</v>
      </c>
      <c r="X33">
        <f t="shared" ref="X33:X64" si="23">0+1*W33+0.0399192775731823*(1.00763358778626+(W33-0.0374511450381679)^2/0.00324389852294898)^0.5</f>
        <v>0.10063962850549268</v>
      </c>
    </row>
    <row r="34" spans="1:24" x14ac:dyDescent="0.35">
      <c r="A34">
        <v>34</v>
      </c>
      <c r="C34">
        <f t="shared" si="12"/>
        <v>153.21608695652162</v>
      </c>
      <c r="D34">
        <f t="shared" si="13"/>
        <v>4.2089786427795511E-2</v>
      </c>
      <c r="E34">
        <v>34</v>
      </c>
      <c r="G34">
        <f t="shared" si="14"/>
        <v>153.21608695652162</v>
      </c>
      <c r="H34">
        <f t="shared" si="15"/>
        <v>6.7141008450022202E-2</v>
      </c>
      <c r="I34">
        <v>34</v>
      </c>
      <c r="K34">
        <f t="shared" si="16"/>
        <v>128.99000000000004</v>
      </c>
      <c r="L34">
        <f t="shared" si="17"/>
        <v>5.8464163577608072E-3</v>
      </c>
      <c r="M34">
        <v>34</v>
      </c>
      <c r="O34">
        <f t="shared" si="18"/>
        <v>128.99000000000004</v>
      </c>
      <c r="P34">
        <f t="shared" si="19"/>
        <v>8.6966303787252591E-2</v>
      </c>
      <c r="Q34">
        <v>34</v>
      </c>
      <c r="S34">
        <f t="shared" si="20"/>
        <v>6.1434887499492899E-2</v>
      </c>
      <c r="T34">
        <f t="shared" si="21"/>
        <v>1.79804621767218E-2</v>
      </c>
      <c r="U34">
        <v>34</v>
      </c>
      <c r="W34">
        <f t="shared" si="22"/>
        <v>5.9055195919237601E-2</v>
      </c>
      <c r="X34">
        <f t="shared" si="23"/>
        <v>0.10189203086640686</v>
      </c>
    </row>
    <row r="35" spans="1:24" x14ac:dyDescent="0.35">
      <c r="A35">
        <v>35</v>
      </c>
      <c r="C35">
        <f t="shared" si="12"/>
        <v>155.63869565217379</v>
      </c>
      <c r="D35">
        <f t="shared" si="13"/>
        <v>4.2357102020844341E-2</v>
      </c>
      <c r="E35">
        <v>35</v>
      </c>
      <c r="G35">
        <f t="shared" si="14"/>
        <v>155.63869565217379</v>
      </c>
      <c r="H35">
        <f t="shared" si="15"/>
        <v>6.8515500330253831E-2</v>
      </c>
      <c r="I35">
        <v>35</v>
      </c>
      <c r="K35">
        <f t="shared" si="16"/>
        <v>130.67848484848491</v>
      </c>
      <c r="L35">
        <f t="shared" si="17"/>
        <v>6.3545736249394982E-3</v>
      </c>
      <c r="M35">
        <v>35</v>
      </c>
      <c r="O35">
        <f t="shared" si="18"/>
        <v>130.67848484848491</v>
      </c>
      <c r="P35">
        <f t="shared" si="19"/>
        <v>8.7602436577208759E-2</v>
      </c>
      <c r="Q35">
        <v>35</v>
      </c>
      <c r="S35">
        <f t="shared" si="20"/>
        <v>6.2376620695805102E-2</v>
      </c>
      <c r="T35">
        <f t="shared" si="21"/>
        <v>1.8662623578330741E-2</v>
      </c>
      <c r="U35">
        <v>35</v>
      </c>
      <c r="W35">
        <f t="shared" si="22"/>
        <v>6.0063031659445702E-2</v>
      </c>
      <c r="X35">
        <f t="shared" si="23"/>
        <v>0.10315462576612625</v>
      </c>
    </row>
    <row r="36" spans="1:24" x14ac:dyDescent="0.35">
      <c r="A36">
        <v>36</v>
      </c>
      <c r="C36">
        <f t="shared" si="12"/>
        <v>158.06130434782594</v>
      </c>
      <c r="D36">
        <f t="shared" si="13"/>
        <v>4.2622614598461291E-2</v>
      </c>
      <c r="E36">
        <v>36</v>
      </c>
      <c r="G36">
        <f t="shared" si="14"/>
        <v>158.06130434782594</v>
      </c>
      <c r="H36">
        <f t="shared" si="15"/>
        <v>6.9891795225917291E-2</v>
      </c>
      <c r="I36">
        <v>36</v>
      </c>
      <c r="K36">
        <f t="shared" si="16"/>
        <v>132.36696969696976</v>
      </c>
      <c r="L36">
        <f t="shared" si="17"/>
        <v>6.858879450468397E-3</v>
      </c>
      <c r="M36">
        <v>36</v>
      </c>
      <c r="O36">
        <f t="shared" si="18"/>
        <v>132.36696969696976</v>
      </c>
      <c r="P36">
        <f t="shared" si="19"/>
        <v>8.8242420808814712E-2</v>
      </c>
      <c r="Q36">
        <v>36</v>
      </c>
      <c r="S36">
        <f t="shared" si="20"/>
        <v>6.3318353892117304E-2</v>
      </c>
      <c r="T36">
        <f t="shared" si="21"/>
        <v>1.9336410549458859E-2</v>
      </c>
      <c r="U36">
        <v>36</v>
      </c>
      <c r="W36">
        <f t="shared" si="22"/>
        <v>6.1070867399653797E-2</v>
      </c>
      <c r="X36">
        <f t="shared" si="23"/>
        <v>0.1044272335329576</v>
      </c>
    </row>
    <row r="37" spans="1:24" x14ac:dyDescent="0.35">
      <c r="A37">
        <v>37</v>
      </c>
      <c r="C37">
        <f t="shared" si="12"/>
        <v>160.48391304347811</v>
      </c>
      <c r="D37">
        <f t="shared" si="13"/>
        <v>4.2886535843602719E-2</v>
      </c>
      <c r="E37">
        <v>37</v>
      </c>
      <c r="G37">
        <f t="shared" si="14"/>
        <v>160.48391304347811</v>
      </c>
      <c r="H37">
        <f t="shared" si="15"/>
        <v>7.1269681454056308E-2</v>
      </c>
      <c r="I37">
        <v>37</v>
      </c>
      <c r="K37">
        <f t="shared" si="16"/>
        <v>134.05545454545461</v>
      </c>
      <c r="L37">
        <f t="shared" si="17"/>
        <v>7.3593530632440757E-3</v>
      </c>
      <c r="M37">
        <v>37</v>
      </c>
      <c r="O37">
        <f t="shared" si="18"/>
        <v>134.05545454545461</v>
      </c>
      <c r="P37">
        <f t="shared" si="19"/>
        <v>8.8886237253173891E-2</v>
      </c>
      <c r="Q37">
        <v>37</v>
      </c>
      <c r="S37">
        <f t="shared" si="20"/>
        <v>6.4260087088429507E-2</v>
      </c>
      <c r="T37">
        <f t="shared" si="21"/>
        <v>2.0001975190574298E-2</v>
      </c>
      <c r="U37">
        <v>37</v>
      </c>
      <c r="W37">
        <f t="shared" si="22"/>
        <v>6.2078703139861899E-2</v>
      </c>
      <c r="X37">
        <f t="shared" si="23"/>
        <v>0.10570967187975566</v>
      </c>
    </row>
    <row r="38" spans="1:24" x14ac:dyDescent="0.35">
      <c r="A38">
        <v>38</v>
      </c>
      <c r="C38">
        <f t="shared" si="12"/>
        <v>162.90652173913028</v>
      </c>
      <c r="D38">
        <f t="shared" si="13"/>
        <v>4.3149046029000604E-2</v>
      </c>
      <c r="E38">
        <v>38</v>
      </c>
      <c r="G38">
        <f t="shared" si="14"/>
        <v>162.90652173913028</v>
      </c>
      <c r="H38">
        <f t="shared" si="15"/>
        <v>7.2648978741938861E-2</v>
      </c>
      <c r="I38">
        <v>38</v>
      </c>
      <c r="K38">
        <f t="shared" si="16"/>
        <v>135.74393939393946</v>
      </c>
      <c r="L38">
        <f t="shared" si="17"/>
        <v>7.8560146396087147E-3</v>
      </c>
      <c r="M38">
        <v>38</v>
      </c>
      <c r="O38">
        <f t="shared" si="18"/>
        <v>135.74393939393946</v>
      </c>
      <c r="P38">
        <f t="shared" si="19"/>
        <v>8.9533865733944118E-2</v>
      </c>
      <c r="Q38">
        <v>38</v>
      </c>
      <c r="S38">
        <f t="shared" si="20"/>
        <v>6.520182028474171E-2</v>
      </c>
      <c r="T38">
        <f t="shared" si="21"/>
        <v>2.0659470440067794E-2</v>
      </c>
      <c r="U38">
        <v>38</v>
      </c>
      <c r="W38">
        <f t="shared" si="22"/>
        <v>6.3086538880070001E-2</v>
      </c>
      <c r="X38">
        <f t="shared" si="23"/>
        <v>0.10700175639455332</v>
      </c>
    </row>
    <row r="39" spans="1:24" x14ac:dyDescent="0.35">
      <c r="A39">
        <v>39</v>
      </c>
      <c r="C39">
        <f t="shared" si="12"/>
        <v>165.32913043478246</v>
      </c>
      <c r="D39">
        <f t="shared" si="13"/>
        <v>4.3410299552255553E-2</v>
      </c>
      <c r="E39">
        <v>39</v>
      </c>
      <c r="G39">
        <f t="shared" si="14"/>
        <v>165.32913043478246</v>
      </c>
      <c r="H39">
        <f t="shared" si="15"/>
        <v>7.402953269196437E-2</v>
      </c>
      <c r="I39">
        <v>39</v>
      </c>
      <c r="K39">
        <f t="shared" si="16"/>
        <v>137.4324242424243</v>
      </c>
      <c r="L39">
        <f t="shared" si="17"/>
        <v>8.3488852762084106E-3</v>
      </c>
      <c r="M39">
        <v>39</v>
      </c>
      <c r="O39">
        <f t="shared" si="18"/>
        <v>137.4324242424243</v>
      </c>
      <c r="P39">
        <f t="shared" si="19"/>
        <v>9.0185285154479267E-2</v>
      </c>
      <c r="Q39">
        <v>39</v>
      </c>
      <c r="S39">
        <f t="shared" si="20"/>
        <v>6.6143553481053899E-2</v>
      </c>
      <c r="T39">
        <f t="shared" si="21"/>
        <v>2.130904977059038E-2</v>
      </c>
      <c r="U39">
        <v>39</v>
      </c>
      <c r="W39">
        <f t="shared" si="22"/>
        <v>6.4094374620278088E-2</v>
      </c>
      <c r="X39">
        <f t="shared" si="23"/>
        <v>0.10830330101273283</v>
      </c>
    </row>
    <row r="40" spans="1:24" x14ac:dyDescent="0.35">
      <c r="A40">
        <v>40</v>
      </c>
      <c r="C40">
        <f t="shared" si="12"/>
        <v>167.75173913043463</v>
      </c>
      <c r="D40">
        <f t="shared" si="13"/>
        <v>4.3670429356843135E-2</v>
      </c>
      <c r="E40">
        <v>40</v>
      </c>
      <c r="G40">
        <f t="shared" si="14"/>
        <v>167.75173913043463</v>
      </c>
      <c r="H40">
        <f t="shared" si="15"/>
        <v>7.5411210360657219E-2</v>
      </c>
      <c r="I40">
        <v>40</v>
      </c>
      <c r="K40">
        <f t="shared" si="16"/>
        <v>139.12090909090915</v>
      </c>
      <c r="L40">
        <f t="shared" si="17"/>
        <v>8.8379869619639867E-3</v>
      </c>
      <c r="M40">
        <v>40</v>
      </c>
      <c r="O40">
        <f t="shared" si="18"/>
        <v>139.12090909090915</v>
      </c>
      <c r="P40">
        <f t="shared" si="19"/>
        <v>9.0840473525858542E-2</v>
      </c>
      <c r="Q40">
        <v>40</v>
      </c>
      <c r="S40">
        <f t="shared" si="20"/>
        <v>6.7085286677366102E-2</v>
      </c>
      <c r="T40">
        <f t="shared" si="21"/>
        <v>2.195086690046185E-2</v>
      </c>
      <c r="U40">
        <v>40</v>
      </c>
      <c r="W40">
        <f t="shared" si="22"/>
        <v>6.510221036048619E-2</v>
      </c>
      <c r="X40">
        <f t="shared" si="23"/>
        <v>0.10961411846909108</v>
      </c>
    </row>
    <row r="41" spans="1:24" x14ac:dyDescent="0.35">
      <c r="A41">
        <v>41</v>
      </c>
      <c r="C41">
        <f t="shared" si="12"/>
        <v>170.17434782608677</v>
      </c>
      <c r="D41">
        <f t="shared" si="13"/>
        <v>4.3929550488398347E-2</v>
      </c>
      <c r="E41">
        <v>41</v>
      </c>
      <c r="G41">
        <f t="shared" si="14"/>
        <v>170.17434782608677</v>
      </c>
      <c r="H41">
        <f t="shared" si="15"/>
        <v>7.679389670238243E-2</v>
      </c>
      <c r="I41">
        <v>41</v>
      </c>
      <c r="K41">
        <f t="shared" si="16"/>
        <v>140.809393939394</v>
      </c>
      <c r="L41">
        <f t="shared" si="17"/>
        <v>9.3233425492367933E-3</v>
      </c>
      <c r="M41">
        <v>41</v>
      </c>
      <c r="O41">
        <f t="shared" si="18"/>
        <v>140.809393939394</v>
      </c>
      <c r="P41">
        <f t="shared" si="19"/>
        <v>9.1499407995720594E-2</v>
      </c>
      <c r="Q41">
        <v>41</v>
      </c>
      <c r="S41">
        <f t="shared" si="20"/>
        <v>6.8027019873678304E-2</v>
      </c>
      <c r="T41">
        <f t="shared" si="21"/>
        <v>2.2585075520602495E-2</v>
      </c>
      <c r="U41">
        <v>41</v>
      </c>
      <c r="W41">
        <f t="shared" si="22"/>
        <v>6.6110046100694292E-2</v>
      </c>
      <c r="X41">
        <f t="shared" si="23"/>
        <v>0.11093402072846009</v>
      </c>
    </row>
    <row r="42" spans="1:24" x14ac:dyDescent="0.35">
      <c r="A42">
        <v>42</v>
      </c>
      <c r="C42">
        <f t="shared" si="12"/>
        <v>172.59695652173895</v>
      </c>
      <c r="D42">
        <f t="shared" si="13"/>
        <v>4.4187762974779769E-2</v>
      </c>
      <c r="E42">
        <v>42</v>
      </c>
      <c r="G42">
        <f t="shared" si="14"/>
        <v>172.59695652173895</v>
      </c>
      <c r="H42">
        <f t="shared" si="15"/>
        <v>7.8177491689281453E-2</v>
      </c>
      <c r="I42">
        <v>42</v>
      </c>
      <c r="K42">
        <f t="shared" si="16"/>
        <v>142.49787878787885</v>
      </c>
      <c r="L42">
        <f t="shared" si="17"/>
        <v>9.8049757242719693E-3</v>
      </c>
      <c r="M42">
        <v>42</v>
      </c>
      <c r="O42">
        <f t="shared" si="18"/>
        <v>142.49787878787885</v>
      </c>
      <c r="P42">
        <f t="shared" si="19"/>
        <v>9.2162064877820263E-2</v>
      </c>
      <c r="Q42">
        <v>42</v>
      </c>
      <c r="S42">
        <f t="shared" si="20"/>
        <v>6.8968753069990507E-2</v>
      </c>
      <c r="T42">
        <f t="shared" si="21"/>
        <v>2.3211829037290646E-2</v>
      </c>
      <c r="U42">
        <v>42</v>
      </c>
      <c r="W42">
        <f t="shared" si="22"/>
        <v>6.7117881840902394E-2</v>
      </c>
      <c r="X42">
        <f t="shared" si="23"/>
        <v>0.11226281939383964</v>
      </c>
    </row>
    <row r="43" spans="1:24" x14ac:dyDescent="0.35">
      <c r="A43">
        <v>43</v>
      </c>
      <c r="C43">
        <f t="shared" si="12"/>
        <v>175.01956521739112</v>
      </c>
      <c r="D43">
        <f t="shared" si="13"/>
        <v>4.4445154173506848E-2</v>
      </c>
      <c r="E43">
        <v>43</v>
      </c>
      <c r="G43">
        <f t="shared" si="14"/>
        <v>175.01956521739112</v>
      </c>
      <c r="H43">
        <f t="shared" si="15"/>
        <v>7.9561907963834819E-2</v>
      </c>
      <c r="I43">
        <v>43</v>
      </c>
      <c r="K43">
        <f t="shared" si="16"/>
        <v>144.18636363636369</v>
      </c>
      <c r="L43">
        <f t="shared" si="17"/>
        <v>1.0282910977002659E-2</v>
      </c>
      <c r="M43">
        <v>43</v>
      </c>
      <c r="O43">
        <f t="shared" si="18"/>
        <v>144.18636363636369</v>
      </c>
      <c r="P43">
        <f t="shared" si="19"/>
        <v>9.2828419682224439E-2</v>
      </c>
      <c r="Q43">
        <v>43</v>
      </c>
      <c r="S43">
        <f t="shared" si="20"/>
        <v>6.991048626630271E-2</v>
      </c>
      <c r="T43">
        <f t="shared" si="21"/>
        <v>2.383128033090829E-2</v>
      </c>
      <c r="U43">
        <v>43</v>
      </c>
      <c r="W43">
        <f t="shared" si="22"/>
        <v>6.8125717581110495E-2</v>
      </c>
      <c r="X43">
        <f t="shared" si="23"/>
        <v>0.11360032609127713</v>
      </c>
    </row>
    <row r="44" spans="1:24" x14ac:dyDescent="0.35">
      <c r="A44">
        <v>44</v>
      </c>
      <c r="C44">
        <f t="shared" si="12"/>
        <v>177.44217391304329</v>
      </c>
      <c r="D44">
        <f t="shared" si="13"/>
        <v>4.4701800696772272E-2</v>
      </c>
      <c r="E44">
        <v>44</v>
      </c>
      <c r="G44">
        <f t="shared" si="14"/>
        <v>177.44217391304329</v>
      </c>
      <c r="H44">
        <f t="shared" si="15"/>
        <v>8.094706891384984E-2</v>
      </c>
      <c r="I44">
        <v>44</v>
      </c>
      <c r="K44">
        <f t="shared" si="16"/>
        <v>145.87484848484854</v>
      </c>
      <c r="L44">
        <f t="shared" si="17"/>
        <v>1.075717357029779E-2</v>
      </c>
      <c r="M44">
        <v>44</v>
      </c>
      <c r="O44">
        <f t="shared" si="18"/>
        <v>145.87484848484854</v>
      </c>
      <c r="P44">
        <f t="shared" si="19"/>
        <v>9.3498447146064159E-2</v>
      </c>
      <c r="Q44">
        <v>44</v>
      </c>
      <c r="S44">
        <f t="shared" si="20"/>
        <v>7.0852219462614899E-2</v>
      </c>
      <c r="T44">
        <f t="shared" si="21"/>
        <v>2.4443581530709337E-2</v>
      </c>
      <c r="U44">
        <v>44</v>
      </c>
      <c r="W44">
        <f t="shared" si="22"/>
        <v>6.9133553321318597E-2</v>
      </c>
      <c r="X44">
        <f t="shared" si="23"/>
        <v>0.11494635283099205</v>
      </c>
    </row>
    <row r="45" spans="1:24" x14ac:dyDescent="0.35">
      <c r="A45">
        <v>45</v>
      </c>
      <c r="C45">
        <f t="shared" si="12"/>
        <v>179.86478260869546</v>
      </c>
      <c r="D45">
        <f t="shared" si="13"/>
        <v>4.4957769999217072E-2</v>
      </c>
      <c r="E45">
        <v>45</v>
      </c>
      <c r="G45">
        <f t="shared" si="14"/>
        <v>179.86478260869546</v>
      </c>
      <c r="H45">
        <f t="shared" si="15"/>
        <v>8.2332907084685464E-2</v>
      </c>
      <c r="I45">
        <v>45</v>
      </c>
      <c r="K45">
        <f t="shared" si="16"/>
        <v>147.56333333333339</v>
      </c>
      <c r="L45">
        <f t="shared" si="17"/>
        <v>1.1227789508736256E-2</v>
      </c>
      <c r="M45">
        <v>45</v>
      </c>
      <c r="O45">
        <f t="shared" si="18"/>
        <v>147.56333333333339</v>
      </c>
      <c r="P45">
        <f t="shared" si="19"/>
        <v>9.4172121264760544E-2</v>
      </c>
      <c r="Q45">
        <v>45</v>
      </c>
      <c r="S45">
        <f t="shared" si="20"/>
        <v>7.1793952658927102E-2</v>
      </c>
      <c r="T45">
        <f t="shared" si="21"/>
        <v>2.5048883805529144E-2</v>
      </c>
      <c r="U45">
        <v>45</v>
      </c>
      <c r="W45">
        <f t="shared" si="22"/>
        <v>7.0141389061526699E-2</v>
      </c>
      <c r="X45">
        <f t="shared" si="23"/>
        <v>0.11630071234448286</v>
      </c>
    </row>
    <row r="46" spans="1:24" x14ac:dyDescent="0.35">
      <c r="A46">
        <v>46</v>
      </c>
      <c r="C46">
        <f t="shared" si="12"/>
        <v>182.28739130434764</v>
      </c>
      <c r="D46">
        <f t="shared" si="13"/>
        <v>4.5213121694777668E-2</v>
      </c>
      <c r="E46">
        <v>46</v>
      </c>
      <c r="G46">
        <f t="shared" si="14"/>
        <v>182.28739130434764</v>
      </c>
      <c r="H46">
        <f t="shared" si="15"/>
        <v>8.3719362862405305E-2</v>
      </c>
      <c r="I46">
        <v>46</v>
      </c>
      <c r="K46">
        <f t="shared" si="16"/>
        <v>149.25181818181824</v>
      </c>
      <c r="L46">
        <f t="shared" si="17"/>
        <v>1.1694785506989172E-2</v>
      </c>
      <c r="M46">
        <v>46</v>
      </c>
      <c r="O46">
        <f t="shared" si="18"/>
        <v>149.25181818181824</v>
      </c>
      <c r="P46">
        <f t="shared" si="19"/>
        <v>9.484941532364248E-2</v>
      </c>
      <c r="Q46">
        <v>46</v>
      </c>
      <c r="S46">
        <f t="shared" si="20"/>
        <v>7.2735685855239304E-2</v>
      </c>
      <c r="T46">
        <f t="shared" si="21"/>
        <v>2.5647337170250133E-2</v>
      </c>
      <c r="U46">
        <v>46</v>
      </c>
      <c r="W46">
        <f t="shared" si="22"/>
        <v>7.1149224801734801E-2</v>
      </c>
      <c r="X46">
        <f t="shared" si="23"/>
        <v>0.11766321839757307</v>
      </c>
    </row>
    <row r="47" spans="1:24" x14ac:dyDescent="0.35">
      <c r="A47">
        <v>47</v>
      </c>
      <c r="C47">
        <f t="shared" si="12"/>
        <v>184.70999999999981</v>
      </c>
      <c r="D47">
        <f t="shared" si="13"/>
        <v>4.5467908654565348E-2</v>
      </c>
      <c r="E47">
        <v>47</v>
      </c>
      <c r="G47">
        <f t="shared" si="14"/>
        <v>184.70999999999981</v>
      </c>
      <c r="H47">
        <f t="shared" si="15"/>
        <v>8.510638337589807E-2</v>
      </c>
      <c r="I47">
        <v>47</v>
      </c>
      <c r="K47">
        <f t="shared" si="16"/>
        <v>150.94030303030308</v>
      </c>
      <c r="L47">
        <f t="shared" si="17"/>
        <v>1.2158188957890531E-2</v>
      </c>
      <c r="M47">
        <v>47</v>
      </c>
      <c r="O47">
        <f t="shared" si="18"/>
        <v>150.94030303030308</v>
      </c>
      <c r="P47">
        <f t="shared" si="19"/>
        <v>9.553030192987598E-2</v>
      </c>
      <c r="Q47">
        <v>47</v>
      </c>
      <c r="S47">
        <f t="shared" si="20"/>
        <v>7.3677419051551507E-2</v>
      </c>
      <c r="T47">
        <f t="shared" si="21"/>
        <v>2.6239090307746453E-2</v>
      </c>
      <c r="U47">
        <v>47</v>
      </c>
      <c r="W47">
        <f t="shared" si="22"/>
        <v>7.2157060541942902E-2</v>
      </c>
      <c r="X47">
        <f t="shared" si="23"/>
        <v>0.11903368607955188</v>
      </c>
    </row>
    <row r="48" spans="1:24" x14ac:dyDescent="0.35">
      <c r="A48">
        <v>48</v>
      </c>
      <c r="C48">
        <f t="shared" si="12"/>
        <v>187.13260869565198</v>
      </c>
      <c r="D48">
        <f t="shared" si="13"/>
        <v>4.5722177926755835E-2</v>
      </c>
      <c r="E48">
        <v>48</v>
      </c>
      <c r="G48">
        <f t="shared" si="14"/>
        <v>187.13260869565198</v>
      </c>
      <c r="H48">
        <f t="shared" si="15"/>
        <v>8.6493921576988014E-2</v>
      </c>
      <c r="I48">
        <v>48</v>
      </c>
      <c r="K48">
        <f t="shared" si="16"/>
        <v>152.62878787878793</v>
      </c>
      <c r="L48">
        <f t="shared" si="17"/>
        <v>1.2618027900275691E-2</v>
      </c>
      <c r="M48">
        <v>48</v>
      </c>
      <c r="O48">
        <f t="shared" si="18"/>
        <v>152.62878787878793</v>
      </c>
      <c r="P48">
        <f t="shared" si="19"/>
        <v>9.6214753044625664E-2</v>
      </c>
      <c r="Q48">
        <v>48</v>
      </c>
      <c r="S48">
        <f t="shared" si="20"/>
        <v>7.461915224786371E-2</v>
      </c>
      <c r="T48">
        <f t="shared" si="21"/>
        <v>2.6824290405951093E-2</v>
      </c>
      <c r="U48">
        <v>48</v>
      </c>
      <c r="W48">
        <f t="shared" si="22"/>
        <v>7.3164896282151004E-2</v>
      </c>
      <c r="X48">
        <f t="shared" si="23"/>
        <v>0.12041193206873815</v>
      </c>
    </row>
    <row r="49" spans="1:24" x14ac:dyDescent="0.35">
      <c r="A49">
        <v>49</v>
      </c>
      <c r="C49">
        <f t="shared" si="12"/>
        <v>189.55521739130415</v>
      </c>
      <c r="D49">
        <f t="shared" si="13"/>
        <v>4.5975971511004458E-2</v>
      </c>
      <c r="E49">
        <v>49</v>
      </c>
      <c r="G49">
        <f t="shared" si="14"/>
        <v>189.55521739130415</v>
      </c>
      <c r="H49">
        <f t="shared" si="15"/>
        <v>8.7881935466019828E-2</v>
      </c>
      <c r="I49">
        <v>49</v>
      </c>
      <c r="K49">
        <f t="shared" si="16"/>
        <v>154.31727272727278</v>
      </c>
      <c r="L49">
        <f t="shared" si="17"/>
        <v>1.3074330986664884E-2</v>
      </c>
      <c r="M49">
        <v>49</v>
      </c>
      <c r="O49">
        <f t="shared" si="18"/>
        <v>154.31727272727278</v>
      </c>
      <c r="P49">
        <f t="shared" si="19"/>
        <v>9.690274001537133E-2</v>
      </c>
      <c r="Q49">
        <v>49</v>
      </c>
      <c r="S49">
        <f t="shared" si="20"/>
        <v>7.5560885444175899E-2</v>
      </c>
      <c r="T49">
        <f t="shared" si="21"/>
        <v>2.7403083009620154E-2</v>
      </c>
      <c r="U49">
        <v>49</v>
      </c>
      <c r="W49">
        <f t="shared" si="22"/>
        <v>7.4172732022359106E-2</v>
      </c>
      <c r="X49">
        <f t="shared" si="23"/>
        <v>0.12179777487495069</v>
      </c>
    </row>
    <row r="50" spans="1:24" x14ac:dyDescent="0.35">
      <c r="A50">
        <v>50</v>
      </c>
      <c r="C50">
        <f t="shared" si="12"/>
        <v>191.97782608695633</v>
      </c>
      <c r="D50">
        <f t="shared" si="13"/>
        <v>4.622932701333992E-2</v>
      </c>
      <c r="E50">
        <v>50</v>
      </c>
      <c r="G50">
        <f t="shared" si="14"/>
        <v>191.97782608695633</v>
      </c>
      <c r="H50">
        <f t="shared" si="15"/>
        <v>8.9270387436964832E-2</v>
      </c>
      <c r="I50">
        <v>50</v>
      </c>
      <c r="K50">
        <f t="shared" si="16"/>
        <v>156.00575757575763</v>
      </c>
      <c r="L50">
        <f t="shared" si="17"/>
        <v>1.3527127450866809E-2</v>
      </c>
      <c r="M50">
        <v>50</v>
      </c>
      <c r="O50">
        <f t="shared" si="18"/>
        <v>156.00575757575763</v>
      </c>
      <c r="P50">
        <f t="shared" si="19"/>
        <v>9.7594233608304271E-2</v>
      </c>
      <c r="Q50">
        <v>50</v>
      </c>
      <c r="S50">
        <f t="shared" si="20"/>
        <v>7.6502618640488101E-2</v>
      </c>
      <c r="T50">
        <f t="shared" si="21"/>
        <v>2.7975611886311653E-2</v>
      </c>
      <c r="U50">
        <v>50</v>
      </c>
      <c r="W50">
        <f t="shared" si="22"/>
        <v>7.5180567762567208E-2</v>
      </c>
      <c r="X50">
        <f t="shared" si="23"/>
        <v>0.12319103505949763</v>
      </c>
    </row>
    <row r="51" spans="1:24" x14ac:dyDescent="0.35">
      <c r="A51">
        <v>51</v>
      </c>
      <c r="C51">
        <f t="shared" si="12"/>
        <v>194.4004347826085</v>
      </c>
      <c r="D51">
        <f t="shared" si="13"/>
        <v>4.6482278202368527E-2</v>
      </c>
      <c r="E51">
        <v>51</v>
      </c>
      <c r="G51">
        <f t="shared" si="14"/>
        <v>194.4004347826085</v>
      </c>
      <c r="H51">
        <f t="shared" si="15"/>
        <v>9.065924372121667E-2</v>
      </c>
      <c r="I51">
        <v>51</v>
      </c>
      <c r="K51">
        <f t="shared" si="16"/>
        <v>157.6942424242425</v>
      </c>
      <c r="L51">
        <f t="shared" si="17"/>
        <v>1.3976447075575639E-2</v>
      </c>
      <c r="M51">
        <v>51</v>
      </c>
      <c r="O51">
        <f t="shared" si="18"/>
        <v>157.6942424242425</v>
      </c>
      <c r="P51">
        <f t="shared" si="19"/>
        <v>9.8289204040730299E-2</v>
      </c>
      <c r="Q51">
        <v>51</v>
      </c>
      <c r="S51">
        <f t="shared" si="20"/>
        <v>7.7444351836800304E-2</v>
      </c>
      <c r="T51">
        <f t="shared" si="21"/>
        <v>2.854201890604878E-2</v>
      </c>
      <c r="U51">
        <v>51</v>
      </c>
      <c r="W51">
        <f t="shared" si="22"/>
        <v>7.6188403502775309E-2</v>
      </c>
      <c r="X51">
        <f t="shared" si="23"/>
        <v>0.12459153543340941</v>
      </c>
    </row>
    <row r="52" spans="1:24" x14ac:dyDescent="0.35">
      <c r="A52">
        <v>52</v>
      </c>
      <c r="C52">
        <f t="shared" si="12"/>
        <v>196.82304347826067</v>
      </c>
      <c r="D52">
        <f t="shared" si="13"/>
        <v>4.6734855483601005E-2</v>
      </c>
      <c r="E52">
        <v>52</v>
      </c>
      <c r="G52">
        <f t="shared" si="14"/>
        <v>196.82304347826067</v>
      </c>
      <c r="H52">
        <f t="shared" si="15"/>
        <v>9.2048473913264622E-2</v>
      </c>
      <c r="I52">
        <v>52</v>
      </c>
      <c r="K52">
        <f t="shared" si="16"/>
        <v>159.38272727272735</v>
      </c>
      <c r="L52">
        <f t="shared" si="17"/>
        <v>1.4422320160031664E-2</v>
      </c>
      <c r="M52">
        <v>52</v>
      </c>
      <c r="O52">
        <f t="shared" si="18"/>
        <v>159.38272727272735</v>
      </c>
      <c r="P52">
        <f t="shared" si="19"/>
        <v>9.8987621013409133E-2</v>
      </c>
      <c r="Q52">
        <v>52</v>
      </c>
      <c r="S52">
        <f t="shared" si="20"/>
        <v>7.8386085033112507E-2</v>
      </c>
      <c r="T52">
        <f t="shared" si="21"/>
        <v>2.9102443934100393E-2</v>
      </c>
      <c r="U52">
        <v>52</v>
      </c>
      <c r="W52">
        <f t="shared" si="22"/>
        <v>7.7196239242983397E-2</v>
      </c>
      <c r="X52">
        <f t="shared" si="23"/>
        <v>0.12599910123472952</v>
      </c>
    </row>
    <row r="53" spans="1:24" x14ac:dyDescent="0.35">
      <c r="A53">
        <v>53</v>
      </c>
      <c r="C53">
        <f t="shared" si="12"/>
        <v>199.24565217391284</v>
      </c>
      <c r="D53">
        <f t="shared" si="13"/>
        <v>4.6987086305539716E-2</v>
      </c>
      <c r="E53">
        <v>53</v>
      </c>
      <c r="G53">
        <f t="shared" si="14"/>
        <v>199.24565217391284</v>
      </c>
      <c r="H53">
        <f t="shared" si="15"/>
        <v>9.3438050564606356E-2</v>
      </c>
      <c r="I53">
        <v>53</v>
      </c>
      <c r="K53">
        <f t="shared" si="16"/>
        <v>161.0712121212122</v>
      </c>
      <c r="L53">
        <f t="shared" si="17"/>
        <v>1.4864777487813417E-2</v>
      </c>
      <c r="M53">
        <v>53</v>
      </c>
      <c r="O53">
        <f t="shared" si="18"/>
        <v>161.0712121212122</v>
      </c>
      <c r="P53">
        <f t="shared" si="19"/>
        <v>9.9689453742762224E-2</v>
      </c>
      <c r="Q53">
        <v>53</v>
      </c>
      <c r="S53">
        <f t="shared" si="20"/>
        <v>7.932781822942471E-2</v>
      </c>
      <c r="T53">
        <f t="shared" si="21"/>
        <v>2.9657024736282248E-2</v>
      </c>
      <c r="U53">
        <v>53</v>
      </c>
      <c r="W53">
        <f t="shared" si="22"/>
        <v>7.8204074983191499E-2</v>
      </c>
      <c r="X53">
        <f t="shared" si="23"/>
        <v>0.12741356028575049</v>
      </c>
    </row>
    <row r="54" spans="1:24" x14ac:dyDescent="0.35">
      <c r="A54">
        <v>54</v>
      </c>
      <c r="C54">
        <f t="shared" si="12"/>
        <v>201.66826086956502</v>
      </c>
      <c r="D54">
        <f t="shared" si="13"/>
        <v>4.7238995508644438E-2</v>
      </c>
      <c r="E54">
        <v>54</v>
      </c>
      <c r="G54">
        <f t="shared" si="14"/>
        <v>201.66826086956502</v>
      </c>
      <c r="H54">
        <f t="shared" si="15"/>
        <v>9.4827948834782072E-2</v>
      </c>
      <c r="I54">
        <v>54</v>
      </c>
      <c r="K54">
        <f t="shared" si="16"/>
        <v>162.75969696969705</v>
      </c>
      <c r="L54">
        <f t="shared" si="17"/>
        <v>1.5303850294825998E-2</v>
      </c>
      <c r="M54">
        <v>54</v>
      </c>
      <c r="O54">
        <f t="shared" si="18"/>
        <v>162.75969696969705</v>
      </c>
      <c r="P54">
        <f t="shared" si="19"/>
        <v>0.10039467099288452</v>
      </c>
      <c r="Q54">
        <v>54</v>
      </c>
      <c r="S54">
        <f t="shared" si="20"/>
        <v>8.0269551425736899E-2</v>
      </c>
      <c r="T54">
        <f t="shared" si="21"/>
        <v>3.0205896896162612E-2</v>
      </c>
      <c r="U54">
        <v>54</v>
      </c>
      <c r="W54">
        <f t="shared" si="22"/>
        <v>7.9211910723399601E-2</v>
      </c>
      <c r="X54">
        <f t="shared" si="23"/>
        <v>0.12883474313113732</v>
      </c>
    </row>
    <row r="55" spans="1:24" x14ac:dyDescent="0.35">
      <c r="A55">
        <v>55</v>
      </c>
      <c r="C55">
        <f t="shared" si="12"/>
        <v>204.09086956521719</v>
      </c>
      <c r="D55">
        <f t="shared" si="13"/>
        <v>4.7490605626283974E-2</v>
      </c>
      <c r="E55">
        <v>55</v>
      </c>
      <c r="G55">
        <f t="shared" si="14"/>
        <v>204.09086956521719</v>
      </c>
      <c r="H55">
        <f t="shared" si="15"/>
        <v>9.6218146190422973E-2</v>
      </c>
      <c r="I55">
        <v>55</v>
      </c>
      <c r="K55">
        <f t="shared" si="16"/>
        <v>164.44818181818189</v>
      </c>
      <c r="L55">
        <f t="shared" si="17"/>
        <v>1.5739570237547587E-2</v>
      </c>
      <c r="M55">
        <v>55</v>
      </c>
      <c r="O55">
        <f t="shared" si="18"/>
        <v>164.44818181818189</v>
      </c>
      <c r="P55">
        <f t="shared" si="19"/>
        <v>0.10110324110729778</v>
      </c>
      <c r="Q55">
        <v>55</v>
      </c>
      <c r="S55">
        <f t="shared" si="20"/>
        <v>8.1211284622049101E-2</v>
      </c>
      <c r="T55">
        <f t="shared" si="21"/>
        <v>3.074919374354191E-2</v>
      </c>
      <c r="U55">
        <v>55</v>
      </c>
      <c r="W55">
        <f t="shared" si="22"/>
        <v>8.0219746463607688E-2</v>
      </c>
      <c r="X55">
        <f t="shared" si="23"/>
        <v>0.13026248315792111</v>
      </c>
    </row>
    <row r="56" spans="1:24" x14ac:dyDescent="0.35">
      <c r="A56">
        <v>56</v>
      </c>
      <c r="C56">
        <f t="shared" si="12"/>
        <v>206.51347826086936</v>
      </c>
      <c r="D56">
        <f t="shared" si="13"/>
        <v>4.77419371451673E-2</v>
      </c>
      <c r="E56">
        <v>56</v>
      </c>
      <c r="G56">
        <f t="shared" si="14"/>
        <v>206.51347826086936</v>
      </c>
      <c r="H56">
        <f t="shared" si="15"/>
        <v>9.7608622144820106E-2</v>
      </c>
      <c r="I56">
        <v>56</v>
      </c>
      <c r="K56">
        <f t="shared" si="16"/>
        <v>166.13666666666674</v>
      </c>
      <c r="L56">
        <f t="shared" si="17"/>
        <v>1.6171969361592563E-2</v>
      </c>
      <c r="M56">
        <v>56</v>
      </c>
      <c r="O56">
        <f t="shared" si="18"/>
        <v>166.13666666666674</v>
      </c>
      <c r="P56">
        <f t="shared" si="19"/>
        <v>0.10181513204038764</v>
      </c>
      <c r="Q56">
        <v>56</v>
      </c>
      <c r="S56">
        <f t="shared" si="20"/>
        <v>8.2153017818361304E-2</v>
      </c>
      <c r="T56">
        <f t="shared" si="21"/>
        <v>3.1287046293570112E-2</v>
      </c>
      <c r="U56">
        <v>56</v>
      </c>
      <c r="W56">
        <f t="shared" si="22"/>
        <v>8.122758220381579E-2</v>
      </c>
      <c r="X56">
        <f t="shared" si="23"/>
        <v>0.13169661669837143</v>
      </c>
    </row>
    <row r="57" spans="1:24" x14ac:dyDescent="0.35">
      <c r="A57">
        <v>57</v>
      </c>
      <c r="C57">
        <f t="shared" si="12"/>
        <v>208.93608695652154</v>
      </c>
      <c r="D57">
        <f t="shared" si="13"/>
        <v>4.7993008731447372E-2</v>
      </c>
      <c r="E57">
        <v>57</v>
      </c>
      <c r="G57">
        <f t="shared" si="14"/>
        <v>208.93608695652154</v>
      </c>
      <c r="H57">
        <f t="shared" si="15"/>
        <v>9.8999358031820472E-2</v>
      </c>
      <c r="I57">
        <v>57</v>
      </c>
      <c r="K57">
        <f t="shared" si="16"/>
        <v>167.82515151515162</v>
      </c>
      <c r="L57">
        <f t="shared" si="17"/>
        <v>1.660108007064668E-2</v>
      </c>
      <c r="M57">
        <v>57</v>
      </c>
      <c r="O57">
        <f t="shared" si="18"/>
        <v>167.82515151515162</v>
      </c>
      <c r="P57">
        <f t="shared" si="19"/>
        <v>0.10253031138846841</v>
      </c>
      <c r="Q57">
        <v>57</v>
      </c>
      <c r="S57">
        <f t="shared" si="20"/>
        <v>8.3094751014673507E-2</v>
      </c>
      <c r="T57">
        <f t="shared" si="21"/>
        <v>3.1819583195864629E-2</v>
      </c>
      <c r="U57">
        <v>57</v>
      </c>
      <c r="W57">
        <f t="shared" si="22"/>
        <v>8.2235417944023892E-2</v>
      </c>
      <c r="X57">
        <f t="shared" si="23"/>
        <v>0.13313698311676897</v>
      </c>
    </row>
    <row r="58" spans="1:24" x14ac:dyDescent="0.35">
      <c r="A58">
        <v>58</v>
      </c>
      <c r="C58">
        <f t="shared" si="12"/>
        <v>211.35869565217371</v>
      </c>
      <c r="D58">
        <f t="shared" si="13"/>
        <v>4.824383742763802E-2</v>
      </c>
      <c r="E58">
        <v>58</v>
      </c>
      <c r="G58">
        <f t="shared" si="14"/>
        <v>211.35869565217371</v>
      </c>
      <c r="H58">
        <f t="shared" si="15"/>
        <v>0.10039033680891027</v>
      </c>
      <c r="I58">
        <v>58</v>
      </c>
      <c r="K58">
        <f t="shared" si="16"/>
        <v>169.51363636363646</v>
      </c>
      <c r="L58">
        <f t="shared" si="17"/>
        <v>1.7026935095826201E-2</v>
      </c>
      <c r="M58">
        <v>58</v>
      </c>
      <c r="O58">
        <f t="shared" si="18"/>
        <v>169.51363636363646</v>
      </c>
      <c r="P58">
        <f t="shared" si="19"/>
        <v>0.10324874642042374</v>
      </c>
      <c r="Q58">
        <v>58</v>
      </c>
      <c r="S58">
        <f t="shared" si="20"/>
        <v>8.403648421098571E-2</v>
      </c>
      <c r="T58">
        <f t="shared" si="21"/>
        <v>3.2346930692995712E-2</v>
      </c>
      <c r="U58">
        <v>58</v>
      </c>
      <c r="W58">
        <f t="shared" si="22"/>
        <v>8.3243253684231994E-2</v>
      </c>
      <c r="X58">
        <f t="shared" si="23"/>
        <v>0.13458342488110359</v>
      </c>
    </row>
    <row r="59" spans="1:24" x14ac:dyDescent="0.35">
      <c r="A59">
        <v>59</v>
      </c>
      <c r="C59">
        <f t="shared" si="12"/>
        <v>213.78130434782588</v>
      </c>
      <c r="D59">
        <f t="shared" si="13"/>
        <v>4.8494438824626299E-2</v>
      </c>
      <c r="E59">
        <v>59</v>
      </c>
      <c r="G59">
        <f t="shared" si="14"/>
        <v>213.78130434782588</v>
      </c>
      <c r="H59">
        <f t="shared" si="15"/>
        <v>0.10178154288520243</v>
      </c>
      <c r="I59">
        <v>59</v>
      </c>
      <c r="K59">
        <f t="shared" si="16"/>
        <v>171.20212121212131</v>
      </c>
      <c r="L59">
        <f t="shared" si="17"/>
        <v>1.7449567465509623E-2</v>
      </c>
      <c r="M59">
        <v>59</v>
      </c>
      <c r="O59">
        <f t="shared" si="18"/>
        <v>171.20212121212131</v>
      </c>
      <c r="P59">
        <f t="shared" si="19"/>
        <v>0.10397040410787517</v>
      </c>
      <c r="Q59">
        <v>59</v>
      </c>
      <c r="S59">
        <f t="shared" si="20"/>
        <v>8.4978217407297899E-2</v>
      </c>
      <c r="T59">
        <f t="shared" si="21"/>
        <v>3.2869212587715281E-2</v>
      </c>
      <c r="U59">
        <v>59</v>
      </c>
      <c r="W59">
        <f t="shared" si="22"/>
        <v>8.4251089424440095E-2</v>
      </c>
      <c r="X59">
        <f t="shared" si="23"/>
        <v>0.1360357876207148</v>
      </c>
    </row>
    <row r="60" spans="1:24" x14ac:dyDescent="0.35">
      <c r="A60">
        <v>60</v>
      </c>
      <c r="C60">
        <f t="shared" si="12"/>
        <v>216.203913043478</v>
      </c>
      <c r="D60">
        <f t="shared" si="13"/>
        <v>4.8744827212363569E-2</v>
      </c>
      <c r="E60">
        <v>60</v>
      </c>
      <c r="G60">
        <f t="shared" si="14"/>
        <v>216.203913043478</v>
      </c>
      <c r="H60">
        <f t="shared" si="15"/>
        <v>0.10317296197074557</v>
      </c>
      <c r="I60">
        <v>60</v>
      </c>
      <c r="K60">
        <f t="shared" si="16"/>
        <v>172.89060606060616</v>
      </c>
      <c r="L60">
        <f t="shared" si="17"/>
        <v>1.7869010475686939E-2</v>
      </c>
      <c r="M60">
        <v>60</v>
      </c>
      <c r="O60">
        <f t="shared" si="18"/>
        <v>172.89060606060616</v>
      </c>
      <c r="P60">
        <f t="shared" si="19"/>
        <v>0.10469525115483271</v>
      </c>
      <c r="Q60">
        <v>60</v>
      </c>
      <c r="S60">
        <f t="shared" si="20"/>
        <v>8.5919950603610101E-2</v>
      </c>
      <c r="T60">
        <f t="shared" si="21"/>
        <v>3.3386550218317962E-2</v>
      </c>
      <c r="U60">
        <v>60</v>
      </c>
      <c r="W60">
        <f t="shared" si="22"/>
        <v>8.5258925164648197E-2</v>
      </c>
      <c r="X60">
        <f t="shared" si="23"/>
        <v>0.13749392017087689</v>
      </c>
    </row>
    <row r="61" spans="1:24" x14ac:dyDescent="0.35">
      <c r="A61">
        <v>61</v>
      </c>
      <c r="C61">
        <f t="shared" si="12"/>
        <v>218.62652173913017</v>
      </c>
      <c r="D61">
        <f t="shared" si="13"/>
        <v>4.8995015712242941E-2</v>
      </c>
      <c r="E61">
        <v>61</v>
      </c>
      <c r="G61">
        <f t="shared" si="14"/>
        <v>218.62652173913017</v>
      </c>
      <c r="H61">
        <f t="shared" si="15"/>
        <v>0.10456458094414664</v>
      </c>
      <c r="I61">
        <v>61</v>
      </c>
      <c r="K61">
        <f t="shared" si="16"/>
        <v>174.57909090909101</v>
      </c>
      <c r="L61">
        <f t="shared" si="17"/>
        <v>1.828529766086829E-2</v>
      </c>
      <c r="M61">
        <v>61</v>
      </c>
      <c r="O61">
        <f t="shared" si="18"/>
        <v>174.57909090909101</v>
      </c>
      <c r="P61">
        <f t="shared" si="19"/>
        <v>0.10542325402678621</v>
      </c>
      <c r="Q61">
        <v>61</v>
      </c>
      <c r="S61">
        <f t="shared" si="20"/>
        <v>8.6861683799922304E-2</v>
      </c>
      <c r="T61">
        <f t="shared" si="21"/>
        <v>3.389906244153848E-2</v>
      </c>
      <c r="U61">
        <v>61</v>
      </c>
      <c r="W61">
        <f t="shared" si="22"/>
        <v>8.6266760904856299E-2</v>
      </c>
      <c r="X61">
        <f t="shared" si="23"/>
        <v>0.13895767460530867</v>
      </c>
    </row>
    <row r="62" spans="1:24" x14ac:dyDescent="0.35">
      <c r="A62">
        <v>62</v>
      </c>
      <c r="C62">
        <f t="shared" si="12"/>
        <v>221.04913043478234</v>
      </c>
      <c r="D62">
        <f t="shared" si="13"/>
        <v>4.9245016393698021E-2</v>
      </c>
      <c r="E62">
        <v>62</v>
      </c>
      <c r="G62">
        <f t="shared" si="14"/>
        <v>221.04913043478234</v>
      </c>
      <c r="H62">
        <f t="shared" si="15"/>
        <v>0.10595638773597199</v>
      </c>
      <c r="I62">
        <v>62</v>
      </c>
      <c r="K62">
        <f t="shared" si="16"/>
        <v>176.26757575757586</v>
      </c>
      <c r="L62">
        <f t="shared" si="17"/>
        <v>1.8698462765589847E-2</v>
      </c>
      <c r="M62">
        <v>62</v>
      </c>
      <c r="O62">
        <f t="shared" si="18"/>
        <v>176.26757575757586</v>
      </c>
      <c r="P62">
        <f t="shared" si="19"/>
        <v>0.10615437897919952</v>
      </c>
      <c r="Q62">
        <v>62</v>
      </c>
      <c r="S62">
        <f t="shared" si="20"/>
        <v>8.7803416996234507E-2</v>
      </c>
      <c r="T62">
        <f t="shared" si="21"/>
        <v>3.440686562240839E-2</v>
      </c>
      <c r="U62">
        <v>62</v>
      </c>
      <c r="W62">
        <f t="shared" si="22"/>
        <v>8.7274596645064401E-2</v>
      </c>
      <c r="X62">
        <f t="shared" si="23"/>
        <v>0.1404269062575601</v>
      </c>
    </row>
    <row r="63" spans="1:24" x14ac:dyDescent="0.35">
      <c r="A63">
        <v>63</v>
      </c>
      <c r="C63">
        <f t="shared" si="12"/>
        <v>223.47173913043451</v>
      </c>
      <c r="D63">
        <f t="shared" si="13"/>
        <v>4.9494840377165908E-2</v>
      </c>
      <c r="E63">
        <v>63</v>
      </c>
      <c r="G63">
        <f t="shared" si="14"/>
        <v>223.47173913043451</v>
      </c>
      <c r="H63">
        <f t="shared" si="15"/>
        <v>0.10734837122578457</v>
      </c>
      <c r="I63">
        <v>63</v>
      </c>
      <c r="K63">
        <f t="shared" si="16"/>
        <v>177.9560606060607</v>
      </c>
      <c r="L63">
        <f t="shared" si="17"/>
        <v>1.910853971655193E-2</v>
      </c>
      <c r="M63">
        <v>63</v>
      </c>
      <c r="O63">
        <f t="shared" si="18"/>
        <v>177.9560606060607</v>
      </c>
      <c r="P63">
        <f t="shared" si="19"/>
        <v>0.10688859208537227</v>
      </c>
      <c r="Q63">
        <v>63</v>
      </c>
      <c r="S63">
        <f t="shared" si="20"/>
        <v>8.874515019254671E-2</v>
      </c>
      <c r="T63">
        <f t="shared" si="21"/>
        <v>3.4910073630515501E-2</v>
      </c>
      <c r="U63">
        <v>63</v>
      </c>
      <c r="W63">
        <f t="shared" si="22"/>
        <v>8.8282432385272502E-2</v>
      </c>
      <c r="X63">
        <f t="shared" si="23"/>
        <v>0.14190147373219505</v>
      </c>
    </row>
    <row r="64" spans="1:24" x14ac:dyDescent="0.35">
      <c r="A64">
        <v>64</v>
      </c>
      <c r="C64">
        <f t="shared" si="12"/>
        <v>225.89434782608669</v>
      </c>
      <c r="D64">
        <f t="shared" si="13"/>
        <v>4.9744497925232417E-2</v>
      </c>
      <c r="E64">
        <v>64</v>
      </c>
      <c r="G64">
        <f t="shared" si="14"/>
        <v>225.89434782608669</v>
      </c>
      <c r="H64">
        <f t="shared" si="15"/>
        <v>0.1087405211509985</v>
      </c>
      <c r="I64">
        <v>64</v>
      </c>
      <c r="K64">
        <f t="shared" si="16"/>
        <v>179.64454545454555</v>
      </c>
      <c r="L64">
        <f t="shared" si="17"/>
        <v>1.9515562595420484E-2</v>
      </c>
      <c r="M64">
        <v>64</v>
      </c>
      <c r="O64">
        <f t="shared" si="18"/>
        <v>179.64454545454555</v>
      </c>
      <c r="P64">
        <f t="shared" si="19"/>
        <v>0.10762585926363857</v>
      </c>
      <c r="Q64">
        <v>64</v>
      </c>
      <c r="S64">
        <f t="shared" si="20"/>
        <v>8.9686883388858898E-2</v>
      </c>
      <c r="T64">
        <f t="shared" si="21"/>
        <v>3.5408797842131419E-2</v>
      </c>
      <c r="U64">
        <v>64</v>
      </c>
      <c r="W64">
        <f t="shared" si="22"/>
        <v>8.9290268125480604E-2</v>
      </c>
      <c r="X64">
        <f t="shared" si="23"/>
        <v>0.14338123890665336</v>
      </c>
    </row>
    <row r="65" spans="1:24" x14ac:dyDescent="0.35">
      <c r="A65">
        <v>65</v>
      </c>
      <c r="C65">
        <f t="shared" ref="C65:C70" si="24">73.27+(A65-1)*2.42260869565217</f>
        <v>228.31695652173886</v>
      </c>
      <c r="D65">
        <f t="shared" ref="D65:D70" si="25">0.0026979505471637+0.000338851147572238*C65-0.0399192775731823*(0.00763358778625954+(C65-102.561832061069)^2/28252.0091603053)^0.5</f>
        <v>4.9993998523506868E-2</v>
      </c>
      <c r="E65">
        <v>65</v>
      </c>
      <c r="G65">
        <f t="shared" ref="G65:G70" si="26">73.27+(E65-1)*2.42260869565217</f>
        <v>228.31695652173886</v>
      </c>
      <c r="H65">
        <f t="shared" ref="H65:H70" si="27">0.0026979505471637+0.000338851147572238*G65+0.0399192775731823*(0.00763358778625954+(G65-102.561832061069)^2/28252.0091603053)^0.5</f>
        <v>0.11013282802600449</v>
      </c>
      <c r="I65">
        <v>65</v>
      </c>
      <c r="K65">
        <f t="shared" ref="K65:K100" si="28">73.27+(I65-1)*1.68848484848485</f>
        <v>181.3330303030304</v>
      </c>
      <c r="L65">
        <f t="shared" ref="L65:L96" si="29">0.0026979505471637+0.000338851147572238*K65-0.0399192775731823*(1.00763358778626+(K65-102.561832061069)^2/28252.0091603053)^0.5</f>
        <v>1.9919565612319917E-2</v>
      </c>
      <c r="M65">
        <v>65</v>
      </c>
      <c r="O65">
        <f t="shared" ref="O65:O100" si="30">73.27+(M65-1)*1.68848484848485</f>
        <v>181.3330303030304</v>
      </c>
      <c r="P65">
        <f t="shared" ref="P65:P96" si="31">0.0026979505471637+0.000338851147572238*O65+0.0399192775731823*(1.00763358778626+(O65-102.561832061069)^2/28252.0091603053)^0.5</f>
        <v>0.10836614630387401</v>
      </c>
      <c r="Q65">
        <v>65</v>
      </c>
      <c r="S65">
        <f t="shared" ref="S65:S70" si="32">0.0303576920211903+(Q65-1)*0.0009417331963122</f>
        <v>9.0628616585171101E-2</v>
      </c>
      <c r="T65">
        <f t="shared" ref="T65:T70" si="33">0+1*S65-0.0399192775731823*(1.00763358778626+(S65-0.0374511450381679)^2/0.00324389852294898)^0.5</f>
        <v>3.590314714769649E-2</v>
      </c>
      <c r="U65">
        <v>65</v>
      </c>
      <c r="W65">
        <f t="shared" ref="W65:W70" si="34">0.0257966164923703+(U65-1)*0.0010078357402081</f>
        <v>9.0298103865688706E-2</v>
      </c>
      <c r="X65">
        <f t="shared" ref="X65:X70" si="35">0+1*W65+0.0399192775731823*(1.00763358778626+(W65-0.0374511450381679)^2/0.00324389852294898)^0.5</f>
        <v>0.14486606692463638</v>
      </c>
    </row>
    <row r="66" spans="1:24" x14ac:dyDescent="0.35">
      <c r="A66">
        <v>66</v>
      </c>
      <c r="C66">
        <f t="shared" si="24"/>
        <v>230.73956521739103</v>
      </c>
      <c r="D66">
        <f t="shared" si="25"/>
        <v>5.0243350952547047E-2</v>
      </c>
      <c r="E66">
        <v>66</v>
      </c>
      <c r="G66">
        <f t="shared" si="26"/>
        <v>230.73956521739103</v>
      </c>
      <c r="H66">
        <f t="shared" si="27"/>
        <v>0.11152528307024474</v>
      </c>
      <c r="I66">
        <v>66</v>
      </c>
      <c r="K66">
        <f t="shared" si="28"/>
        <v>183.02151515151525</v>
      </c>
      <c r="L66">
        <f t="shared" si="29"/>
        <v>2.032058308004181E-2</v>
      </c>
      <c r="M66">
        <v>66</v>
      </c>
      <c r="O66">
        <f t="shared" si="30"/>
        <v>183.02151515151525</v>
      </c>
      <c r="P66">
        <f t="shared" si="31"/>
        <v>0.10910941889328696</v>
      </c>
      <c r="Q66">
        <v>66</v>
      </c>
      <c r="S66">
        <f t="shared" si="32"/>
        <v>9.1570349781483304E-2</v>
      </c>
      <c r="T66">
        <f t="shared" si="33"/>
        <v>3.639322796417517E-2</v>
      </c>
      <c r="U66">
        <v>66</v>
      </c>
      <c r="W66">
        <f t="shared" si="34"/>
        <v>9.1305939605896808E-2</v>
      </c>
      <c r="X66">
        <f t="shared" si="35"/>
        <v>0.14635582618181975</v>
      </c>
    </row>
    <row r="67" spans="1:24" x14ac:dyDescent="0.35">
      <c r="A67">
        <v>67</v>
      </c>
      <c r="C67">
        <f t="shared" si="24"/>
        <v>233.1621739130432</v>
      </c>
      <c r="D67">
        <f t="shared" si="25"/>
        <v>5.0492563351965114E-2</v>
      </c>
      <c r="E67">
        <v>67</v>
      </c>
      <c r="G67">
        <f t="shared" si="26"/>
        <v>233.1621739130432</v>
      </c>
      <c r="H67">
        <f t="shared" si="27"/>
        <v>0.11291787814410711</v>
      </c>
      <c r="I67">
        <v>67</v>
      </c>
      <c r="K67">
        <f t="shared" si="28"/>
        <v>184.71000000000009</v>
      </c>
      <c r="L67">
        <f t="shared" si="29"/>
        <v>2.0718649388991289E-2</v>
      </c>
      <c r="M67">
        <v>67</v>
      </c>
      <c r="O67">
        <f t="shared" si="30"/>
        <v>184.71000000000009</v>
      </c>
      <c r="P67">
        <f t="shared" si="31"/>
        <v>0.10985564264147232</v>
      </c>
      <c r="Q67">
        <v>67</v>
      </c>
      <c r="S67">
        <f t="shared" si="32"/>
        <v>9.2512082977795507E-2</v>
      </c>
      <c r="T67">
        <f t="shared" si="33"/>
        <v>3.6879144251819956E-2</v>
      </c>
      <c r="U67">
        <v>67</v>
      </c>
      <c r="W67">
        <f t="shared" si="34"/>
        <v>9.2313775346104909E-2</v>
      </c>
      <c r="X67">
        <f t="shared" si="35"/>
        <v>0.14785038830465311</v>
      </c>
    </row>
    <row r="68" spans="1:24" x14ac:dyDescent="0.35">
      <c r="A68">
        <v>68</v>
      </c>
      <c r="C68">
        <f t="shared" si="24"/>
        <v>235.58478260869538</v>
      </c>
      <c r="D68">
        <f t="shared" si="25"/>
        <v>5.0741643277685475E-2</v>
      </c>
      <c r="E68">
        <v>68</v>
      </c>
      <c r="G68">
        <f t="shared" si="26"/>
        <v>235.58478260869538</v>
      </c>
      <c r="H68">
        <f t="shared" si="27"/>
        <v>0.11431060569166719</v>
      </c>
      <c r="I68">
        <v>68</v>
      </c>
      <c r="K68">
        <f t="shared" si="28"/>
        <v>186.39848484848494</v>
      </c>
      <c r="L68">
        <f t="shared" si="29"/>
        <v>2.1113798982888989E-2</v>
      </c>
      <c r="M68">
        <v>68</v>
      </c>
      <c r="O68">
        <f t="shared" si="30"/>
        <v>186.39848484848494</v>
      </c>
      <c r="P68">
        <f t="shared" si="31"/>
        <v>0.11060478310470948</v>
      </c>
      <c r="Q68">
        <v>68</v>
      </c>
      <c r="S68">
        <f t="shared" si="32"/>
        <v>9.3453816174107709E-2</v>
      </c>
      <c r="T68">
        <f t="shared" si="33"/>
        <v>3.7360997534907257E-2</v>
      </c>
      <c r="U68">
        <v>68</v>
      </c>
      <c r="W68">
        <f t="shared" si="34"/>
        <v>9.3321611086313011E-2</v>
      </c>
      <c r="X68">
        <f t="shared" si="35"/>
        <v>0.14934962812296612</v>
      </c>
    </row>
    <row r="69" spans="1:24" x14ac:dyDescent="0.35">
      <c r="A69">
        <v>69</v>
      </c>
      <c r="C69">
        <f t="shared" si="24"/>
        <v>238.00739130434755</v>
      </c>
      <c r="D69">
        <f t="shared" si="25"/>
        <v>5.0990597753190522E-2</v>
      </c>
      <c r="E69">
        <v>69</v>
      </c>
      <c r="G69">
        <f t="shared" si="26"/>
        <v>238.00739130434755</v>
      </c>
      <c r="H69">
        <f t="shared" si="27"/>
        <v>0.11570345868944261</v>
      </c>
      <c r="I69">
        <v>69</v>
      </c>
      <c r="K69">
        <f t="shared" si="28"/>
        <v>188.08696969696979</v>
      </c>
      <c r="L69">
        <f t="shared" si="29"/>
        <v>2.1506066335244219E-2</v>
      </c>
      <c r="M69">
        <v>69</v>
      </c>
      <c r="O69">
        <f t="shared" si="30"/>
        <v>188.08696969696979</v>
      </c>
      <c r="P69">
        <f t="shared" si="31"/>
        <v>0.11135680580948912</v>
      </c>
      <c r="Q69">
        <v>69</v>
      </c>
      <c r="S69">
        <f t="shared" si="32"/>
        <v>9.4395549370419912E-2</v>
      </c>
      <c r="T69">
        <f t="shared" si="33"/>
        <v>3.783888692603312E-2</v>
      </c>
      <c r="U69">
        <v>69</v>
      </c>
      <c r="W69">
        <f t="shared" si="34"/>
        <v>9.4329446826521113E-2</v>
      </c>
      <c r="X69">
        <f t="shared" si="35"/>
        <v>0.1508534236370544</v>
      </c>
    </row>
    <row r="70" spans="1:24" x14ac:dyDescent="0.35">
      <c r="A70">
        <v>70</v>
      </c>
      <c r="C70">
        <f t="shared" si="24"/>
        <v>240.42999999999972</v>
      </c>
      <c r="D70">
        <f t="shared" si="25"/>
        <v>5.1239433315475875E-2</v>
      </c>
      <c r="E70">
        <v>70</v>
      </c>
      <c r="G70">
        <f t="shared" si="26"/>
        <v>240.42999999999972</v>
      </c>
      <c r="H70">
        <f t="shared" si="27"/>
        <v>0.1170964306004377</v>
      </c>
      <c r="I70">
        <v>70</v>
      </c>
      <c r="K70">
        <f t="shared" si="28"/>
        <v>189.77545454545464</v>
      </c>
      <c r="L70">
        <f t="shared" si="29"/>
        <v>2.1895485926611544E-2</v>
      </c>
      <c r="M70">
        <v>70</v>
      </c>
      <c r="O70">
        <f t="shared" si="30"/>
        <v>189.77545454545464</v>
      </c>
      <c r="P70">
        <f t="shared" si="31"/>
        <v>0.11211167627525663</v>
      </c>
      <c r="Q70">
        <v>70</v>
      </c>
      <c r="S70">
        <f t="shared" si="32"/>
        <v>9.5337282566732115E-2</v>
      </c>
      <c r="T70">
        <f t="shared" si="33"/>
        <v>3.8312909153581987E-2</v>
      </c>
      <c r="U70">
        <v>70</v>
      </c>
      <c r="W70">
        <f t="shared" si="34"/>
        <v>9.5337282566729187E-2</v>
      </c>
      <c r="X70">
        <f t="shared" si="35"/>
        <v>0.15236165597987786</v>
      </c>
    </row>
    <row r="71" spans="1:24" x14ac:dyDescent="0.35">
      <c r="I71">
        <v>71</v>
      </c>
      <c r="K71">
        <f t="shared" si="28"/>
        <v>191.46393939393948</v>
      </c>
      <c r="L71">
        <f t="shared" si="29"/>
        <v>2.2282092222640701E-2</v>
      </c>
      <c r="M71">
        <v>71</v>
      </c>
      <c r="O71">
        <f t="shared" si="30"/>
        <v>191.46393939393948</v>
      </c>
      <c r="P71">
        <f t="shared" si="31"/>
        <v>0.11286936003636232</v>
      </c>
    </row>
    <row r="72" spans="1:24" x14ac:dyDescent="0.35">
      <c r="I72">
        <v>72</v>
      </c>
      <c r="K72">
        <f t="shared" si="28"/>
        <v>193.15242424242433</v>
      </c>
      <c r="L72">
        <f t="shared" si="29"/>
        <v>2.2665919652926497E-2</v>
      </c>
      <c r="M72">
        <v>72</v>
      </c>
      <c r="O72">
        <f t="shared" si="30"/>
        <v>193.15242424242433</v>
      </c>
      <c r="P72">
        <f t="shared" si="31"/>
        <v>0.11362982266321139</v>
      </c>
    </row>
    <row r="73" spans="1:24" x14ac:dyDescent="0.35">
      <c r="I73">
        <v>73</v>
      </c>
      <c r="K73">
        <f t="shared" si="28"/>
        <v>194.84090909090918</v>
      </c>
      <c r="L73">
        <f t="shared" si="29"/>
        <v>2.3047002590663369E-2</v>
      </c>
      <c r="M73">
        <v>73</v>
      </c>
      <c r="O73">
        <f t="shared" si="30"/>
        <v>194.84090909090918</v>
      </c>
      <c r="P73">
        <f t="shared" si="31"/>
        <v>0.11439302978260937</v>
      </c>
    </row>
    <row r="74" spans="1:24" x14ac:dyDescent="0.35">
      <c r="I74">
        <v>74</v>
      </c>
      <c r="K74">
        <f t="shared" si="28"/>
        <v>196.52939393939405</v>
      </c>
      <c r="L74">
        <f t="shared" si="29"/>
        <v>2.3425375333106638E-2</v>
      </c>
      <c r="M74">
        <v>74</v>
      </c>
      <c r="O74">
        <f t="shared" si="30"/>
        <v>196.52939393939405</v>
      </c>
      <c r="P74">
        <f t="shared" si="31"/>
        <v>0.11515894709730097</v>
      </c>
    </row>
    <row r="75" spans="1:24" x14ac:dyDescent="0.35">
      <c r="I75">
        <v>75</v>
      </c>
      <c r="K75">
        <f t="shared" si="28"/>
        <v>198.2178787878789</v>
      </c>
      <c r="L75">
        <f t="shared" si="29"/>
        <v>2.3801072082840151E-2</v>
      </c>
      <c r="M75">
        <v>75</v>
      </c>
      <c r="O75">
        <f t="shared" si="30"/>
        <v>198.2178787878789</v>
      </c>
      <c r="P75">
        <f t="shared" si="31"/>
        <v>0.1159275404047023</v>
      </c>
    </row>
    <row r="76" spans="1:24" x14ac:dyDescent="0.35">
      <c r="I76">
        <v>76</v>
      </c>
      <c r="K76">
        <f t="shared" si="28"/>
        <v>199.90636363636375</v>
      </c>
      <c r="L76">
        <f t="shared" si="29"/>
        <v>2.4174126929848098E-2</v>
      </c>
      <c r="M76">
        <v>76</v>
      </c>
      <c r="O76">
        <f t="shared" si="30"/>
        <v>199.90636363636375</v>
      </c>
      <c r="P76">
        <f t="shared" si="31"/>
        <v>0.11669877561482922</v>
      </c>
    </row>
    <row r="77" spans="1:24" x14ac:dyDescent="0.35">
      <c r="I77">
        <v>77</v>
      </c>
      <c r="K77">
        <f t="shared" si="28"/>
        <v>201.59484848484863</v>
      </c>
      <c r="L77">
        <f t="shared" si="29"/>
        <v>2.4544573834386581E-2</v>
      </c>
      <c r="M77">
        <v>77</v>
      </c>
      <c r="O77">
        <f t="shared" si="30"/>
        <v>201.59484848484863</v>
      </c>
      <c r="P77">
        <f t="shared" si="31"/>
        <v>0.11747261876742562</v>
      </c>
    </row>
    <row r="78" spans="1:24" x14ac:dyDescent="0.35">
      <c r="I78">
        <v>78</v>
      </c>
      <c r="K78">
        <f t="shared" si="28"/>
        <v>203.28333333333347</v>
      </c>
      <c r="L78">
        <f t="shared" si="29"/>
        <v>2.4912446610648918E-2</v>
      </c>
      <c r="M78">
        <v>78</v>
      </c>
      <c r="O78">
        <f t="shared" si="30"/>
        <v>203.28333333333347</v>
      </c>
      <c r="P78">
        <f t="shared" si="31"/>
        <v>0.11824903604829812</v>
      </c>
    </row>
    <row r="79" spans="1:24" x14ac:dyDescent="0.35">
      <c r="I79">
        <v>79</v>
      </c>
      <c r="K79">
        <f t="shared" si="28"/>
        <v>204.97181818181832</v>
      </c>
      <c r="L79">
        <f t="shared" si="29"/>
        <v>2.5277778911216665E-2</v>
      </c>
      <c r="M79">
        <v>79</v>
      </c>
      <c r="O79">
        <f t="shared" si="30"/>
        <v>204.97181818181832</v>
      </c>
      <c r="P79">
        <f t="shared" si="31"/>
        <v>0.11902799380486523</v>
      </c>
    </row>
    <row r="80" spans="1:24" x14ac:dyDescent="0.35">
      <c r="I80">
        <v>80</v>
      </c>
      <c r="K80">
        <f t="shared" si="28"/>
        <v>206.66030303030317</v>
      </c>
      <c r="L80">
        <f t="shared" si="29"/>
        <v>2.5640604212286956E-2</v>
      </c>
      <c r="M80">
        <v>80</v>
      </c>
      <c r="O80">
        <f t="shared" si="30"/>
        <v>206.66030303030317</v>
      </c>
      <c r="P80">
        <f t="shared" si="31"/>
        <v>0.11980945856092981</v>
      </c>
    </row>
    <row r="81" spans="9:16" x14ac:dyDescent="0.35">
      <c r="I81">
        <v>81</v>
      </c>
      <c r="K81">
        <f t="shared" si="28"/>
        <v>208.34878787878802</v>
      </c>
      <c r="L81">
        <f t="shared" si="29"/>
        <v>2.6000955799665285E-2</v>
      </c>
      <c r="M81">
        <v>81</v>
      </c>
      <c r="O81">
        <f t="shared" si="30"/>
        <v>208.34878787878802</v>
      </c>
      <c r="P81">
        <f t="shared" si="31"/>
        <v>0.12059339703068632</v>
      </c>
    </row>
    <row r="82" spans="9:16" x14ac:dyDescent="0.35">
      <c r="I82">
        <v>82</v>
      </c>
      <c r="K82">
        <f t="shared" si="28"/>
        <v>210.03727272727286</v>
      </c>
      <c r="L82">
        <f t="shared" si="29"/>
        <v>2.6358866755511565E-2</v>
      </c>
      <c r="M82">
        <v>82</v>
      </c>
      <c r="O82">
        <f t="shared" si="30"/>
        <v>210.03727272727286</v>
      </c>
      <c r="P82">
        <f t="shared" si="31"/>
        <v>0.12137977613197488</v>
      </c>
    </row>
    <row r="83" spans="9:16" x14ac:dyDescent="0.35">
      <c r="I83">
        <v>83</v>
      </c>
      <c r="K83">
        <f t="shared" si="28"/>
        <v>211.72575757575771</v>
      </c>
      <c r="L83">
        <f t="shared" si="29"/>
        <v>2.6714369945825926E-2</v>
      </c>
      <c r="M83">
        <v>83</v>
      </c>
      <c r="O83">
        <f t="shared" si="30"/>
        <v>211.72575757575771</v>
      </c>
      <c r="P83">
        <f t="shared" si="31"/>
        <v>0.12216856299879539</v>
      </c>
    </row>
    <row r="84" spans="9:16" x14ac:dyDescent="0.35">
      <c r="I84">
        <v>84</v>
      </c>
      <c r="K84">
        <f t="shared" si="28"/>
        <v>213.41424242424256</v>
      </c>
      <c r="L84">
        <f t="shared" si="29"/>
        <v>2.7067498008659784E-2</v>
      </c>
      <c r="M84">
        <v>84</v>
      </c>
      <c r="O84">
        <f t="shared" si="30"/>
        <v>213.41424242424256</v>
      </c>
      <c r="P84">
        <f t="shared" si="31"/>
        <v>0.12295972499309638</v>
      </c>
    </row>
    <row r="85" spans="9:16" x14ac:dyDescent="0.35">
      <c r="I85">
        <v>85</v>
      </c>
      <c r="K85">
        <f t="shared" si="28"/>
        <v>215.10272727272741</v>
      </c>
      <c r="L85">
        <f t="shared" si="29"/>
        <v>2.7418283343037107E-2</v>
      </c>
      <c r="M85">
        <v>85</v>
      </c>
      <c r="O85">
        <f t="shared" si="30"/>
        <v>215.10272727272741</v>
      </c>
      <c r="P85">
        <f t="shared" si="31"/>
        <v>0.1237532297158539</v>
      </c>
    </row>
    <row r="86" spans="9:16" x14ac:dyDescent="0.35">
      <c r="I86">
        <v>86</v>
      </c>
      <c r="K86">
        <f t="shared" si="28"/>
        <v>216.79121212121225</v>
      </c>
      <c r="L86">
        <f t="shared" si="29"/>
        <v>2.7766758098569128E-2</v>
      </c>
      <c r="M86">
        <v>86</v>
      </c>
      <c r="O86">
        <f t="shared" si="30"/>
        <v>216.79121212121225</v>
      </c>
      <c r="P86">
        <f t="shared" si="31"/>
        <v>0.12454904501745676</v>
      </c>
    </row>
    <row r="87" spans="9:16" x14ac:dyDescent="0.35">
      <c r="I87">
        <v>87</v>
      </c>
      <c r="K87">
        <f t="shared" si="28"/>
        <v>218.4796969696971</v>
      </c>
      <c r="L87">
        <f t="shared" si="29"/>
        <v>2.8112954165745697E-2</v>
      </c>
      <c r="M87">
        <v>87</v>
      </c>
      <c r="O87">
        <f t="shared" si="30"/>
        <v>218.4796969696971</v>
      </c>
      <c r="P87">
        <f t="shared" si="31"/>
        <v>0.12534713900741504</v>
      </c>
    </row>
    <row r="88" spans="9:16" x14ac:dyDescent="0.35">
      <c r="I88">
        <v>88</v>
      </c>
      <c r="K88">
        <f t="shared" si="28"/>
        <v>220.16818181818195</v>
      </c>
      <c r="L88">
        <f t="shared" si="29"/>
        <v>2.8456903166886018E-2</v>
      </c>
      <c r="M88">
        <v>88</v>
      </c>
      <c r="O88">
        <f t="shared" si="30"/>
        <v>220.16818181818195</v>
      </c>
      <c r="P88">
        <f t="shared" si="31"/>
        <v>0.12614748006340956</v>
      </c>
    </row>
    <row r="89" spans="9:16" x14ac:dyDescent="0.35">
      <c r="I89">
        <v>89</v>
      </c>
      <c r="K89">
        <f t="shared" si="28"/>
        <v>221.8566666666668</v>
      </c>
      <c r="L89">
        <f t="shared" si="29"/>
        <v>2.8798636447730064E-2</v>
      </c>
      <c r="M89">
        <v>89</v>
      </c>
      <c r="O89">
        <f t="shared" si="30"/>
        <v>221.8566666666668</v>
      </c>
      <c r="P89">
        <f t="shared" si="31"/>
        <v>0.12695003683970038</v>
      </c>
    </row>
    <row r="90" spans="9:16" x14ac:dyDescent="0.35">
      <c r="I90">
        <v>90</v>
      </c>
      <c r="K90">
        <f t="shared" si="28"/>
        <v>223.54515151515164</v>
      </c>
      <c r="L90">
        <f t="shared" si="29"/>
        <v>2.9138185069652496E-2</v>
      </c>
      <c r="M90">
        <v>90</v>
      </c>
      <c r="O90">
        <f t="shared" si="30"/>
        <v>223.54515151515164</v>
      </c>
      <c r="P90">
        <f t="shared" si="31"/>
        <v>0.1277547782749128</v>
      </c>
    </row>
    <row r="91" spans="9:16" x14ac:dyDescent="0.35">
      <c r="I91">
        <v>91</v>
      </c>
      <c r="K91">
        <f t="shared" si="28"/>
        <v>225.23363636363649</v>
      </c>
      <c r="L91">
        <f t="shared" si="29"/>
        <v>2.9475579802480112E-2</v>
      </c>
      <c r="M91">
        <v>91</v>
      </c>
      <c r="O91">
        <f t="shared" si="30"/>
        <v>225.23363636363649</v>
      </c>
      <c r="P91">
        <f t="shared" si="31"/>
        <v>0.12856167359922002</v>
      </c>
    </row>
    <row r="92" spans="9:16" x14ac:dyDescent="0.35">
      <c r="I92">
        <v>92</v>
      </c>
      <c r="K92">
        <f t="shared" si="28"/>
        <v>226.92212121212134</v>
      </c>
      <c r="L92">
        <f t="shared" si="29"/>
        <v>2.9810851117893528E-2</v>
      </c>
      <c r="M92">
        <v>92</v>
      </c>
      <c r="O92">
        <f t="shared" si="30"/>
        <v>226.92212121212134</v>
      </c>
      <c r="P92">
        <f t="shared" si="31"/>
        <v>0.12937069234094148</v>
      </c>
    </row>
    <row r="93" spans="9:16" x14ac:dyDescent="0.35">
      <c r="I93">
        <v>93</v>
      </c>
      <c r="K93">
        <f t="shared" si="28"/>
        <v>228.61060606060619</v>
      </c>
      <c r="L93">
        <f t="shared" si="29"/>
        <v>3.0144029183393858E-2</v>
      </c>
      <c r="M93">
        <v>93</v>
      </c>
      <c r="O93">
        <f t="shared" si="30"/>
        <v>228.61060606060619</v>
      </c>
      <c r="P93">
        <f t="shared" si="31"/>
        <v>0.13018180433257598</v>
      </c>
    </row>
    <row r="94" spans="9:16" x14ac:dyDescent="0.35">
      <c r="I94">
        <v>94</v>
      </c>
      <c r="K94">
        <f t="shared" si="28"/>
        <v>230.29909090909103</v>
      </c>
      <c r="L94">
        <f t="shared" si="29"/>
        <v>3.0475143856814935E-2</v>
      </c>
      <c r="M94">
        <v>94</v>
      </c>
      <c r="O94">
        <f t="shared" si="30"/>
        <v>230.29909090909103</v>
      </c>
      <c r="P94">
        <f t="shared" si="31"/>
        <v>0.13099497971628976</v>
      </c>
    </row>
    <row r="95" spans="9:16" x14ac:dyDescent="0.35">
      <c r="I95">
        <v>95</v>
      </c>
      <c r="K95">
        <f t="shared" si="28"/>
        <v>231.98757575757588</v>
      </c>
      <c r="L95">
        <f t="shared" si="29"/>
        <v>3.0804224681361521E-2</v>
      </c>
      <c r="M95">
        <v>95</v>
      </c>
      <c r="O95">
        <f t="shared" si="30"/>
        <v>231.98757575757588</v>
      </c>
      <c r="P95">
        <f t="shared" si="31"/>
        <v>0.13181018894887805</v>
      </c>
    </row>
    <row r="96" spans="9:16" x14ac:dyDescent="0.35">
      <c r="I96">
        <v>96</v>
      </c>
      <c r="K96">
        <f t="shared" si="28"/>
        <v>233.67606060606073</v>
      </c>
      <c r="L96">
        <f t="shared" si="29"/>
        <v>3.1131300881153873E-2</v>
      </c>
      <c r="M96">
        <v>96</v>
      </c>
      <c r="O96">
        <f t="shared" si="30"/>
        <v>233.67606060606073</v>
      </c>
      <c r="P96">
        <f t="shared" si="31"/>
        <v>0.13262740280622054</v>
      </c>
    </row>
    <row r="97" spans="9:16" x14ac:dyDescent="0.35">
      <c r="I97">
        <v>97</v>
      </c>
      <c r="K97">
        <f t="shared" si="28"/>
        <v>235.36454545454558</v>
      </c>
      <c r="L97">
        <f>0.0026979505471637+0.000338851147572238*K97-0.0399192775731823*(1.00763358778626+(K97-102.561832061069)^2/28252.0091603053)^0.5</f>
        <v>3.145640135725964E-2</v>
      </c>
      <c r="M97">
        <v>97</v>
      </c>
      <c r="O97">
        <f t="shared" si="30"/>
        <v>235.36454545454558</v>
      </c>
      <c r="P97">
        <f>0.0026979505471637+0.000338851147572238*O97+0.0399192775731823*(1.00763358778626+(O97-102.561832061069)^2/28252.0091603053)^0.5</f>
        <v>0.13344659238724962</v>
      </c>
    </row>
    <row r="98" spans="9:16" x14ac:dyDescent="0.35">
      <c r="I98">
        <v>98</v>
      </c>
      <c r="K98">
        <f t="shared" si="28"/>
        <v>237.05303030303043</v>
      </c>
      <c r="L98">
        <f>0.0026979505471637+0.000338851147572238*K98-0.0399192775731823*(1.00763358778626+(K98-102.561832061069)^2/28252.0091603053)^0.5</f>
        <v>3.1779554684193356E-2</v>
      </c>
      <c r="M98">
        <v>98</v>
      </c>
      <c r="O98">
        <f t="shared" si="30"/>
        <v>237.05303030303043</v>
      </c>
      <c r="P98">
        <f>0.0026979505471637+0.000338851147572238*O98+0.0399192775731823*(1.00763358778626+(O98-102.561832061069)^2/28252.0091603053)^0.5</f>
        <v>0.13426772911745077</v>
      </c>
    </row>
    <row r="99" spans="9:16" x14ac:dyDescent="0.35">
      <c r="I99">
        <v>99</v>
      </c>
      <c r="K99">
        <f t="shared" si="28"/>
        <v>238.74151515151527</v>
      </c>
      <c r="L99">
        <f>0.0026979505471637+0.000338851147572238*K99-0.0399192775731823*(1.00763358778626+(K99-102.561832061069)^2/28252.0091603053)^0.5</f>
        <v>3.2100789106864563E-2</v>
      </c>
      <c r="M99">
        <v>99</v>
      </c>
      <c r="O99">
        <f t="shared" si="30"/>
        <v>238.74151515151527</v>
      </c>
      <c r="P99">
        <f>0.0026979505471637+0.000338851147572238*O99+0.0399192775731823*(1.00763358778626+(O99-102.561832061069)^2/28252.0091603053)^0.5</f>
        <v>0.13509078475191441</v>
      </c>
    </row>
    <row r="100" spans="9:16" x14ac:dyDescent="0.35">
      <c r="I100">
        <v>100</v>
      </c>
      <c r="K100">
        <f t="shared" si="28"/>
        <v>240.43000000000018</v>
      </c>
      <c r="L100">
        <f>0.0026979505471637+0.000338851147572238*K100-0.0399192775731823*(1.00763358778626+(K100-102.561832061069)^2/28252.0091603053)^0.5</f>
        <v>3.242013253795599E-2</v>
      </c>
      <c r="M100">
        <v>100</v>
      </c>
      <c r="O100">
        <f t="shared" si="30"/>
        <v>240.43000000000018</v>
      </c>
      <c r="P100">
        <f>0.0026979505471637+0.000338851147572238*O100+0.0399192775731823*(1.00763358778626+(O100-102.561832061069)^2/28252.0091603053)^0.5</f>
        <v>0.13591573137795787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XX1000"/>
  <sheetViews>
    <sheetView zoomScaleNormal="100" workbookViewId="0">
      <selection activeCell="D5" sqref="D5"/>
    </sheetView>
  </sheetViews>
  <sheetFormatPr defaultColWidth="8.83203125" defaultRowHeight="15.5" x14ac:dyDescent="0.35"/>
  <cols>
    <col min="1" max="1" width="15.6640625" style="1" customWidth="1"/>
    <col min="2" max="3" width="15.6640625" style="16" customWidth="1"/>
    <col min="4" max="4" width="8.83203125" style="1"/>
    <col min="5" max="5" width="60.6640625" style="1" customWidth="1"/>
    <col min="6" max="6" width="20.6640625" style="1" customWidth="1"/>
    <col min="7" max="16384" width="8.83203125" style="1"/>
  </cols>
  <sheetData>
    <row r="1" spans="1:6" ht="16" thickBot="1" x14ac:dyDescent="0.4">
      <c r="A1" s="11" t="s">
        <v>180</v>
      </c>
      <c r="B1" s="13" t="s">
        <v>182</v>
      </c>
      <c r="C1" s="17" t="s">
        <v>181</v>
      </c>
      <c r="E1" s="19" t="s">
        <v>227</v>
      </c>
    </row>
    <row r="2" spans="1:6" ht="16" thickBot="1" x14ac:dyDescent="0.4">
      <c r="A2" s="12" t="s">
        <v>183</v>
      </c>
      <c r="B2" s="14">
        <v>344.1</v>
      </c>
      <c r="C2" s="14">
        <v>25.2</v>
      </c>
      <c r="E2" s="34" t="s">
        <v>230</v>
      </c>
    </row>
    <row r="3" spans="1:6" ht="16" thickBot="1" x14ac:dyDescent="0.4">
      <c r="A3" s="12" t="s">
        <v>184</v>
      </c>
      <c r="B3" s="14">
        <v>301</v>
      </c>
      <c r="C3" s="14">
        <v>16.2</v>
      </c>
      <c r="E3" s="32" t="s">
        <v>222</v>
      </c>
      <c r="F3" s="28" t="s">
        <v>447</v>
      </c>
    </row>
    <row r="4" spans="1:6" ht="16" thickBot="1" x14ac:dyDescent="0.4">
      <c r="A4" s="12" t="s">
        <v>185</v>
      </c>
      <c r="B4" s="14">
        <v>302</v>
      </c>
      <c r="C4" s="14">
        <v>17.2</v>
      </c>
      <c r="E4" s="33" t="s">
        <v>223</v>
      </c>
      <c r="F4" s="28" t="s">
        <v>243</v>
      </c>
    </row>
    <row r="5" spans="1:6" ht="16" thickBot="1" x14ac:dyDescent="0.4">
      <c r="A5" s="12" t="s">
        <v>186</v>
      </c>
      <c r="B5" s="14">
        <v>277.10000000000002</v>
      </c>
      <c r="C5" s="14">
        <v>15.8</v>
      </c>
      <c r="E5" s="31" t="s">
        <v>221</v>
      </c>
      <c r="F5" s="28" t="s">
        <v>451</v>
      </c>
    </row>
    <row r="6" spans="1:6" x14ac:dyDescent="0.35">
      <c r="A6" s="12" t="s">
        <v>187</v>
      </c>
      <c r="B6" s="14">
        <v>284.89999999999998</v>
      </c>
      <c r="C6" s="14">
        <v>16.7</v>
      </c>
    </row>
    <row r="7" spans="1:6" x14ac:dyDescent="0.35">
      <c r="A7" s="12" t="s">
        <v>188</v>
      </c>
      <c r="B7" s="14">
        <v>293.2</v>
      </c>
      <c r="C7" s="14">
        <v>20.9</v>
      </c>
      <c r="E7" s="42" t="s">
        <v>241</v>
      </c>
    </row>
    <row r="8" spans="1:6" x14ac:dyDescent="0.35">
      <c r="A8" s="12" t="s">
        <v>189</v>
      </c>
      <c r="B8" s="14">
        <v>348</v>
      </c>
      <c r="C8" s="14">
        <v>23.8</v>
      </c>
    </row>
    <row r="9" spans="1:6" x14ac:dyDescent="0.35">
      <c r="A9" s="12" t="s">
        <v>190</v>
      </c>
      <c r="B9" s="14">
        <v>351.3</v>
      </c>
      <c r="C9" s="14">
        <v>25.1</v>
      </c>
    </row>
    <row r="10" spans="1:6" x14ac:dyDescent="0.35">
      <c r="A10" s="12" t="s">
        <v>191</v>
      </c>
      <c r="B10" s="14">
        <v>365.7</v>
      </c>
      <c r="C10" s="14">
        <v>28.4</v>
      </c>
    </row>
    <row r="11" spans="1:6" x14ac:dyDescent="0.35">
      <c r="A11" s="12" t="s">
        <v>192</v>
      </c>
      <c r="B11" s="14">
        <v>346.3</v>
      </c>
      <c r="C11" s="14">
        <v>20</v>
      </c>
    </row>
    <row r="12" spans="1:6" x14ac:dyDescent="0.35">
      <c r="A12" s="12" t="s">
        <v>193</v>
      </c>
      <c r="B12" s="14">
        <v>322.89999999999998</v>
      </c>
      <c r="C12" s="14">
        <v>21.6</v>
      </c>
    </row>
    <row r="13" spans="1:6" x14ac:dyDescent="0.35">
      <c r="A13" s="12" t="s">
        <v>194</v>
      </c>
      <c r="B13" s="14">
        <v>370.7</v>
      </c>
      <c r="C13" s="14">
        <v>27.2</v>
      </c>
    </row>
    <row r="14" spans="1:6" x14ac:dyDescent="0.35">
      <c r="A14" s="12" t="s">
        <v>195</v>
      </c>
      <c r="B14" s="14">
        <v>333.6</v>
      </c>
      <c r="C14" s="14">
        <v>23.7</v>
      </c>
    </row>
    <row r="15" spans="1:6" x14ac:dyDescent="0.35">
      <c r="A15" s="12" t="s">
        <v>196</v>
      </c>
      <c r="B15" s="14">
        <v>358.7</v>
      </c>
      <c r="C15" s="14">
        <v>28.1</v>
      </c>
    </row>
    <row r="16" spans="1:6" x14ac:dyDescent="0.35">
      <c r="A16" s="12" t="s">
        <v>197</v>
      </c>
      <c r="B16" s="14">
        <v>357.4</v>
      </c>
      <c r="C16" s="14">
        <v>25.7</v>
      </c>
    </row>
    <row r="17" spans="1:11" x14ac:dyDescent="0.35">
      <c r="A17" s="12" t="s">
        <v>198</v>
      </c>
      <c r="B17" s="14">
        <v>276.8</v>
      </c>
      <c r="C17" s="14">
        <v>14.1</v>
      </c>
    </row>
    <row r="18" spans="1:11" x14ac:dyDescent="0.35">
      <c r="A18" s="12" t="s">
        <v>199</v>
      </c>
      <c r="B18" s="14">
        <v>287.5</v>
      </c>
      <c r="C18" s="14">
        <v>16.7</v>
      </c>
    </row>
    <row r="19" spans="1:11" x14ac:dyDescent="0.35">
      <c r="A19" s="12" t="s">
        <v>200</v>
      </c>
      <c r="B19" s="14">
        <v>336.2</v>
      </c>
      <c r="C19" s="14">
        <v>22.8</v>
      </c>
    </row>
    <row r="20" spans="1:11" x14ac:dyDescent="0.35">
      <c r="A20" s="12" t="s">
        <v>201</v>
      </c>
      <c r="B20" s="14">
        <v>411.2</v>
      </c>
      <c r="C20" s="14">
        <v>36.799999999999997</v>
      </c>
      <c r="F20"/>
      <c r="G20"/>
      <c r="H20"/>
      <c r="I20"/>
      <c r="J20"/>
      <c r="K20"/>
    </row>
    <row r="21" spans="1:11" x14ac:dyDescent="0.35">
      <c r="A21" s="12" t="s">
        <v>202</v>
      </c>
      <c r="B21" s="14">
        <v>361.2</v>
      </c>
      <c r="C21" s="14">
        <v>23.7</v>
      </c>
    </row>
    <row r="22" spans="1:11" x14ac:dyDescent="0.35">
      <c r="A22" s="12" t="s">
        <v>203</v>
      </c>
      <c r="B22" s="14">
        <v>331.4</v>
      </c>
      <c r="C22" s="14">
        <v>23.3</v>
      </c>
      <c r="G22"/>
      <c r="H22"/>
      <c r="I22"/>
      <c r="J22"/>
    </row>
    <row r="23" spans="1:11" x14ac:dyDescent="0.35">
      <c r="A23" s="12" t="s">
        <v>204</v>
      </c>
      <c r="B23" s="14">
        <v>294.7</v>
      </c>
      <c r="C23" s="14">
        <v>16.8</v>
      </c>
    </row>
    <row r="24" spans="1:11" x14ac:dyDescent="0.35">
      <c r="A24" s="12" t="s">
        <v>205</v>
      </c>
      <c r="B24" s="14">
        <v>294.8</v>
      </c>
      <c r="C24" s="14">
        <v>17.7</v>
      </c>
    </row>
    <row r="25" spans="1:11" x14ac:dyDescent="0.35">
      <c r="A25" s="12" t="s">
        <v>206</v>
      </c>
      <c r="B25" s="14">
        <v>358.1</v>
      </c>
      <c r="C25" s="14">
        <v>21</v>
      </c>
    </row>
    <row r="26" spans="1:11" x14ac:dyDescent="0.35">
      <c r="A26" s="12" t="s">
        <v>207</v>
      </c>
      <c r="B26" s="14">
        <v>327.39999999999998</v>
      </c>
      <c r="C26" s="14">
        <v>24.6</v>
      </c>
    </row>
    <row r="27" spans="1:11" x14ac:dyDescent="0.35">
      <c r="A27" s="12" t="s">
        <v>208</v>
      </c>
      <c r="B27" s="14">
        <v>315.2</v>
      </c>
      <c r="C27" s="14">
        <v>25.8</v>
      </c>
    </row>
    <row r="28" spans="1:11" x14ac:dyDescent="0.35">
      <c r="A28" s="8" t="s">
        <v>209</v>
      </c>
      <c r="B28" s="15">
        <v>237.3</v>
      </c>
      <c r="C28" s="15">
        <v>13.7</v>
      </c>
    </row>
    <row r="29" spans="1:11" x14ac:dyDescent="0.35">
      <c r="A29" s="12" t="s">
        <v>210</v>
      </c>
      <c r="B29" s="14">
        <v>348.9</v>
      </c>
      <c r="C29" s="14">
        <v>24.6</v>
      </c>
    </row>
    <row r="30" spans="1:11" x14ac:dyDescent="0.35">
      <c r="A30" s="12" t="s">
        <v>211</v>
      </c>
      <c r="B30" s="14">
        <v>297.5</v>
      </c>
      <c r="C30" s="14">
        <v>16.399999999999999</v>
      </c>
    </row>
    <row r="31" spans="1:11" x14ac:dyDescent="0.35">
      <c r="A31" s="12" t="s">
        <v>212</v>
      </c>
      <c r="B31" s="14">
        <v>326.8</v>
      </c>
      <c r="C31" s="14">
        <v>20.9</v>
      </c>
    </row>
    <row r="32" spans="1:11" x14ac:dyDescent="0.35">
      <c r="A32" s="12" t="s">
        <v>213</v>
      </c>
      <c r="B32" s="14">
        <v>311.7</v>
      </c>
      <c r="C32" s="14">
        <v>18.8</v>
      </c>
    </row>
    <row r="33" spans="1:3" x14ac:dyDescent="0.35">
      <c r="A33" s="12" t="s">
        <v>214</v>
      </c>
      <c r="B33" s="14">
        <v>333.4</v>
      </c>
      <c r="C33" s="14">
        <v>20.9</v>
      </c>
    </row>
    <row r="1000" spans="648:648" x14ac:dyDescent="0.35">
      <c r="XX1000" s="44">
        <v>166765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B32"/>
  <sheetViews>
    <sheetView workbookViewId="0"/>
  </sheetViews>
  <sheetFormatPr defaultRowHeight="15.5" x14ac:dyDescent="0.35"/>
  <sheetData>
    <row r="1" spans="1:2" x14ac:dyDescent="0.35">
      <c r="A1">
        <v>344.1</v>
      </c>
      <c r="B1">
        <v>25.2</v>
      </c>
    </row>
    <row r="2" spans="1:2" x14ac:dyDescent="0.35">
      <c r="A2">
        <v>301</v>
      </c>
      <c r="B2">
        <v>16.2</v>
      </c>
    </row>
    <row r="3" spans="1:2" x14ac:dyDescent="0.35">
      <c r="A3">
        <v>302</v>
      </c>
      <c r="B3">
        <v>17.2</v>
      </c>
    </row>
    <row r="4" spans="1:2" x14ac:dyDescent="0.35">
      <c r="A4">
        <v>277.10000000000002</v>
      </c>
      <c r="B4">
        <v>15.8</v>
      </c>
    </row>
    <row r="5" spans="1:2" x14ac:dyDescent="0.35">
      <c r="A5">
        <v>284.89999999999998</v>
      </c>
      <c r="B5">
        <v>16.7</v>
      </c>
    </row>
    <row r="6" spans="1:2" x14ac:dyDescent="0.35">
      <c r="A6">
        <v>293.2</v>
      </c>
      <c r="B6">
        <v>20.9</v>
      </c>
    </row>
    <row r="7" spans="1:2" x14ac:dyDescent="0.35">
      <c r="A7">
        <v>348</v>
      </c>
      <c r="B7">
        <v>23.8</v>
      </c>
    </row>
    <row r="8" spans="1:2" x14ac:dyDescent="0.35">
      <c r="A8">
        <v>351.3</v>
      </c>
      <c r="B8">
        <v>25.1</v>
      </c>
    </row>
    <row r="9" spans="1:2" x14ac:dyDescent="0.35">
      <c r="A9">
        <v>365.7</v>
      </c>
      <c r="B9">
        <v>28.4</v>
      </c>
    </row>
    <row r="10" spans="1:2" x14ac:dyDescent="0.35">
      <c r="A10">
        <v>346.3</v>
      </c>
      <c r="B10">
        <v>20</v>
      </c>
    </row>
    <row r="11" spans="1:2" x14ac:dyDescent="0.35">
      <c r="A11">
        <v>322.89999999999998</v>
      </c>
      <c r="B11">
        <v>21.6</v>
      </c>
    </row>
    <row r="12" spans="1:2" x14ac:dyDescent="0.35">
      <c r="A12">
        <v>370.7</v>
      </c>
      <c r="B12">
        <v>27.2</v>
      </c>
    </row>
    <row r="13" spans="1:2" x14ac:dyDescent="0.35">
      <c r="A13">
        <v>333.6</v>
      </c>
      <c r="B13">
        <v>23.7</v>
      </c>
    </row>
    <row r="14" spans="1:2" x14ac:dyDescent="0.35">
      <c r="A14">
        <v>358.7</v>
      </c>
      <c r="B14">
        <v>28.1</v>
      </c>
    </row>
    <row r="15" spans="1:2" x14ac:dyDescent="0.35">
      <c r="A15">
        <v>357.4</v>
      </c>
      <c r="B15">
        <v>25.7</v>
      </c>
    </row>
    <row r="16" spans="1:2" x14ac:dyDescent="0.35">
      <c r="A16">
        <v>276.8</v>
      </c>
      <c r="B16">
        <v>14.1</v>
      </c>
    </row>
    <row r="17" spans="1:2" x14ac:dyDescent="0.35">
      <c r="A17">
        <v>287.5</v>
      </c>
      <c r="B17">
        <v>16.7</v>
      </c>
    </row>
    <row r="18" spans="1:2" x14ac:dyDescent="0.35">
      <c r="A18">
        <v>336.2</v>
      </c>
      <c r="B18">
        <v>22.8</v>
      </c>
    </row>
    <row r="19" spans="1:2" x14ac:dyDescent="0.35">
      <c r="A19">
        <v>411.2</v>
      </c>
      <c r="B19">
        <v>36.799999999999997</v>
      </c>
    </row>
    <row r="20" spans="1:2" x14ac:dyDescent="0.35">
      <c r="A20">
        <v>361.2</v>
      </c>
      <c r="B20">
        <v>23.7</v>
      </c>
    </row>
    <row r="21" spans="1:2" x14ac:dyDescent="0.35">
      <c r="A21">
        <v>331.4</v>
      </c>
      <c r="B21">
        <v>23.3</v>
      </c>
    </row>
    <row r="22" spans="1:2" x14ac:dyDescent="0.35">
      <c r="A22">
        <v>294.7</v>
      </c>
      <c r="B22">
        <v>16.8</v>
      </c>
    </row>
    <row r="23" spans="1:2" x14ac:dyDescent="0.35">
      <c r="A23">
        <v>294.8</v>
      </c>
      <c r="B23">
        <v>17.7</v>
      </c>
    </row>
    <row r="24" spans="1:2" x14ac:dyDescent="0.35">
      <c r="A24">
        <v>358.1</v>
      </c>
      <c r="B24">
        <v>21</v>
      </c>
    </row>
    <row r="25" spans="1:2" x14ac:dyDescent="0.35">
      <c r="A25">
        <v>327.39999999999998</v>
      </c>
      <c r="B25">
        <v>24.6</v>
      </c>
    </row>
    <row r="26" spans="1:2" x14ac:dyDescent="0.35">
      <c r="A26">
        <v>315.2</v>
      </c>
      <c r="B26">
        <v>25.8</v>
      </c>
    </row>
    <row r="27" spans="1:2" x14ac:dyDescent="0.35">
      <c r="A27">
        <v>237.3</v>
      </c>
      <c r="B27">
        <v>13.7</v>
      </c>
    </row>
    <row r="28" spans="1:2" x14ac:dyDescent="0.35">
      <c r="A28">
        <v>348.9</v>
      </c>
      <c r="B28">
        <v>24.6</v>
      </c>
    </row>
    <row r="29" spans="1:2" x14ac:dyDescent="0.35">
      <c r="A29">
        <v>297.5</v>
      </c>
      <c r="B29">
        <v>16.399999999999999</v>
      </c>
    </row>
    <row r="30" spans="1:2" x14ac:dyDescent="0.35">
      <c r="A30">
        <v>326.8</v>
      </c>
      <c r="B30">
        <v>20.9</v>
      </c>
    </row>
    <row r="31" spans="1:2" x14ac:dyDescent="0.35">
      <c r="A31">
        <v>311.7</v>
      </c>
      <c r="B31">
        <v>18.8</v>
      </c>
    </row>
    <row r="32" spans="1:2" x14ac:dyDescent="0.35">
      <c r="A32">
        <v>333.4</v>
      </c>
      <c r="B32">
        <v>20.9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M192"/>
  <sheetViews>
    <sheetView zoomScaleNormal="100" workbookViewId="0">
      <selection activeCell="C15" sqref="C15"/>
    </sheetView>
  </sheetViews>
  <sheetFormatPr defaultRowHeight="15.5" x14ac:dyDescent="0.35"/>
  <cols>
    <col min="1" max="19" width="15.6640625" customWidth="1"/>
  </cols>
  <sheetData>
    <row r="1" spans="1:8" x14ac:dyDescent="0.35">
      <c r="A1" t="s">
        <v>450</v>
      </c>
    </row>
    <row r="2" spans="1:8" x14ac:dyDescent="0.35">
      <c r="A2" t="s">
        <v>244</v>
      </c>
    </row>
    <row r="3" spans="1:8" x14ac:dyDescent="0.35">
      <c r="A3" t="s">
        <v>245</v>
      </c>
    </row>
    <row r="4" spans="1:8" ht="38" customHeight="1" x14ac:dyDescent="0.35"/>
    <row r="5" spans="1:8" ht="16.25" customHeight="1" x14ac:dyDescent="0.35">
      <c r="A5" s="79"/>
    </row>
    <row r="9" spans="1:8" ht="16" thickBot="1" x14ac:dyDescent="0.4"/>
    <row r="10" spans="1:8" ht="31" x14ac:dyDescent="0.35">
      <c r="A10" s="46" t="s">
        <v>247</v>
      </c>
      <c r="B10" s="47" t="s">
        <v>248</v>
      </c>
      <c r="C10" s="47" t="s">
        <v>249</v>
      </c>
      <c r="D10" s="47" t="s">
        <v>250</v>
      </c>
      <c r="E10" s="47" t="s">
        <v>251</v>
      </c>
      <c r="F10" s="47" t="s">
        <v>252</v>
      </c>
      <c r="G10" s="47" t="s">
        <v>253</v>
      </c>
      <c r="H10" s="47" t="s">
        <v>254</v>
      </c>
    </row>
    <row r="11" spans="1:8" x14ac:dyDescent="0.35">
      <c r="A11" s="48" t="s">
        <v>181</v>
      </c>
      <c r="B11" s="50">
        <v>32</v>
      </c>
      <c r="C11" s="50">
        <v>0</v>
      </c>
      <c r="D11" s="50">
        <v>32</v>
      </c>
      <c r="E11" s="52">
        <v>13.7</v>
      </c>
      <c r="F11" s="52">
        <v>36.799999999999997</v>
      </c>
      <c r="G11" s="52">
        <v>21.693749999999998</v>
      </c>
      <c r="H11" s="52">
        <v>4.9923126388349282</v>
      </c>
    </row>
    <row r="12" spans="1:8" ht="16" thickBot="1" x14ac:dyDescent="0.4">
      <c r="A12" s="49" t="s">
        <v>182</v>
      </c>
      <c r="B12" s="51">
        <v>32</v>
      </c>
      <c r="C12" s="51">
        <v>0</v>
      </c>
      <c r="D12" s="51">
        <v>32</v>
      </c>
      <c r="E12" s="53">
        <v>237.3</v>
      </c>
      <c r="F12" s="53">
        <v>411.2</v>
      </c>
      <c r="G12" s="53">
        <v>325.21875000000011</v>
      </c>
      <c r="H12" s="53">
        <v>35.468690759507162</v>
      </c>
    </row>
    <row r="15" spans="1:8" x14ac:dyDescent="0.35">
      <c r="A15" s="5" t="s">
        <v>256</v>
      </c>
    </row>
    <row r="16" spans="1:8" ht="16" thickBot="1" x14ac:dyDescent="0.4"/>
    <row r="17" spans="1:3" x14ac:dyDescent="0.35">
      <c r="A17" s="46"/>
      <c r="B17" s="47" t="s">
        <v>182</v>
      </c>
      <c r="C17" s="54" t="s">
        <v>181</v>
      </c>
    </row>
    <row r="18" spans="1:3" x14ac:dyDescent="0.35">
      <c r="A18" s="55" t="s">
        <v>182</v>
      </c>
      <c r="B18" s="60">
        <v>1</v>
      </c>
      <c r="C18" s="58">
        <v>0.89439965577532765</v>
      </c>
    </row>
    <row r="19" spans="1:3" ht="16" thickBot="1" x14ac:dyDescent="0.4">
      <c r="A19" s="56" t="s">
        <v>181</v>
      </c>
      <c r="B19" s="59">
        <v>0.89439965577532765</v>
      </c>
      <c r="C19" s="61">
        <v>1</v>
      </c>
    </row>
    <row r="25" spans="1:3" ht="16" thickBot="1" x14ac:dyDescent="0.4"/>
    <row r="26" spans="1:3" x14ac:dyDescent="0.35">
      <c r="A26" s="62" t="s">
        <v>248</v>
      </c>
      <c r="B26" s="63">
        <v>32</v>
      </c>
    </row>
    <row r="27" spans="1:3" x14ac:dyDescent="0.35">
      <c r="A27" s="45" t="s">
        <v>259</v>
      </c>
      <c r="B27" s="64">
        <v>32</v>
      </c>
    </row>
    <row r="28" spans="1:3" x14ac:dyDescent="0.35">
      <c r="A28" s="45" t="s">
        <v>260</v>
      </c>
      <c r="B28" s="64">
        <v>30</v>
      </c>
    </row>
    <row r="29" spans="1:3" x14ac:dyDescent="0.35">
      <c r="A29" s="45" t="s">
        <v>261</v>
      </c>
      <c r="B29" s="65">
        <v>0.79995074425102464</v>
      </c>
    </row>
    <row r="30" spans="1:3" x14ac:dyDescent="0.35">
      <c r="A30" s="45" t="s">
        <v>262</v>
      </c>
      <c r="B30" s="65">
        <v>0.79328243572605883</v>
      </c>
    </row>
    <row r="31" spans="1:3" x14ac:dyDescent="0.35">
      <c r="A31" s="45" t="s">
        <v>263</v>
      </c>
      <c r="B31" s="65">
        <v>5.1520601971734559</v>
      </c>
    </row>
    <row r="32" spans="1:3" x14ac:dyDescent="0.35">
      <c r="A32" s="45" t="s">
        <v>264</v>
      </c>
      <c r="B32" s="65">
        <v>2.2698150138664288</v>
      </c>
    </row>
    <row r="33" spans="1:7" x14ac:dyDescent="0.35">
      <c r="A33" s="45" t="s">
        <v>265</v>
      </c>
      <c r="B33" s="65">
        <v>7.6544618351579272</v>
      </c>
    </row>
    <row r="34" spans="1:7" x14ac:dyDescent="0.35">
      <c r="A34" s="45" t="s">
        <v>266</v>
      </c>
      <c r="B34" s="65">
        <v>1.9431490717075264</v>
      </c>
    </row>
    <row r="35" spans="1:7" x14ac:dyDescent="0.35">
      <c r="A35" s="45" t="s">
        <v>267</v>
      </c>
      <c r="B35" s="65">
        <v>2</v>
      </c>
    </row>
    <row r="36" spans="1:7" x14ac:dyDescent="0.35">
      <c r="A36" s="45" t="s">
        <v>268</v>
      </c>
      <c r="B36" s="65">
        <v>54.395460858566381</v>
      </c>
    </row>
    <row r="37" spans="1:7" x14ac:dyDescent="0.35">
      <c r="A37" s="45" t="s">
        <v>269</v>
      </c>
      <c r="B37" s="65">
        <v>54.809253962014658</v>
      </c>
    </row>
    <row r="38" spans="1:7" x14ac:dyDescent="0.35">
      <c r="A38" s="45" t="s">
        <v>270</v>
      </c>
      <c r="B38" s="65">
        <v>57.326932664165831</v>
      </c>
    </row>
    <row r="39" spans="1:7" ht="16" thickBot="1" x14ac:dyDescent="0.4">
      <c r="A39" s="49" t="s">
        <v>271</v>
      </c>
      <c r="B39" s="53">
        <v>0.22672248984883875</v>
      </c>
    </row>
    <row r="43" spans="1:7" ht="16" thickBot="1" x14ac:dyDescent="0.4"/>
    <row r="44" spans="1:7" ht="31" x14ac:dyDescent="0.35">
      <c r="A44" s="46" t="s">
        <v>273</v>
      </c>
      <c r="B44" s="47" t="s">
        <v>260</v>
      </c>
      <c r="C44" s="47" t="s">
        <v>274</v>
      </c>
      <c r="D44" s="47" t="s">
        <v>275</v>
      </c>
      <c r="E44" s="47" t="s">
        <v>276</v>
      </c>
      <c r="F44" s="47" t="s">
        <v>277</v>
      </c>
      <c r="G44" s="47" t="s">
        <v>278</v>
      </c>
    </row>
    <row r="45" spans="1:7" x14ac:dyDescent="0.35">
      <c r="A45" s="55" t="s">
        <v>279</v>
      </c>
      <c r="B45" s="57">
        <v>1</v>
      </c>
      <c r="C45" s="57">
        <v>618.05694408479656</v>
      </c>
      <c r="D45" s="57">
        <v>618.05694408479656</v>
      </c>
      <c r="E45" s="57">
        <v>119.96306728401144</v>
      </c>
      <c r="F45" s="67">
        <v>5.2716810240814517E-12</v>
      </c>
      <c r="G45" s="70" t="s">
        <v>448</v>
      </c>
    </row>
    <row r="47" spans="1:7" ht="16" thickBot="1" x14ac:dyDescent="0.4">
      <c r="A47" s="49" t="s">
        <v>281</v>
      </c>
      <c r="B47" s="53">
        <v>31</v>
      </c>
      <c r="C47" s="53">
        <v>772.6187500000002</v>
      </c>
      <c r="D47" s="53"/>
      <c r="E47" s="53"/>
      <c r="F47" s="69"/>
      <c r="G47" s="72" t="s">
        <v>283</v>
      </c>
    </row>
    <row r="48" spans="1:7" x14ac:dyDescent="0.35">
      <c r="A48" s="73" t="s">
        <v>284</v>
      </c>
    </row>
    <row r="49" spans="1:8" x14ac:dyDescent="0.35">
      <c r="A49" s="73" t="s">
        <v>285</v>
      </c>
    </row>
    <row r="53" spans="1:8" ht="16" thickBot="1" x14ac:dyDescent="0.4"/>
    <row r="54" spans="1:8" ht="31" x14ac:dyDescent="0.35">
      <c r="A54" s="46" t="s">
        <v>273</v>
      </c>
      <c r="B54" s="47" t="s">
        <v>287</v>
      </c>
      <c r="C54" s="47" t="s">
        <v>288</v>
      </c>
      <c r="D54" s="47" t="s">
        <v>289</v>
      </c>
      <c r="E54" s="47" t="s">
        <v>290</v>
      </c>
      <c r="F54" s="47" t="s">
        <v>291</v>
      </c>
      <c r="G54" s="47" t="s">
        <v>292</v>
      </c>
      <c r="H54" s="47" t="s">
        <v>278</v>
      </c>
    </row>
    <row r="55" spans="1:8" x14ac:dyDescent="0.35">
      <c r="A55" s="55" t="s">
        <v>293</v>
      </c>
      <c r="B55" s="57">
        <v>-19.247756265045521</v>
      </c>
      <c r="C55" s="57">
        <v>3.759480472129066</v>
      </c>
      <c r="D55" s="57">
        <v>-5.1197915264459786</v>
      </c>
      <c r="E55" s="67">
        <v>1.6609971212520843E-5</v>
      </c>
      <c r="F55" s="57">
        <v>-26.925639683163965</v>
      </c>
      <c r="G55" s="57">
        <v>-11.569872846927076</v>
      </c>
      <c r="H55" s="70" t="s">
        <v>448</v>
      </c>
    </row>
    <row r="56" spans="1:8" ht="16" thickBot="1" x14ac:dyDescent="0.4">
      <c r="A56" s="49" t="s">
        <v>182</v>
      </c>
      <c r="B56" s="53">
        <v>0.12588913236105084</v>
      </c>
      <c r="C56" s="53">
        <v>1.1493821801164584E-2</v>
      </c>
      <c r="D56" s="53">
        <v>10.952765280239113</v>
      </c>
      <c r="E56" s="69">
        <v>5.2717830101300933E-12</v>
      </c>
      <c r="F56" s="53">
        <v>0.10241561667924358</v>
      </c>
      <c r="G56" s="53">
        <v>0.14936264804285812</v>
      </c>
      <c r="H56" s="72" t="s">
        <v>448</v>
      </c>
    </row>
    <row r="57" spans="1:8" x14ac:dyDescent="0.35">
      <c r="A57" s="73" t="s">
        <v>285</v>
      </c>
    </row>
    <row r="66" spans="1:8" ht="16" thickBot="1" x14ac:dyDescent="0.4"/>
    <row r="67" spans="1:8" ht="31" x14ac:dyDescent="0.35">
      <c r="A67" s="46" t="s">
        <v>273</v>
      </c>
      <c r="B67" s="47" t="s">
        <v>287</v>
      </c>
      <c r="C67" s="47" t="s">
        <v>288</v>
      </c>
      <c r="D67" s="47" t="s">
        <v>289</v>
      </c>
      <c r="E67" s="47" t="s">
        <v>290</v>
      </c>
      <c r="F67" s="47" t="s">
        <v>291</v>
      </c>
      <c r="G67" s="47" t="s">
        <v>292</v>
      </c>
      <c r="H67" s="47" t="s">
        <v>278</v>
      </c>
    </row>
    <row r="68" spans="1:8" ht="16" thickBot="1" x14ac:dyDescent="0.4">
      <c r="A68" s="74" t="s">
        <v>182</v>
      </c>
      <c r="B68" s="75">
        <v>0.89439965577532754</v>
      </c>
      <c r="C68" s="75">
        <v>8.1659711761466844E-2</v>
      </c>
      <c r="D68" s="75">
        <v>10.952765280239113</v>
      </c>
      <c r="E68" s="76">
        <v>5.2717830101300933E-12</v>
      </c>
      <c r="F68" s="75">
        <v>0.72762827565784272</v>
      </c>
      <c r="G68" s="75">
        <v>1.0611710358928124</v>
      </c>
      <c r="H68" s="77" t="s">
        <v>448</v>
      </c>
    </row>
    <row r="69" spans="1:8" x14ac:dyDescent="0.35">
      <c r="A69" s="73" t="s">
        <v>285</v>
      </c>
    </row>
    <row r="92" spans="1:13" ht="16" thickBot="1" x14ac:dyDescent="0.4"/>
    <row r="93" spans="1:13" ht="46.5" x14ac:dyDescent="0.35">
      <c r="A93" s="46" t="s">
        <v>300</v>
      </c>
      <c r="B93" s="47" t="s">
        <v>301</v>
      </c>
      <c r="C93" s="47" t="s">
        <v>182</v>
      </c>
      <c r="D93" s="47" t="s">
        <v>181</v>
      </c>
      <c r="E93" s="47" t="s">
        <v>449</v>
      </c>
      <c r="F93" s="47" t="s">
        <v>434</v>
      </c>
      <c r="G93" s="47" t="s">
        <v>435</v>
      </c>
      <c r="H93" s="47" t="s">
        <v>436</v>
      </c>
      <c r="I93" s="47" t="s">
        <v>437</v>
      </c>
      <c r="J93" s="47" t="s">
        <v>438</v>
      </c>
      <c r="K93" s="47" t="s">
        <v>439</v>
      </c>
      <c r="L93" s="47" t="s">
        <v>440</v>
      </c>
      <c r="M93" s="47" t="s">
        <v>441</v>
      </c>
    </row>
    <row r="94" spans="1:13" x14ac:dyDescent="0.35">
      <c r="A94" s="55" t="s">
        <v>302</v>
      </c>
      <c r="B94" s="78">
        <v>1</v>
      </c>
      <c r="C94" s="57">
        <v>344.1</v>
      </c>
      <c r="D94" s="57">
        <v>25.2</v>
      </c>
      <c r="E94" s="57">
        <v>24.070694180392078</v>
      </c>
      <c r="F94" s="57">
        <v>1.1293058196079215</v>
      </c>
      <c r="G94" s="57">
        <v>0.4975320952187417</v>
      </c>
      <c r="H94" s="57">
        <v>0.45617822526628365</v>
      </c>
      <c r="I94" s="57">
        <v>23.139053955780092</v>
      </c>
      <c r="J94" s="57">
        <v>25.002334405004063</v>
      </c>
      <c r="K94" s="57">
        <v>2.3152016694837951</v>
      </c>
      <c r="L94" s="57">
        <v>19.342421580092346</v>
      </c>
      <c r="M94" s="57">
        <v>28.79896678069181</v>
      </c>
    </row>
    <row r="95" spans="1:13" x14ac:dyDescent="0.35">
      <c r="A95" s="45" t="s">
        <v>303</v>
      </c>
      <c r="B95" s="64">
        <v>1</v>
      </c>
      <c r="C95" s="65">
        <v>301</v>
      </c>
      <c r="D95" s="65">
        <v>16.2</v>
      </c>
      <c r="E95" s="65">
        <v>18.644872575630782</v>
      </c>
      <c r="F95" s="65">
        <v>-2.4448725756307823</v>
      </c>
      <c r="G95" s="65">
        <v>-1.0771241535961815</v>
      </c>
      <c r="H95" s="65">
        <v>0.48835387712866257</v>
      </c>
      <c r="I95" s="65">
        <v>17.647520903457689</v>
      </c>
      <c r="J95" s="65">
        <v>19.642224247803874</v>
      </c>
      <c r="K95" s="65">
        <v>2.3217557379018263</v>
      </c>
      <c r="L95" s="65">
        <v>13.903214781924387</v>
      </c>
      <c r="M95" s="65">
        <v>23.386530369337176</v>
      </c>
    </row>
    <row r="96" spans="1:13" x14ac:dyDescent="0.35">
      <c r="A96" s="45" t="s">
        <v>304</v>
      </c>
      <c r="B96" s="64">
        <v>1</v>
      </c>
      <c r="C96" s="65">
        <v>302</v>
      </c>
      <c r="D96" s="65">
        <v>17.2</v>
      </c>
      <c r="E96" s="65">
        <v>18.770761707991834</v>
      </c>
      <c r="F96" s="65">
        <v>-1.570761707991835</v>
      </c>
      <c r="G96" s="65">
        <v>-0.69202190416221698</v>
      </c>
      <c r="H96" s="65">
        <v>0.48189484218236622</v>
      </c>
      <c r="I96" s="65">
        <v>17.786601144983656</v>
      </c>
      <c r="J96" s="65">
        <v>19.754922271000012</v>
      </c>
      <c r="K96" s="65">
        <v>2.3204057481603133</v>
      </c>
      <c r="L96" s="65">
        <v>14.03186096115078</v>
      </c>
      <c r="M96" s="65">
        <v>23.509662454832888</v>
      </c>
    </row>
    <row r="97" spans="1:13" x14ac:dyDescent="0.35">
      <c r="A97" s="45" t="s">
        <v>305</v>
      </c>
      <c r="B97" s="64">
        <v>1</v>
      </c>
      <c r="C97" s="65">
        <v>277.10000000000002</v>
      </c>
      <c r="D97" s="65">
        <v>15.8</v>
      </c>
      <c r="E97" s="65">
        <v>15.636122312201667</v>
      </c>
      <c r="F97" s="65">
        <v>0.16387768779833323</v>
      </c>
      <c r="G97" s="65">
        <v>7.2198697601872891E-2</v>
      </c>
      <c r="H97" s="65">
        <v>0.68329090981276897</v>
      </c>
      <c r="I97" s="65">
        <v>14.240656107470596</v>
      </c>
      <c r="J97" s="65">
        <v>17.031588516932739</v>
      </c>
      <c r="K97" s="65">
        <v>2.3704317464559526</v>
      </c>
      <c r="L97" s="65">
        <v>10.795054846943962</v>
      </c>
      <c r="M97" s="65">
        <v>20.477189777459373</v>
      </c>
    </row>
    <row r="98" spans="1:13" x14ac:dyDescent="0.35">
      <c r="A98" s="45" t="s">
        <v>306</v>
      </c>
      <c r="B98" s="64">
        <v>1</v>
      </c>
      <c r="C98" s="65">
        <v>284.89999999999998</v>
      </c>
      <c r="D98" s="65">
        <v>16.7</v>
      </c>
      <c r="E98" s="65">
        <v>16.618057544617859</v>
      </c>
      <c r="F98" s="65">
        <v>8.1942455382140622E-2</v>
      </c>
      <c r="G98" s="65">
        <v>3.6100939892259723E-2</v>
      </c>
      <c r="H98" s="65">
        <v>0.61299001570136291</v>
      </c>
      <c r="I98" s="65">
        <v>15.366164919581747</v>
      </c>
      <c r="J98" s="65">
        <v>17.869950169653972</v>
      </c>
      <c r="K98" s="65">
        <v>2.351130995185724</v>
      </c>
      <c r="L98" s="65">
        <v>11.816407472064682</v>
      </c>
      <c r="M98" s="65">
        <v>21.419707617171035</v>
      </c>
    </row>
    <row r="99" spans="1:13" x14ac:dyDescent="0.35">
      <c r="A99" s="45" t="s">
        <v>307</v>
      </c>
      <c r="B99" s="64">
        <v>1</v>
      </c>
      <c r="C99" s="65">
        <v>293.2</v>
      </c>
      <c r="D99" s="65">
        <v>20.9</v>
      </c>
      <c r="E99" s="65">
        <v>17.662937343214583</v>
      </c>
      <c r="F99" s="65">
        <v>3.2370626567854153</v>
      </c>
      <c r="G99" s="65">
        <v>1.4261350096858183</v>
      </c>
      <c r="H99" s="65">
        <v>0.54446210821382046</v>
      </c>
      <c r="I99" s="65">
        <v>16.550997376126176</v>
      </c>
      <c r="J99" s="65">
        <v>18.77487731030299</v>
      </c>
      <c r="K99" s="65">
        <v>2.334202044479889</v>
      </c>
      <c r="L99" s="65">
        <v>12.895860800401504</v>
      </c>
      <c r="M99" s="65">
        <v>22.430013886027663</v>
      </c>
    </row>
    <row r="100" spans="1:13" x14ac:dyDescent="0.35">
      <c r="A100" s="45" t="s">
        <v>308</v>
      </c>
      <c r="B100" s="64">
        <v>1</v>
      </c>
      <c r="C100" s="65">
        <v>348</v>
      </c>
      <c r="D100" s="65">
        <v>23.8</v>
      </c>
      <c r="E100" s="65">
        <v>24.561661796600173</v>
      </c>
      <c r="F100" s="65">
        <v>-0.76166179660017264</v>
      </c>
      <c r="G100" s="65">
        <v>-0.33556117654836959</v>
      </c>
      <c r="H100" s="65">
        <v>0.47912834046586944</v>
      </c>
      <c r="I100" s="65">
        <v>23.583151183847825</v>
      </c>
      <c r="J100" s="65">
        <v>25.540172409352522</v>
      </c>
      <c r="K100" s="65">
        <v>2.319832787898954</v>
      </c>
      <c r="L100" s="65">
        <v>19.823931190719431</v>
      </c>
      <c r="M100" s="65">
        <v>29.299392402480915</v>
      </c>
    </row>
    <row r="101" spans="1:13" x14ac:dyDescent="0.35">
      <c r="A101" s="45" t="s">
        <v>309</v>
      </c>
      <c r="B101" s="64">
        <v>1</v>
      </c>
      <c r="C101" s="65">
        <v>351.3</v>
      </c>
      <c r="D101" s="65">
        <v>25.1</v>
      </c>
      <c r="E101" s="65">
        <v>24.977095933391642</v>
      </c>
      <c r="F101" s="65">
        <v>0.12290406660835984</v>
      </c>
      <c r="G101" s="65">
        <v>5.4147173165007688E-2</v>
      </c>
      <c r="H101" s="65">
        <v>0.50086512804627248</v>
      </c>
      <c r="I101" s="65">
        <v>23.954192878076018</v>
      </c>
      <c r="J101" s="65">
        <v>25.999998988707265</v>
      </c>
      <c r="K101" s="65">
        <v>2.3244195132691226</v>
      </c>
      <c r="L101" s="65">
        <v>20.229997984622926</v>
      </c>
      <c r="M101" s="65">
        <v>29.724193882160357</v>
      </c>
    </row>
    <row r="102" spans="1:13" x14ac:dyDescent="0.35">
      <c r="A102" s="45" t="s">
        <v>310</v>
      </c>
      <c r="B102" s="64">
        <v>1</v>
      </c>
      <c r="C102" s="65">
        <v>365.7</v>
      </c>
      <c r="D102" s="65">
        <v>28.4</v>
      </c>
      <c r="E102" s="65">
        <v>26.789899439390769</v>
      </c>
      <c r="F102" s="65">
        <v>1.6101005606092293</v>
      </c>
      <c r="G102" s="65">
        <v>0.70935320754027686</v>
      </c>
      <c r="H102" s="65">
        <v>0.61440323615396275</v>
      </c>
      <c r="I102" s="65">
        <v>25.535120633149674</v>
      </c>
      <c r="J102" s="65">
        <v>28.044678245631864</v>
      </c>
      <c r="K102" s="65">
        <v>2.3514998477078235</v>
      </c>
      <c r="L102" s="65">
        <v>21.987496069491282</v>
      </c>
      <c r="M102" s="65">
        <v>31.592302809290256</v>
      </c>
    </row>
    <row r="103" spans="1:13" x14ac:dyDescent="0.35">
      <c r="A103" s="45" t="s">
        <v>311</v>
      </c>
      <c r="B103" s="64">
        <v>1</v>
      </c>
      <c r="C103" s="65">
        <v>346.3</v>
      </c>
      <c r="D103" s="65">
        <v>20</v>
      </c>
      <c r="E103" s="65">
        <v>24.347650271586385</v>
      </c>
      <c r="F103" s="65">
        <v>-4.3476502715863852</v>
      </c>
      <c r="G103" s="65">
        <v>-1.9154205276757545</v>
      </c>
      <c r="H103" s="65">
        <v>0.46873571763479782</v>
      </c>
      <c r="I103" s="65">
        <v>23.390364226190346</v>
      </c>
      <c r="J103" s="65">
        <v>25.304936316982424</v>
      </c>
      <c r="K103" s="65">
        <v>2.317708646521401</v>
      </c>
      <c r="L103" s="65">
        <v>19.614257741134246</v>
      </c>
      <c r="M103" s="65">
        <v>29.081042802038525</v>
      </c>
    </row>
    <row r="104" spans="1:13" x14ac:dyDescent="0.35">
      <c r="A104" s="45" t="s">
        <v>312</v>
      </c>
      <c r="B104" s="64">
        <v>1</v>
      </c>
      <c r="C104" s="65">
        <v>322.89999999999998</v>
      </c>
      <c r="D104" s="65">
        <v>21.6</v>
      </c>
      <c r="E104" s="65">
        <v>21.40184457433779</v>
      </c>
      <c r="F104" s="65">
        <v>0.19815542566221112</v>
      </c>
      <c r="G104" s="65">
        <v>8.7300253303316949E-2</v>
      </c>
      <c r="H104" s="65">
        <v>0.4021345209207064</v>
      </c>
      <c r="I104" s="65">
        <v>20.580576318545639</v>
      </c>
      <c r="J104" s="65">
        <v>22.223112830129942</v>
      </c>
      <c r="K104" s="65">
        <v>2.3051621136244589</v>
      </c>
      <c r="L104" s="65">
        <v>16.694075482442777</v>
      </c>
      <c r="M104" s="65">
        <v>26.109613666232804</v>
      </c>
    </row>
    <row r="105" spans="1:13" x14ac:dyDescent="0.35">
      <c r="A105" s="45" t="s">
        <v>313</v>
      </c>
      <c r="B105" s="64">
        <v>1</v>
      </c>
      <c r="C105" s="65">
        <v>370.7</v>
      </c>
      <c r="D105" s="65">
        <v>27.2</v>
      </c>
      <c r="E105" s="65">
        <v>27.419345101196026</v>
      </c>
      <c r="F105" s="65">
        <v>-0.21934510119602635</v>
      </c>
      <c r="G105" s="65">
        <v>-9.6635672887893806E-2</v>
      </c>
      <c r="H105" s="65">
        <v>0.65899391528637485</v>
      </c>
      <c r="I105" s="65">
        <v>26.073499979156381</v>
      </c>
      <c r="J105" s="65">
        <v>28.76519022323567</v>
      </c>
      <c r="K105" s="65">
        <v>2.3635425059765525</v>
      </c>
      <c r="L105" s="65">
        <v>22.592347342014026</v>
      </c>
      <c r="M105" s="65">
        <v>32.246342860378022</v>
      </c>
    </row>
    <row r="106" spans="1:13" x14ac:dyDescent="0.35">
      <c r="A106" s="45" t="s">
        <v>314</v>
      </c>
      <c r="B106" s="64">
        <v>1</v>
      </c>
      <c r="C106" s="65">
        <v>333.6</v>
      </c>
      <c r="D106" s="65">
        <v>23.7</v>
      </c>
      <c r="E106" s="65">
        <v>22.748858290601046</v>
      </c>
      <c r="F106" s="65">
        <v>0.95114170939895359</v>
      </c>
      <c r="G106" s="65">
        <v>0.41903930654629334</v>
      </c>
      <c r="H106" s="65">
        <v>0.41265221412571373</v>
      </c>
      <c r="I106" s="65">
        <v>21.906110039672797</v>
      </c>
      <c r="J106" s="65">
        <v>23.591606541529295</v>
      </c>
      <c r="K106" s="65">
        <v>2.3070201661442646</v>
      </c>
      <c r="L106" s="65">
        <v>18.037294549222526</v>
      </c>
      <c r="M106" s="65">
        <v>27.460422031979565</v>
      </c>
    </row>
    <row r="107" spans="1:13" x14ac:dyDescent="0.35">
      <c r="A107" s="45" t="s">
        <v>315</v>
      </c>
      <c r="B107" s="64">
        <v>1</v>
      </c>
      <c r="C107" s="65">
        <v>358.7</v>
      </c>
      <c r="D107" s="65">
        <v>28.1</v>
      </c>
      <c r="E107" s="65">
        <v>25.908675512863415</v>
      </c>
      <c r="F107" s="65">
        <v>2.1913244871365869</v>
      </c>
      <c r="G107" s="65">
        <v>0.96541985745519399</v>
      </c>
      <c r="H107" s="65">
        <v>0.55596232086302289</v>
      </c>
      <c r="I107" s="65">
        <v>24.773248978240282</v>
      </c>
      <c r="J107" s="65">
        <v>27.044102047486547</v>
      </c>
      <c r="K107" s="65">
        <v>2.3369112733248678</v>
      </c>
      <c r="L107" s="65">
        <v>21.1360659866025</v>
      </c>
      <c r="M107" s="65">
        <v>30.681285039124329</v>
      </c>
    </row>
    <row r="108" spans="1:13" x14ac:dyDescent="0.35">
      <c r="A108" s="45" t="s">
        <v>316</v>
      </c>
      <c r="B108" s="64">
        <v>1</v>
      </c>
      <c r="C108" s="65">
        <v>357.4</v>
      </c>
      <c r="D108" s="65">
        <v>25.7</v>
      </c>
      <c r="E108" s="65">
        <v>25.745019640794045</v>
      </c>
      <c r="F108" s="65">
        <v>-4.5019640794045301E-2</v>
      </c>
      <c r="G108" s="65">
        <v>-1.9834057189250118E-2</v>
      </c>
      <c r="H108" s="65">
        <v>0.54572630810735212</v>
      </c>
      <c r="I108" s="65">
        <v>24.630497833083858</v>
      </c>
      <c r="J108" s="65">
        <v>26.859541448504231</v>
      </c>
      <c r="K108" s="65">
        <v>2.3344972479174046</v>
      </c>
      <c r="L108" s="65">
        <v>20.97734021213153</v>
      </c>
      <c r="M108" s="65">
        <v>30.512699069456559</v>
      </c>
    </row>
    <row r="109" spans="1:13" x14ac:dyDescent="0.35">
      <c r="A109" s="45" t="s">
        <v>317</v>
      </c>
      <c r="B109" s="64">
        <v>1</v>
      </c>
      <c r="C109" s="65">
        <v>276.8</v>
      </c>
      <c r="D109" s="65">
        <v>14.1</v>
      </c>
      <c r="E109" s="65">
        <v>15.598355572493357</v>
      </c>
      <c r="F109" s="65">
        <v>-1.4983555724933577</v>
      </c>
      <c r="G109" s="65">
        <v>-0.66012232862141562</v>
      </c>
      <c r="H109" s="65">
        <v>0.68608489161211916</v>
      </c>
      <c r="I109" s="65">
        <v>14.19718329569015</v>
      </c>
      <c r="J109" s="65">
        <v>16.999527849296562</v>
      </c>
      <c r="K109" s="65">
        <v>2.3712386374365337</v>
      </c>
      <c r="L109" s="65">
        <v>10.755640216010796</v>
      </c>
      <c r="M109" s="65">
        <v>20.441070928975918</v>
      </c>
    </row>
    <row r="110" spans="1:13" x14ac:dyDescent="0.35">
      <c r="A110" s="45" t="s">
        <v>318</v>
      </c>
      <c r="B110" s="64">
        <v>1</v>
      </c>
      <c r="C110" s="65">
        <v>287.5</v>
      </c>
      <c r="D110" s="65">
        <v>16.7</v>
      </c>
      <c r="E110" s="65">
        <v>16.945369288756599</v>
      </c>
      <c r="F110" s="65">
        <v>-0.24536928875659925</v>
      </c>
      <c r="G110" s="65">
        <v>-0.10810100702375494</v>
      </c>
      <c r="H110" s="65">
        <v>0.59072192161387538</v>
      </c>
      <c r="I110" s="65">
        <v>15.738954178929017</v>
      </c>
      <c r="J110" s="65">
        <v>18.15178439858418</v>
      </c>
      <c r="K110" s="65">
        <v>2.3454237540045177</v>
      </c>
      <c r="L110" s="65">
        <v>12.155374957669096</v>
      </c>
      <c r="M110" s="65">
        <v>21.735363619844101</v>
      </c>
    </row>
    <row r="111" spans="1:13" x14ac:dyDescent="0.35">
      <c r="A111" s="45" t="s">
        <v>319</v>
      </c>
      <c r="B111" s="64">
        <v>1</v>
      </c>
      <c r="C111" s="65">
        <v>336.2</v>
      </c>
      <c r="D111" s="65">
        <v>22.8</v>
      </c>
      <c r="E111" s="65">
        <v>23.076170034739771</v>
      </c>
      <c r="F111" s="65">
        <v>-0.27617003473977064</v>
      </c>
      <c r="G111" s="65">
        <v>-0.12167072340813335</v>
      </c>
      <c r="H111" s="65">
        <v>0.42063344347782428</v>
      </c>
      <c r="I111" s="65">
        <v>22.217121938938526</v>
      </c>
      <c r="J111" s="65">
        <v>23.935218130541017</v>
      </c>
      <c r="K111" s="65">
        <v>2.3084611088223834</v>
      </c>
      <c r="L111" s="65">
        <v>18.361663495818664</v>
      </c>
      <c r="M111" s="65">
        <v>27.790676573660878</v>
      </c>
    </row>
    <row r="112" spans="1:13" x14ac:dyDescent="0.35">
      <c r="A112" s="45" t="s">
        <v>320</v>
      </c>
      <c r="B112" s="64">
        <v>1</v>
      </c>
      <c r="C112" s="65">
        <v>411.2</v>
      </c>
      <c r="D112" s="65">
        <v>36.799999999999997</v>
      </c>
      <c r="E112" s="65">
        <v>32.517854961818585</v>
      </c>
      <c r="F112" s="65">
        <v>4.2821450381814117</v>
      </c>
      <c r="G112" s="65">
        <v>1.8865612448686542</v>
      </c>
      <c r="H112" s="65">
        <v>1.066604988156127</v>
      </c>
      <c r="I112" s="65">
        <v>30.339556972785914</v>
      </c>
      <c r="J112" s="65">
        <v>34.696152950851257</v>
      </c>
      <c r="K112" s="65">
        <v>2.5079287067085834</v>
      </c>
      <c r="L112" s="65">
        <v>27.395981241815925</v>
      </c>
      <c r="M112" s="65">
        <v>37.639728681821246</v>
      </c>
    </row>
    <row r="113" spans="1:13" x14ac:dyDescent="0.35">
      <c r="A113" s="45" t="s">
        <v>321</v>
      </c>
      <c r="B113" s="64">
        <v>1</v>
      </c>
      <c r="C113" s="65">
        <v>361.2</v>
      </c>
      <c r="D113" s="65">
        <v>23.7</v>
      </c>
      <c r="E113" s="65">
        <v>26.223398343766039</v>
      </c>
      <c r="F113" s="65">
        <v>-2.5233983437660399</v>
      </c>
      <c r="G113" s="65">
        <v>-1.1117198222544376</v>
      </c>
      <c r="H113" s="65">
        <v>0.5762251917480069</v>
      </c>
      <c r="I113" s="65">
        <v>25.046589506049525</v>
      </c>
      <c r="J113" s="65">
        <v>27.400207181482553</v>
      </c>
      <c r="K113" s="65">
        <v>2.3418146102495996</v>
      </c>
      <c r="L113" s="65">
        <v>21.440774867559927</v>
      </c>
      <c r="M113" s="65">
        <v>31.006021819972151</v>
      </c>
    </row>
    <row r="114" spans="1:13" x14ac:dyDescent="0.35">
      <c r="A114" s="45" t="s">
        <v>322</v>
      </c>
      <c r="B114" s="64">
        <v>1</v>
      </c>
      <c r="C114" s="65">
        <v>331.4</v>
      </c>
      <c r="D114" s="65">
        <v>23.3</v>
      </c>
      <c r="E114" s="65">
        <v>22.471902199406724</v>
      </c>
      <c r="F114" s="65">
        <v>0.82809780059327665</v>
      </c>
      <c r="G114" s="65">
        <v>0.36483052386841225</v>
      </c>
      <c r="H114" s="65">
        <v>0.40749164618187861</v>
      </c>
      <c r="I114" s="65">
        <v>21.639693234248885</v>
      </c>
      <c r="J114" s="65">
        <v>23.304111164564564</v>
      </c>
      <c r="K114" s="65">
        <v>2.3061026947821452</v>
      </c>
      <c r="L114" s="65">
        <v>17.762212184520479</v>
      </c>
      <c r="M114" s="65">
        <v>27.181592214292969</v>
      </c>
    </row>
    <row r="115" spans="1:13" x14ac:dyDescent="0.35">
      <c r="A115" s="45" t="s">
        <v>323</v>
      </c>
      <c r="B115" s="64">
        <v>1</v>
      </c>
      <c r="C115" s="65">
        <v>294.7</v>
      </c>
      <c r="D115" s="65">
        <v>16.8</v>
      </c>
      <c r="E115" s="65">
        <v>17.851771041756162</v>
      </c>
      <c r="F115" s="65">
        <v>-1.0517710417561617</v>
      </c>
      <c r="G115" s="65">
        <v>-0.4633730217356184</v>
      </c>
      <c r="H115" s="65">
        <v>0.53296007061676176</v>
      </c>
      <c r="I115" s="65">
        <v>16.763321369243222</v>
      </c>
      <c r="J115" s="65">
        <v>18.940220714269103</v>
      </c>
      <c r="K115" s="65">
        <v>2.3315459751086358</v>
      </c>
      <c r="L115" s="65">
        <v>13.09011891626194</v>
      </c>
      <c r="M115" s="65">
        <v>22.613423167250385</v>
      </c>
    </row>
    <row r="116" spans="1:13" x14ac:dyDescent="0.35">
      <c r="A116" s="45" t="s">
        <v>324</v>
      </c>
      <c r="B116" s="64">
        <v>1</v>
      </c>
      <c r="C116" s="65">
        <v>294.8</v>
      </c>
      <c r="D116" s="65">
        <v>17.7</v>
      </c>
      <c r="E116" s="65">
        <v>17.86435995499227</v>
      </c>
      <c r="F116" s="65">
        <v>-0.16435995499227118</v>
      </c>
      <c r="G116" s="65">
        <v>-7.2411167424740297E-2</v>
      </c>
      <c r="H116" s="65">
        <v>0.53220428795238461</v>
      </c>
      <c r="I116" s="65">
        <v>16.777453796597715</v>
      </c>
      <c r="J116" s="65">
        <v>18.951266113386826</v>
      </c>
      <c r="K116" s="65">
        <v>2.3313733294537706</v>
      </c>
      <c r="L116" s="65">
        <v>13.103060418963674</v>
      </c>
      <c r="M116" s="65">
        <v>22.625659491020869</v>
      </c>
    </row>
    <row r="117" spans="1:13" x14ac:dyDescent="0.35">
      <c r="A117" s="45" t="s">
        <v>325</v>
      </c>
      <c r="B117" s="64">
        <v>1</v>
      </c>
      <c r="C117" s="65">
        <v>358.1</v>
      </c>
      <c r="D117" s="65">
        <v>21</v>
      </c>
      <c r="E117" s="65">
        <v>25.833142033446787</v>
      </c>
      <c r="F117" s="65">
        <v>-4.8331420334467872</v>
      </c>
      <c r="G117" s="65">
        <v>-2.1293109808159909</v>
      </c>
      <c r="H117" s="65">
        <v>0.55121129735746388</v>
      </c>
      <c r="I117" s="65">
        <v>24.707418383268152</v>
      </c>
      <c r="J117" s="65">
        <v>26.958865683625422</v>
      </c>
      <c r="K117" s="65">
        <v>2.3357855405640207</v>
      </c>
      <c r="L117" s="65">
        <v>21.062831560196472</v>
      </c>
      <c r="M117" s="65">
        <v>30.603452506697103</v>
      </c>
    </row>
    <row r="118" spans="1:13" x14ac:dyDescent="0.35">
      <c r="A118" s="45" t="s">
        <v>326</v>
      </c>
      <c r="B118" s="64">
        <v>1</v>
      </c>
      <c r="C118" s="65">
        <v>327.39999999999998</v>
      </c>
      <c r="D118" s="65">
        <v>24.6</v>
      </c>
      <c r="E118" s="65">
        <v>21.96834566996252</v>
      </c>
      <c r="F118" s="65">
        <v>2.6316543300374811</v>
      </c>
      <c r="G118" s="65">
        <v>1.1594135706921291</v>
      </c>
      <c r="H118" s="65">
        <v>0.40203287319384751</v>
      </c>
      <c r="I118" s="65">
        <v>21.147285006523173</v>
      </c>
      <c r="J118" s="65">
        <v>22.789406333401867</v>
      </c>
      <c r="K118" s="65">
        <v>2.3051443833959633</v>
      </c>
      <c r="L118" s="65">
        <v>17.260612788024805</v>
      </c>
      <c r="M118" s="65">
        <v>26.676078551900236</v>
      </c>
    </row>
    <row r="119" spans="1:13" x14ac:dyDescent="0.35">
      <c r="A119" s="45" t="s">
        <v>327</v>
      </c>
      <c r="B119" s="64">
        <v>1</v>
      </c>
      <c r="C119" s="65">
        <v>315.2</v>
      </c>
      <c r="D119" s="65">
        <v>25.8</v>
      </c>
      <c r="E119" s="65">
        <v>20.432498255157707</v>
      </c>
      <c r="F119" s="65">
        <v>5.3675017448422935</v>
      </c>
      <c r="G119" s="65">
        <v>2.3647309195030961</v>
      </c>
      <c r="H119" s="65">
        <v>0.4174473164878531</v>
      </c>
      <c r="I119" s="65">
        <v>19.57995709875026</v>
      </c>
      <c r="J119" s="65">
        <v>21.285039411565155</v>
      </c>
      <c r="K119" s="65">
        <v>2.3078826788241136</v>
      </c>
      <c r="L119" s="65">
        <v>15.719173027889948</v>
      </c>
      <c r="M119" s="65">
        <v>25.145823482425467</v>
      </c>
    </row>
    <row r="120" spans="1:13" x14ac:dyDescent="0.35">
      <c r="A120" s="45" t="s">
        <v>328</v>
      </c>
      <c r="B120" s="64">
        <v>1</v>
      </c>
      <c r="C120" s="65">
        <v>237.3</v>
      </c>
      <c r="D120" s="65">
        <v>13.7</v>
      </c>
      <c r="E120" s="65">
        <v>10.625734844231847</v>
      </c>
      <c r="F120" s="65">
        <v>3.0742651557681526</v>
      </c>
      <c r="G120" s="65">
        <v>1.3544122040727073</v>
      </c>
      <c r="H120" s="65">
        <v>1.0872706627067861</v>
      </c>
      <c r="I120" s="65">
        <v>8.4052319172741008</v>
      </c>
      <c r="J120" s="65">
        <v>12.846237771189593</v>
      </c>
      <c r="K120" s="65">
        <v>2.5167871763731453</v>
      </c>
      <c r="L120" s="65">
        <v>5.4857697156285363</v>
      </c>
      <c r="M120" s="65">
        <v>15.765699972835158</v>
      </c>
    </row>
    <row r="121" spans="1:13" x14ac:dyDescent="0.35">
      <c r="A121" s="45" t="s">
        <v>329</v>
      </c>
      <c r="B121" s="64">
        <v>1</v>
      </c>
      <c r="C121" s="65">
        <v>348.9</v>
      </c>
      <c r="D121" s="65">
        <v>24.6</v>
      </c>
      <c r="E121" s="65">
        <v>24.674962015725118</v>
      </c>
      <c r="F121" s="65">
        <v>-7.4962015725116515E-2</v>
      </c>
      <c r="G121" s="65">
        <v>-3.3025605728735294E-2</v>
      </c>
      <c r="H121" s="65">
        <v>0.48485897461710231</v>
      </c>
      <c r="I121" s="65">
        <v>23.68474788668874</v>
      </c>
      <c r="J121" s="65">
        <v>25.665176144761496</v>
      </c>
      <c r="K121" s="65">
        <v>2.3210231412978639</v>
      </c>
      <c r="L121" s="65">
        <v>19.934800383884554</v>
      </c>
      <c r="M121" s="65">
        <v>29.415123647565682</v>
      </c>
    </row>
    <row r="122" spans="1:13" x14ac:dyDescent="0.35">
      <c r="A122" s="45" t="s">
        <v>330</v>
      </c>
      <c r="B122" s="64">
        <v>1</v>
      </c>
      <c r="C122" s="65">
        <v>297.5</v>
      </c>
      <c r="D122" s="65">
        <v>16.399999999999999</v>
      </c>
      <c r="E122" s="65">
        <v>18.204260612367104</v>
      </c>
      <c r="F122" s="65">
        <v>-1.8042606123671057</v>
      </c>
      <c r="G122" s="65">
        <v>-0.79489324079044998</v>
      </c>
      <c r="H122" s="65">
        <v>0.51235169142050341</v>
      </c>
      <c r="I122" s="65">
        <v>17.157898865055074</v>
      </c>
      <c r="J122" s="65">
        <v>19.250622359679134</v>
      </c>
      <c r="K122" s="65">
        <v>2.3269216688309271</v>
      </c>
      <c r="L122" s="65">
        <v>13.452052580213207</v>
      </c>
      <c r="M122" s="65">
        <v>22.956468644521003</v>
      </c>
    </row>
    <row r="123" spans="1:13" x14ac:dyDescent="0.35">
      <c r="A123" s="45" t="s">
        <v>331</v>
      </c>
      <c r="B123" s="64">
        <v>1</v>
      </c>
      <c r="C123" s="65">
        <v>326.8</v>
      </c>
      <c r="D123" s="65">
        <v>20.9</v>
      </c>
      <c r="E123" s="65">
        <v>21.892812190545893</v>
      </c>
      <c r="F123" s="65">
        <v>-0.99281219054589442</v>
      </c>
      <c r="G123" s="65">
        <v>-0.43739784276725124</v>
      </c>
      <c r="H123" s="65">
        <v>0.40166179486585513</v>
      </c>
      <c r="I123" s="65">
        <v>21.072509370154926</v>
      </c>
      <c r="J123" s="65">
        <v>22.71311501093686</v>
      </c>
      <c r="K123" s="65">
        <v>2.305079693769462</v>
      </c>
      <c r="L123" s="65">
        <v>17.185211422450589</v>
      </c>
      <c r="M123" s="65">
        <v>26.600412958641197</v>
      </c>
    </row>
    <row r="124" spans="1:13" x14ac:dyDescent="0.35">
      <c r="A124" s="45" t="s">
        <v>332</v>
      </c>
      <c r="B124" s="64">
        <v>1</v>
      </c>
      <c r="C124" s="65">
        <v>311.7</v>
      </c>
      <c r="D124" s="65">
        <v>18.8</v>
      </c>
      <c r="E124" s="65">
        <v>19.991886291894023</v>
      </c>
      <c r="F124" s="65">
        <v>-1.1918862918940221</v>
      </c>
      <c r="G124" s="65">
        <v>-0.52510283199852015</v>
      </c>
      <c r="H124" s="65">
        <v>0.43028534630153187</v>
      </c>
      <c r="I124" s="65">
        <v>19.113126380805312</v>
      </c>
      <c r="J124" s="65">
        <v>20.870646202982734</v>
      </c>
      <c r="K124" s="65">
        <v>2.3102393115033095</v>
      </c>
      <c r="L124" s="65">
        <v>15.273748178615993</v>
      </c>
      <c r="M124" s="65">
        <v>24.710024405172053</v>
      </c>
    </row>
    <row r="125" spans="1:13" ht="16" thickBot="1" x14ac:dyDescent="0.4">
      <c r="A125" s="49" t="s">
        <v>333</v>
      </c>
      <c r="B125" s="51">
        <v>1</v>
      </c>
      <c r="C125" s="53">
        <v>333.4</v>
      </c>
      <c r="D125" s="53">
        <v>20.9</v>
      </c>
      <c r="E125" s="53">
        <v>22.723680464128829</v>
      </c>
      <c r="F125" s="53">
        <v>-1.8236804641288309</v>
      </c>
      <c r="G125" s="53">
        <v>-0.80344893878481871</v>
      </c>
      <c r="H125" s="53">
        <v>0.41212163528858686</v>
      </c>
      <c r="I125" s="53">
        <v>21.882015799745524</v>
      </c>
      <c r="J125" s="53">
        <v>23.565345128512135</v>
      </c>
      <c r="K125" s="53">
        <v>2.3069253216015455</v>
      </c>
      <c r="L125" s="53">
        <v>18.012310421147532</v>
      </c>
      <c r="M125" s="53">
        <v>27.435050507110127</v>
      </c>
    </row>
    <row r="187" spans="1:4" x14ac:dyDescent="0.35">
      <c r="A187" s="82"/>
      <c r="B187" s="82"/>
      <c r="C187" s="82"/>
      <c r="D187" s="82"/>
    </row>
    <row r="188" spans="1:4" x14ac:dyDescent="0.35">
      <c r="A188" s="81"/>
      <c r="B188" s="81"/>
      <c r="C188" s="81"/>
      <c r="D188" s="81"/>
    </row>
    <row r="190" spans="1:4" x14ac:dyDescent="0.35">
      <c r="A190" s="82"/>
      <c r="B190" s="82"/>
      <c r="C190" s="82"/>
      <c r="D190" s="82"/>
    </row>
    <row r="191" spans="1:4" x14ac:dyDescent="0.35">
      <c r="A191" s="81"/>
      <c r="B191" s="81"/>
      <c r="C191" s="81"/>
      <c r="D191" s="81"/>
    </row>
    <row r="192" spans="1:4" x14ac:dyDescent="0.35">
      <c r="A192" s="81"/>
      <c r="B192" s="81"/>
      <c r="C192" s="81"/>
      <c r="D192" s="81"/>
    </row>
  </sheetData>
  <mergeCells count="2">
    <mergeCell ref="A187:D188"/>
    <mergeCell ref="A190:D192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D289273">
              <controlPr defaultSize="0" autoFill="0" autoPict="0" macro="[0]!GoToResultsNew1411202513591088">
                <anchor moveWithCells="1">
                  <from>
                    <xdr:col>0</xdr:col>
                    <xdr:colOff>0</xdr:colOff>
                    <xdr:row>3</xdr:row>
                    <xdr:rowOff>469900</xdr:rowOff>
                  </from>
                  <to>
                    <xdr:col>2</xdr:col>
                    <xdr:colOff>1187450</xdr:colOff>
                    <xdr:row>4</xdr:row>
                    <xdr:rowOff>196850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_HID"/>
  <dimension ref="A1:X100"/>
  <sheetViews>
    <sheetView rightToLeft="1" workbookViewId="0">
      <selection activeCell="U1" sqref="U1"/>
    </sheetView>
  </sheetViews>
  <sheetFormatPr defaultRowHeight="15.5" x14ac:dyDescent="0.35"/>
  <sheetData>
    <row r="1" spans="1:24" x14ac:dyDescent="0.35">
      <c r="A1">
        <v>1</v>
      </c>
      <c r="C1">
        <f t="shared" ref="C1:C32" si="0">219.91+(A1-1)*3.02434782608696</f>
        <v>219.91</v>
      </c>
      <c r="D1">
        <f t="shared" ref="D1:D32" si="1">-19.2477562650455+0.125889132361051*C1-4.63558068365012*(0.03125+(C1-325.21875)^2/38998.86875)^0.5</f>
        <v>5.8322690327859625</v>
      </c>
      <c r="E1">
        <v>1</v>
      </c>
      <c r="G1">
        <f t="shared" ref="G1:G32" si="2">219.91+(E1-1)*3.02434782608696</f>
        <v>219.91</v>
      </c>
      <c r="H1">
        <f t="shared" ref="H1:H32" si="3">-19.2477562650455+0.125889132361051*G1+4.63558068365012*(0.03125+(G1-325.21875)^2/38998.86875)^0.5</f>
        <v>11.04077663216049</v>
      </c>
      <c r="I1">
        <v>1</v>
      </c>
      <c r="K1">
        <f t="shared" ref="K1:K32" si="4">219.91+(I1-1)*2.10787878787879</f>
        <v>219.91</v>
      </c>
      <c r="L1">
        <f t="shared" ref="L1:L32" si="5">-19.2477562650455+0.125889132361051*K1-4.63558068365012*(1.03125+(K1-325.21875)^2/38998.86875)^0.5</f>
        <v>3.1194986527449027</v>
      </c>
      <c r="M1">
        <v>1</v>
      </c>
      <c r="O1">
        <f t="shared" ref="O1:O32" si="6">219.91+(M1-1)*2.10787878787879</f>
        <v>219.91</v>
      </c>
      <c r="P1">
        <f t="shared" ref="P1:P32" si="7">-19.2477562650455+0.125889132361051*O1+4.63558068365012*(1.03125+(O1-325.21875)^2/38998.86875)^0.5</f>
        <v>13.753547012201551</v>
      </c>
      <c r="Q1">
        <v>1</v>
      </c>
      <c r="S1">
        <f t="shared" ref="S1:S32" si="8">9.75005003952838+(Q1-1)*0.424222839342811</f>
        <v>9.7500500395283805</v>
      </c>
      <c r="T1">
        <f t="shared" ref="T1:T32" si="9">0+1*S1-4.63558068365012*(1.03125+(S1-21.69375)^2/618.056944084796)^0.5</f>
        <v>4.5423776268309499</v>
      </c>
      <c r="U1">
        <v>1</v>
      </c>
      <c r="W1">
        <f t="shared" ref="W1:W32" si="10">8.50058787538548+(U1-1)*0.442330986649229</f>
        <v>8.5005878753854809</v>
      </c>
      <c r="X1">
        <f t="shared" ref="X1:X32" si="11">0+1*W1+4.63558068365012*(1.03125+(W1-21.69375)^2/618.056944084796)^0.5</f>
        <v>13.812068851890409</v>
      </c>
    </row>
    <row r="2" spans="1:24" x14ac:dyDescent="0.35">
      <c r="A2">
        <v>2</v>
      </c>
      <c r="C2">
        <f t="shared" si="0"/>
        <v>222.93434782608696</v>
      </c>
      <c r="D2">
        <f t="shared" si="1"/>
        <v>6.2802891273237069</v>
      </c>
      <c r="E2">
        <v>2</v>
      </c>
      <c r="G2">
        <f t="shared" si="2"/>
        <v>222.93434782608696</v>
      </c>
      <c r="H2">
        <f t="shared" si="3"/>
        <v>11.35422158519099</v>
      </c>
      <c r="I2">
        <v>2</v>
      </c>
      <c r="K2">
        <f t="shared" si="4"/>
        <v>222.0178787878788</v>
      </c>
      <c r="L2">
        <f t="shared" si="5"/>
        <v>3.4076801443401052</v>
      </c>
      <c r="M2">
        <v>2</v>
      </c>
      <c r="O2">
        <f t="shared" si="6"/>
        <v>222.0178787878788</v>
      </c>
      <c r="P2">
        <f t="shared" si="7"/>
        <v>13.996083584063001</v>
      </c>
      <c r="Q2">
        <v>2</v>
      </c>
      <c r="S2">
        <f t="shared" si="8"/>
        <v>10.174272878871191</v>
      </c>
      <c r="T2">
        <f t="shared" si="9"/>
        <v>4.9999338313032116</v>
      </c>
      <c r="U2">
        <v>2</v>
      </c>
      <c r="W2">
        <f t="shared" si="10"/>
        <v>8.9429188620347091</v>
      </c>
      <c r="X2">
        <f t="shared" si="11"/>
        <v>14.216706717981186</v>
      </c>
    </row>
    <row r="3" spans="1:24" x14ac:dyDescent="0.35">
      <c r="A3">
        <v>3</v>
      </c>
      <c r="C3">
        <f t="shared" si="0"/>
        <v>225.95869565217393</v>
      </c>
      <c r="D3">
        <f t="shared" si="1"/>
        <v>6.7281018118070444</v>
      </c>
      <c r="E3">
        <v>3</v>
      </c>
      <c r="G3">
        <f t="shared" si="2"/>
        <v>225.95869565217393</v>
      </c>
      <c r="H3">
        <f t="shared" si="3"/>
        <v>11.66787394827589</v>
      </c>
      <c r="I3">
        <v>3</v>
      </c>
      <c r="K3">
        <f t="shared" si="4"/>
        <v>224.12575757575758</v>
      </c>
      <c r="L3">
        <f t="shared" si="5"/>
        <v>3.6954960253284925</v>
      </c>
      <c r="M3">
        <v>3</v>
      </c>
      <c r="O3">
        <f t="shared" si="6"/>
        <v>224.12575757575758</v>
      </c>
      <c r="P3">
        <f t="shared" si="7"/>
        <v>14.238985766531261</v>
      </c>
      <c r="Q3">
        <v>3</v>
      </c>
      <c r="S3">
        <f t="shared" si="8"/>
        <v>10.598495718214002</v>
      </c>
      <c r="T3">
        <f t="shared" si="9"/>
        <v>5.4564891788908465</v>
      </c>
      <c r="U3">
        <v>3</v>
      </c>
      <c r="W3">
        <f t="shared" si="10"/>
        <v>9.3852498486839391</v>
      </c>
      <c r="X3">
        <f t="shared" si="11"/>
        <v>14.622372314552866</v>
      </c>
    </row>
    <row r="4" spans="1:24" x14ac:dyDescent="0.35">
      <c r="A4">
        <v>4</v>
      </c>
      <c r="C4">
        <f t="shared" si="0"/>
        <v>228.98304347826087</v>
      </c>
      <c r="D4">
        <f t="shared" si="1"/>
        <v>7.1756897167323679</v>
      </c>
      <c r="E4">
        <v>4</v>
      </c>
      <c r="G4">
        <f t="shared" si="2"/>
        <v>228.98304347826087</v>
      </c>
      <c r="H4">
        <f t="shared" si="3"/>
        <v>11.981751090918795</v>
      </c>
      <c r="I4">
        <v>4</v>
      </c>
      <c r="K4">
        <f t="shared" si="4"/>
        <v>226.23363636363638</v>
      </c>
      <c r="L4">
        <f t="shared" si="5"/>
        <v>3.982941603709885</v>
      </c>
      <c r="M4">
        <v>4</v>
      </c>
      <c r="O4">
        <f t="shared" si="6"/>
        <v>226.23363636363638</v>
      </c>
      <c r="P4">
        <f t="shared" si="7"/>
        <v>14.48225825160652</v>
      </c>
      <c r="Q4">
        <v>4</v>
      </c>
      <c r="S4">
        <f t="shared" si="8"/>
        <v>11.022718557556814</v>
      </c>
      <c r="T4">
        <f t="shared" si="9"/>
        <v>5.9120246739695741</v>
      </c>
      <c r="U4">
        <v>4</v>
      </c>
      <c r="W4">
        <f t="shared" si="10"/>
        <v>9.8275808353331673</v>
      </c>
      <c r="X4">
        <f t="shared" si="11"/>
        <v>15.029087375049833</v>
      </c>
    </row>
    <row r="5" spans="1:24" x14ac:dyDescent="0.35">
      <c r="A5">
        <v>5</v>
      </c>
      <c r="C5">
        <f t="shared" si="0"/>
        <v>232.00739130434783</v>
      </c>
      <c r="D5">
        <f t="shared" si="1"/>
        <v>7.6230335461823531</v>
      </c>
      <c r="E5">
        <v>5</v>
      </c>
      <c r="G5">
        <f t="shared" si="2"/>
        <v>232.00739130434783</v>
      </c>
      <c r="H5">
        <f t="shared" si="3"/>
        <v>12.295872309037048</v>
      </c>
      <c r="I5">
        <v>5</v>
      </c>
      <c r="K5">
        <f t="shared" si="4"/>
        <v>228.34151515151515</v>
      </c>
      <c r="L5">
        <f t="shared" si="5"/>
        <v>4.2700121862214102</v>
      </c>
      <c r="M5">
        <v>5</v>
      </c>
      <c r="O5">
        <f t="shared" si="6"/>
        <v>228.34151515151515</v>
      </c>
      <c r="P5">
        <f t="shared" si="7"/>
        <v>14.725905732551642</v>
      </c>
      <c r="Q5">
        <v>5</v>
      </c>
      <c r="S5">
        <f t="shared" si="8"/>
        <v>11.446941396899625</v>
      </c>
      <c r="T5">
        <f t="shared" si="9"/>
        <v>6.3665214592302481</v>
      </c>
      <c r="U5">
        <v>5</v>
      </c>
      <c r="W5">
        <f t="shared" si="10"/>
        <v>10.269911821982397</v>
      </c>
      <c r="X5">
        <f t="shared" si="11"/>
        <v>15.43687360141789</v>
      </c>
    </row>
    <row r="6" spans="1:24" x14ac:dyDescent="0.35">
      <c r="A6">
        <v>6</v>
      </c>
      <c r="C6">
        <f t="shared" si="0"/>
        <v>235.0317391304348</v>
      </c>
      <c r="D6">
        <f t="shared" si="1"/>
        <v>8.0701118141627504</v>
      </c>
      <c r="E6">
        <v>6</v>
      </c>
      <c r="G6">
        <f t="shared" si="2"/>
        <v>235.0317391304348</v>
      </c>
      <c r="H6">
        <f t="shared" si="3"/>
        <v>12.610259088624886</v>
      </c>
      <c r="I6">
        <v>6</v>
      </c>
      <c r="K6">
        <f t="shared" si="4"/>
        <v>230.44939393939396</v>
      </c>
      <c r="L6">
        <f t="shared" si="5"/>
        <v>4.5567030816698466</v>
      </c>
      <c r="M6">
        <v>6</v>
      </c>
      <c r="O6">
        <f t="shared" si="6"/>
        <v>230.44939393939396</v>
      </c>
      <c r="P6">
        <f t="shared" si="7"/>
        <v>14.96993290055986</v>
      </c>
      <c r="Q6">
        <v>6</v>
      </c>
      <c r="S6">
        <f t="shared" si="8"/>
        <v>11.871164236242436</v>
      </c>
      <c r="T6">
        <f t="shared" si="9"/>
        <v>6.8199608583888409</v>
      </c>
      <c r="U6">
        <v>6</v>
      </c>
      <c r="W6">
        <f t="shared" si="10"/>
        <v>10.712242808631625</v>
      </c>
      <c r="X6">
        <f t="shared" si="11"/>
        <v>15.845752618187349</v>
      </c>
    </row>
    <row r="7" spans="1:24" x14ac:dyDescent="0.35">
      <c r="A7">
        <v>7</v>
      </c>
      <c r="C7">
        <f t="shared" si="0"/>
        <v>238.05608695652177</v>
      </c>
      <c r="D7">
        <f t="shared" si="1"/>
        <v>8.5169005386003356</v>
      </c>
      <c r="E7">
        <v>7</v>
      </c>
      <c r="G7">
        <f t="shared" si="2"/>
        <v>238.05608695652177</v>
      </c>
      <c r="H7">
        <f t="shared" si="3"/>
        <v>12.924935411755538</v>
      </c>
      <c r="I7">
        <v>7</v>
      </c>
      <c r="K7">
        <f t="shared" si="4"/>
        <v>232.55727272727273</v>
      </c>
      <c r="L7">
        <f t="shared" si="5"/>
        <v>4.8430096043885058</v>
      </c>
      <c r="M7">
        <v>7</v>
      </c>
      <c r="O7">
        <f t="shared" si="6"/>
        <v>232.55727272727273</v>
      </c>
      <c r="P7">
        <f t="shared" si="7"/>
        <v>15.214344441297847</v>
      </c>
      <c r="Q7">
        <v>7</v>
      </c>
      <c r="S7">
        <f t="shared" si="8"/>
        <v>12.295387075585246</v>
      </c>
      <c r="T7">
        <f t="shared" si="9"/>
        <v>7.2723244206057984</v>
      </c>
      <c r="U7">
        <v>7</v>
      </c>
      <c r="W7">
        <f t="shared" si="10"/>
        <v>11.154573795280854</v>
      </c>
      <c r="X7">
        <f t="shared" si="11"/>
        <v>16.255745923986982</v>
      </c>
    </row>
    <row r="8" spans="1:24" x14ac:dyDescent="0.35">
      <c r="A8">
        <v>8</v>
      </c>
      <c r="C8">
        <f t="shared" si="0"/>
        <v>241.08043478260871</v>
      </c>
      <c r="D8">
        <f t="shared" si="1"/>
        <v>8.9633728853746142</v>
      </c>
      <c r="E8">
        <v>8</v>
      </c>
      <c r="G8">
        <f t="shared" si="2"/>
        <v>241.08043478260871</v>
      </c>
      <c r="H8">
        <f t="shared" si="3"/>
        <v>13.239928112549496</v>
      </c>
      <c r="I8">
        <v>8</v>
      </c>
      <c r="K8">
        <f t="shared" si="4"/>
        <v>234.66515151515154</v>
      </c>
      <c r="L8">
        <f t="shared" si="5"/>
        <v>5.1289270778170515</v>
      </c>
      <c r="M8">
        <v>8</v>
      </c>
      <c r="O8">
        <f t="shared" si="6"/>
        <v>234.66515151515154</v>
      </c>
      <c r="P8">
        <f t="shared" si="7"/>
        <v>15.459145031325955</v>
      </c>
      <c r="Q8">
        <v>8</v>
      </c>
      <c r="S8">
        <f t="shared" si="8"/>
        <v>12.719609914928057</v>
      </c>
      <c r="T8">
        <f t="shared" si="9"/>
        <v>7.7235939664649891</v>
      </c>
      <c r="U8">
        <v>8</v>
      </c>
      <c r="W8">
        <f t="shared" si="10"/>
        <v>11.596904781930084</v>
      </c>
      <c r="X8">
        <f t="shared" si="11"/>
        <v>16.666874840598801</v>
      </c>
    </row>
    <row r="9" spans="1:24" x14ac:dyDescent="0.35">
      <c r="A9">
        <v>9</v>
      </c>
      <c r="C9">
        <f t="shared" si="0"/>
        <v>244.10478260869567</v>
      </c>
      <c r="D9">
        <f t="shared" si="1"/>
        <v>9.4094987532933967</v>
      </c>
      <c r="E9">
        <v>9</v>
      </c>
      <c r="G9">
        <f t="shared" si="2"/>
        <v>244.10478260869567</v>
      </c>
      <c r="H9">
        <f t="shared" si="3"/>
        <v>13.55526729219895</v>
      </c>
      <c r="I9">
        <v>9</v>
      </c>
      <c r="K9">
        <f t="shared" si="4"/>
        <v>236.77303030303031</v>
      </c>
      <c r="L9">
        <f t="shared" si="5"/>
        <v>5.414450838201863</v>
      </c>
      <c r="M9">
        <v>9</v>
      </c>
      <c r="O9">
        <f t="shared" si="6"/>
        <v>236.77303030303031</v>
      </c>
      <c r="P9">
        <f t="shared" si="7"/>
        <v>15.70433933439779</v>
      </c>
      <c r="Q9">
        <v>9</v>
      </c>
      <c r="S9">
        <f t="shared" si="8"/>
        <v>13.143832754270868</v>
      </c>
      <c r="T9">
        <f t="shared" si="9"/>
        <v>8.1737516353368864</v>
      </c>
      <c r="U9">
        <v>9</v>
      </c>
      <c r="W9">
        <f t="shared" si="10"/>
        <v>12.039235768579314</v>
      </c>
      <c r="X9">
        <f t="shared" si="11"/>
        <v>17.079160459696443</v>
      </c>
    </row>
    <row r="10" spans="1:24" x14ac:dyDescent="0.35">
      <c r="A10">
        <v>10</v>
      </c>
      <c r="C10">
        <f t="shared" si="0"/>
        <v>247.12913043478264</v>
      </c>
      <c r="D10">
        <f t="shared" si="1"/>
        <v>9.8552442891871266</v>
      </c>
      <c r="E10">
        <v>10</v>
      </c>
      <c r="G10">
        <f t="shared" si="2"/>
        <v>247.12913043478264</v>
      </c>
      <c r="H10">
        <f t="shared" si="3"/>
        <v>13.870986803873457</v>
      </c>
      <c r="I10">
        <v>10</v>
      </c>
      <c r="K10">
        <f t="shared" si="4"/>
        <v>238.88090909090911</v>
      </c>
      <c r="L10">
        <f t="shared" si="5"/>
        <v>5.6995762384143118</v>
      </c>
      <c r="M10">
        <v>10</v>
      </c>
      <c r="O10">
        <f t="shared" si="6"/>
        <v>238.88090909090911</v>
      </c>
      <c r="P10">
        <f t="shared" si="7"/>
        <v>15.949931997641993</v>
      </c>
      <c r="Q10">
        <v>10</v>
      </c>
      <c r="S10">
        <f t="shared" si="8"/>
        <v>13.56805559361368</v>
      </c>
      <c r="T10">
        <f t="shared" si="9"/>
        <v>8.6227799339249991</v>
      </c>
      <c r="U10">
        <v>10</v>
      </c>
      <c r="W10">
        <f t="shared" si="10"/>
        <v>12.481566755228542</v>
      </c>
      <c r="X10">
        <f t="shared" si="11"/>
        <v>17.492623587443937</v>
      </c>
    </row>
    <row r="11" spans="1:24" x14ac:dyDescent="0.35">
      <c r="A11">
        <v>11</v>
      </c>
      <c r="C11">
        <f t="shared" si="0"/>
        <v>250.1534782608696</v>
      </c>
      <c r="D11">
        <f t="shared" si="1"/>
        <v>10.300571320252971</v>
      </c>
      <c r="E11">
        <v>11</v>
      </c>
      <c r="G11">
        <f t="shared" si="2"/>
        <v>250.1534782608696</v>
      </c>
      <c r="H11">
        <f t="shared" si="3"/>
        <v>14.18712482037585</v>
      </c>
      <c r="I11">
        <v>11</v>
      </c>
      <c r="K11">
        <f t="shared" si="4"/>
        <v>240.98878787878789</v>
      </c>
      <c r="L11">
        <f t="shared" si="5"/>
        <v>5.9842986518835319</v>
      </c>
      <c r="M11">
        <v>11</v>
      </c>
      <c r="O11">
        <f t="shared" si="6"/>
        <v>240.98878787878789</v>
      </c>
      <c r="P11">
        <f t="shared" si="7"/>
        <v>16.195927647629421</v>
      </c>
      <c r="Q11">
        <v>11</v>
      </c>
      <c r="S11">
        <f t="shared" si="8"/>
        <v>13.992278432956491</v>
      </c>
      <c r="T11">
        <f t="shared" si="9"/>
        <v>9.0706617857689871</v>
      </c>
      <c r="U11">
        <v>11</v>
      </c>
      <c r="W11">
        <f t="shared" si="10"/>
        <v>12.92389774187777</v>
      </c>
      <c r="X11">
        <f t="shared" si="11"/>
        <v>17.907284687166971</v>
      </c>
    </row>
    <row r="12" spans="1:24" x14ac:dyDescent="0.35">
      <c r="A12">
        <v>12</v>
      </c>
      <c r="C12">
        <f t="shared" si="0"/>
        <v>253.17782608695654</v>
      </c>
      <c r="D12">
        <f t="shared" si="1"/>
        <v>10.745436688396156</v>
      </c>
      <c r="E12">
        <v>12</v>
      </c>
      <c r="G12">
        <f t="shared" si="2"/>
        <v>253.17782608695654</v>
      </c>
      <c r="H12">
        <f t="shared" si="3"/>
        <v>14.503724499800894</v>
      </c>
      <c r="I12">
        <v>12</v>
      </c>
      <c r="K12">
        <f t="shared" si="4"/>
        <v>243.09666666666669</v>
      </c>
      <c r="L12">
        <f t="shared" si="5"/>
        <v>6.2686134766399455</v>
      </c>
      <c r="M12">
        <v>12</v>
      </c>
      <c r="O12">
        <f t="shared" si="6"/>
        <v>243.09666666666669</v>
      </c>
      <c r="P12">
        <f t="shared" si="7"/>
        <v>16.442330886329653</v>
      </c>
      <c r="Q12">
        <v>12</v>
      </c>
      <c r="S12">
        <f t="shared" si="8"/>
        <v>14.416501272299302</v>
      </c>
      <c r="T12">
        <f t="shared" si="9"/>
        <v>9.5173805814532848</v>
      </c>
      <c r="U12">
        <v>12</v>
      </c>
      <c r="W12">
        <f t="shared" si="10"/>
        <v>13.366228728527</v>
      </c>
      <c r="X12">
        <f t="shared" si="11"/>
        <v>18.323163820344401</v>
      </c>
    </row>
    <row r="13" spans="1:24" x14ac:dyDescent="0.35">
      <c r="A13">
        <v>13</v>
      </c>
      <c r="C13">
        <f t="shared" si="0"/>
        <v>256.20217391304351</v>
      </c>
      <c r="D13">
        <f t="shared" si="1"/>
        <v>11.189791468578559</v>
      </c>
      <c r="E13">
        <v>13</v>
      </c>
      <c r="G13">
        <f t="shared" si="2"/>
        <v>256.20217391304351</v>
      </c>
      <c r="H13">
        <f t="shared" si="3"/>
        <v>14.820834767186735</v>
      </c>
      <c r="I13">
        <v>13</v>
      </c>
      <c r="K13">
        <f t="shared" si="4"/>
        <v>245.20454545454547</v>
      </c>
      <c r="L13">
        <f t="shared" si="5"/>
        <v>6.5525161394650437</v>
      </c>
      <c r="M13">
        <v>13</v>
      </c>
      <c r="O13">
        <f t="shared" si="6"/>
        <v>245.20454545454547</v>
      </c>
      <c r="P13">
        <f t="shared" si="7"/>
        <v>16.689146286961201</v>
      </c>
      <c r="Q13">
        <v>13</v>
      </c>
      <c r="S13">
        <f t="shared" si="8"/>
        <v>14.840724111642112</v>
      </c>
      <c r="T13">
        <f t="shared" si="9"/>
        <v>9.9629202292462153</v>
      </c>
      <c r="U13">
        <v>13</v>
      </c>
      <c r="W13">
        <f t="shared" si="10"/>
        <v>13.808559715176228</v>
      </c>
      <c r="X13">
        <f t="shared" si="11"/>
        <v>18.740280586203749</v>
      </c>
    </row>
    <row r="14" spans="1:24" x14ac:dyDescent="0.35">
      <c r="A14">
        <v>14</v>
      </c>
      <c r="C14">
        <f t="shared" si="0"/>
        <v>259.22652173913048</v>
      </c>
      <c r="D14">
        <f t="shared" si="1"/>
        <v>11.633580050110176</v>
      </c>
      <c r="E14">
        <v>14</v>
      </c>
      <c r="G14">
        <f t="shared" si="2"/>
        <v>259.22652173913048</v>
      </c>
      <c r="H14">
        <f t="shared" si="3"/>
        <v>15.138511233223355</v>
      </c>
      <c r="I14">
        <v>14</v>
      </c>
      <c r="K14">
        <f t="shared" si="4"/>
        <v>247.31242424242427</v>
      </c>
      <c r="L14">
        <f t="shared" si="5"/>
        <v>6.836002100142494</v>
      </c>
      <c r="M14">
        <v>14</v>
      </c>
      <c r="O14">
        <f t="shared" si="6"/>
        <v>247.31242424242427</v>
      </c>
      <c r="P14">
        <f t="shared" si="7"/>
        <v>16.936378389740405</v>
      </c>
      <c r="Q14">
        <v>14</v>
      </c>
      <c r="S14">
        <f t="shared" si="8"/>
        <v>15.264946950984925</v>
      </c>
      <c r="T14">
        <f t="shared" si="9"/>
        <v>10.407265205872758</v>
      </c>
      <c r="U14">
        <v>14</v>
      </c>
      <c r="W14">
        <f t="shared" si="10"/>
        <v>14.250890701825458</v>
      </c>
      <c r="X14">
        <f t="shared" si="11"/>
        <v>19.158654060239535</v>
      </c>
    </row>
    <row r="15" spans="1:24" x14ac:dyDescent="0.35">
      <c r="A15">
        <v>15</v>
      </c>
      <c r="C15">
        <f t="shared" si="0"/>
        <v>262.25086956521744</v>
      </c>
      <c r="D15">
        <f t="shared" si="1"/>
        <v>12.076739056485584</v>
      </c>
      <c r="E15">
        <v>15</v>
      </c>
      <c r="G15">
        <f t="shared" si="2"/>
        <v>262.25086956521744</v>
      </c>
      <c r="H15">
        <f t="shared" si="3"/>
        <v>15.456817274416183</v>
      </c>
      <c r="I15">
        <v>15</v>
      </c>
      <c r="K15">
        <f t="shared" si="4"/>
        <v>249.42030303030305</v>
      </c>
      <c r="L15">
        <f t="shared" si="5"/>
        <v>7.119066855804931</v>
      </c>
      <c r="M15">
        <v>15</v>
      </c>
      <c r="O15">
        <f t="shared" si="6"/>
        <v>249.42030303030305</v>
      </c>
      <c r="P15">
        <f t="shared" si="7"/>
        <v>17.184031697534614</v>
      </c>
      <c r="Q15">
        <v>15</v>
      </c>
      <c r="S15">
        <f t="shared" si="8"/>
        <v>15.689169790327735</v>
      </c>
      <c r="T15">
        <f t="shared" si="9"/>
        <v>10.850400607104172</v>
      </c>
      <c r="U15">
        <v>15</v>
      </c>
      <c r="W15">
        <f t="shared" si="10"/>
        <v>14.693221688474686</v>
      </c>
      <c r="X15">
        <f t="shared" si="11"/>
        <v>19.57830273200722</v>
      </c>
    </row>
    <row r="16" spans="1:24" x14ac:dyDescent="0.35">
      <c r="A16">
        <v>16</v>
      </c>
      <c r="C16">
        <f t="shared" si="0"/>
        <v>265.27521739130441</v>
      </c>
      <c r="D16">
        <f t="shared" si="1"/>
        <v>12.519196075955636</v>
      </c>
      <c r="E16">
        <v>16</v>
      </c>
      <c r="G16">
        <f t="shared" si="2"/>
        <v>265.27521739130441</v>
      </c>
      <c r="H16">
        <f t="shared" si="3"/>
        <v>15.775825302514368</v>
      </c>
      <c r="I16">
        <v>16</v>
      </c>
      <c r="K16">
        <f t="shared" si="4"/>
        <v>251.52818181818185</v>
      </c>
      <c r="L16">
        <f t="shared" si="5"/>
        <v>7.4017059453703427</v>
      </c>
      <c r="M16">
        <v>16</v>
      </c>
      <c r="O16">
        <f t="shared" si="6"/>
        <v>251.52818181818185</v>
      </c>
      <c r="P16">
        <f t="shared" si="7"/>
        <v>17.432110671425857</v>
      </c>
      <c r="Q16">
        <v>16</v>
      </c>
      <c r="S16">
        <f t="shared" si="8"/>
        <v>16.113392629670546</v>
      </c>
      <c r="T16">
        <f t="shared" si="9"/>
        <v>11.292312197830537</v>
      </c>
      <c r="U16">
        <v>16</v>
      </c>
      <c r="W16">
        <f t="shared" si="10"/>
        <v>15.135552675123915</v>
      </c>
      <c r="X16">
        <f t="shared" si="11"/>
        <v>19.999244442577492</v>
      </c>
    </row>
    <row r="17" spans="1:24" x14ac:dyDescent="0.35">
      <c r="A17">
        <v>17</v>
      </c>
      <c r="C17">
        <f t="shared" si="0"/>
        <v>268.29956521739138</v>
      </c>
      <c r="D17">
        <f t="shared" si="1"/>
        <v>12.960868171891272</v>
      </c>
      <c r="E17">
        <v>17</v>
      </c>
      <c r="G17">
        <f t="shared" si="2"/>
        <v>268.29956521739138</v>
      </c>
      <c r="H17">
        <f t="shared" si="3"/>
        <v>16.095618254146967</v>
      </c>
      <c r="I17">
        <v>17</v>
      </c>
      <c r="K17">
        <f t="shared" si="4"/>
        <v>253.63606060606065</v>
      </c>
      <c r="L17">
        <f t="shared" si="5"/>
        <v>7.68391495406114</v>
      </c>
      <c r="M17">
        <v>17</v>
      </c>
      <c r="O17">
        <f t="shared" si="6"/>
        <v>253.63606060606065</v>
      </c>
      <c r="P17">
        <f t="shared" si="7"/>
        <v>17.680619726191711</v>
      </c>
      <c r="Q17">
        <v>17</v>
      </c>
      <c r="S17">
        <f t="shared" si="8"/>
        <v>16.537615469013357</v>
      </c>
      <c r="T17">
        <f t="shared" si="9"/>
        <v>11.732986461268242</v>
      </c>
      <c r="U17">
        <v>17</v>
      </c>
      <c r="W17">
        <f t="shared" si="10"/>
        <v>15.577883661773145</v>
      </c>
      <c r="X17">
        <f t="shared" si="11"/>
        <v>20.421496322064655</v>
      </c>
    </row>
    <row r="18" spans="1:24" x14ac:dyDescent="0.35">
      <c r="A18">
        <v>18</v>
      </c>
      <c r="C18">
        <f t="shared" si="0"/>
        <v>271.32391304347834</v>
      </c>
      <c r="D18">
        <f t="shared" si="1"/>
        <v>13.40166013978104</v>
      </c>
      <c r="E18">
        <v>18</v>
      </c>
      <c r="G18">
        <f t="shared" si="2"/>
        <v>271.32391304347834</v>
      </c>
      <c r="H18">
        <f t="shared" si="3"/>
        <v>16.416291333825438</v>
      </c>
      <c r="I18">
        <v>18</v>
      </c>
      <c r="K18">
        <f t="shared" si="4"/>
        <v>255.74393939393943</v>
      </c>
      <c r="L18">
        <f t="shared" si="5"/>
        <v>7.9656895179986407</v>
      </c>
      <c r="M18">
        <v>18</v>
      </c>
      <c r="O18">
        <f t="shared" si="6"/>
        <v>255.74393939393943</v>
      </c>
      <c r="P18">
        <f t="shared" si="7"/>
        <v>17.929563225710858</v>
      </c>
      <c r="Q18">
        <v>18</v>
      </c>
      <c r="S18">
        <f t="shared" si="8"/>
        <v>16.961838308356167</v>
      </c>
      <c r="T18">
        <f t="shared" si="9"/>
        <v>12.172410646944051</v>
      </c>
      <c r="U18">
        <v>18</v>
      </c>
      <c r="W18">
        <f t="shared" si="10"/>
        <v>16.020214648422375</v>
      </c>
      <c r="X18">
        <f t="shared" si="11"/>
        <v>20.845074727668454</v>
      </c>
    </row>
    <row r="19" spans="1:24" x14ac:dyDescent="0.35">
      <c r="A19">
        <v>19</v>
      </c>
      <c r="C19">
        <f t="shared" si="0"/>
        <v>274.34826086956525</v>
      </c>
      <c r="D19">
        <f t="shared" si="1"/>
        <v>13.841462477494323</v>
      </c>
      <c r="E19">
        <v>19</v>
      </c>
      <c r="G19">
        <f t="shared" si="2"/>
        <v>274.34826086956525</v>
      </c>
      <c r="H19">
        <f t="shared" si="3"/>
        <v>16.737954043680375</v>
      </c>
      <c r="I19">
        <v>19</v>
      </c>
      <c r="K19">
        <f t="shared" si="4"/>
        <v>257.8518181818182</v>
      </c>
      <c r="L19">
        <f t="shared" si="5"/>
        <v>8.2470253288649271</v>
      </c>
      <c r="M19">
        <v>19</v>
      </c>
      <c r="O19">
        <f t="shared" si="6"/>
        <v>257.8518181818182</v>
      </c>
      <c r="P19">
        <f t="shared" si="7"/>
        <v>18.178945478301216</v>
      </c>
      <c r="Q19">
        <v>19</v>
      </c>
      <c r="S19">
        <f t="shared" si="8"/>
        <v>17.386061147698978</v>
      </c>
      <c r="T19">
        <f t="shared" si="9"/>
        <v>12.610572817091123</v>
      </c>
      <c r="U19">
        <v>19</v>
      </c>
      <c r="W19">
        <f t="shared" si="10"/>
        <v>16.462545635071603</v>
      </c>
      <c r="X19">
        <f t="shared" si="11"/>
        <v>21.269995182689801</v>
      </c>
    </row>
    <row r="20" spans="1:24" x14ac:dyDescent="0.35">
      <c r="A20">
        <v>20</v>
      </c>
      <c r="C20">
        <f t="shared" si="0"/>
        <v>277.37260869565222</v>
      </c>
      <c r="D20">
        <f t="shared" si="1"/>
        <v>14.280149039013125</v>
      </c>
      <c r="E20">
        <v>20</v>
      </c>
      <c r="G20">
        <f t="shared" si="2"/>
        <v>277.37260869565222</v>
      </c>
      <c r="H20">
        <f t="shared" si="3"/>
        <v>17.060732529729812</v>
      </c>
      <c r="I20">
        <v>20</v>
      </c>
      <c r="K20">
        <f t="shared" si="4"/>
        <v>259.95969696969701</v>
      </c>
      <c r="L20">
        <f t="shared" si="5"/>
        <v>8.5279181386234608</v>
      </c>
      <c r="M20">
        <v>20</v>
      </c>
      <c r="O20">
        <f t="shared" si="6"/>
        <v>259.95969696969701</v>
      </c>
      <c r="P20">
        <f t="shared" si="7"/>
        <v>18.428770731999329</v>
      </c>
      <c r="Q20">
        <v>20</v>
      </c>
      <c r="S20">
        <f t="shared" si="8"/>
        <v>17.810283987041792</v>
      </c>
      <c r="T20">
        <f t="shared" si="9"/>
        <v>13.047461891090418</v>
      </c>
      <c r="U20">
        <v>20</v>
      </c>
      <c r="W20">
        <f t="shared" si="10"/>
        <v>16.904876621720831</v>
      </c>
      <c r="X20">
        <f t="shared" si="11"/>
        <v>21.696272316997113</v>
      </c>
    </row>
    <row r="21" spans="1:24" x14ac:dyDescent="0.35">
      <c r="A21">
        <v>21</v>
      </c>
      <c r="C21">
        <f t="shared" si="0"/>
        <v>280.39695652173918</v>
      </c>
      <c r="D21">
        <f t="shared" si="1"/>
        <v>14.717574351976914</v>
      </c>
      <c r="E21">
        <v>21</v>
      </c>
      <c r="G21">
        <f t="shared" si="2"/>
        <v>280.39695652173918</v>
      </c>
      <c r="H21">
        <f t="shared" si="3"/>
        <v>17.384772264334259</v>
      </c>
      <c r="I21">
        <v>21</v>
      </c>
      <c r="K21">
        <f t="shared" si="4"/>
        <v>262.06757575757581</v>
      </c>
      <c r="L21">
        <f t="shared" si="5"/>
        <v>8.8083637642893677</v>
      </c>
      <c r="M21">
        <v>21</v>
      </c>
      <c r="O21">
        <f t="shared" si="6"/>
        <v>262.06757575757581</v>
      </c>
      <c r="P21">
        <f t="shared" si="7"/>
        <v>18.679043169790084</v>
      </c>
      <c r="Q21">
        <v>21</v>
      </c>
      <c r="S21">
        <f t="shared" si="8"/>
        <v>18.234506826384603</v>
      </c>
      <c r="T21">
        <f t="shared" si="9"/>
        <v>13.483067687593913</v>
      </c>
      <c r="U21">
        <v>21</v>
      </c>
      <c r="W21">
        <f t="shared" si="10"/>
        <v>17.347207608370063</v>
      </c>
      <c r="X21">
        <f t="shared" si="11"/>
        <v>22.123919809430063</v>
      </c>
    </row>
    <row r="22" spans="1:24" x14ac:dyDescent="0.35">
      <c r="A22">
        <v>22</v>
      </c>
      <c r="C22">
        <f t="shared" si="0"/>
        <v>283.42130434782615</v>
      </c>
      <c r="D22">
        <f t="shared" si="1"/>
        <v>15.153570600330015</v>
      </c>
      <c r="E22">
        <v>22</v>
      </c>
      <c r="G22">
        <f t="shared" si="2"/>
        <v>283.42130434782615</v>
      </c>
      <c r="H22">
        <f t="shared" si="3"/>
        <v>17.710241063549411</v>
      </c>
      <c r="I22">
        <v>22</v>
      </c>
      <c r="K22">
        <f t="shared" si="4"/>
        <v>264.17545454545461</v>
      </c>
      <c r="L22">
        <f t="shared" si="5"/>
        <v>9.0883580927395418</v>
      </c>
      <c r="M22">
        <v>22</v>
      </c>
      <c r="O22">
        <f t="shared" si="6"/>
        <v>264.17545454545461</v>
      </c>
      <c r="P22">
        <f t="shared" si="7"/>
        <v>18.929766904796558</v>
      </c>
      <c r="Q22">
        <v>22</v>
      </c>
      <c r="S22">
        <f t="shared" si="8"/>
        <v>18.658729665727414</v>
      </c>
      <c r="T22">
        <f t="shared" si="9"/>
        <v>13.917380963973876</v>
      </c>
      <c r="U22">
        <v>22</v>
      </c>
      <c r="W22">
        <f t="shared" si="10"/>
        <v>17.789538595019287</v>
      </c>
      <c r="X22">
        <f t="shared" si="11"/>
        <v>22.552950332631791</v>
      </c>
    </row>
    <row r="23" spans="1:24" x14ac:dyDescent="0.35">
      <c r="A23">
        <v>23</v>
      </c>
      <c r="C23">
        <f t="shared" si="0"/>
        <v>286.44565217391312</v>
      </c>
      <c r="D23">
        <f t="shared" si="1"/>
        <v>15.587944311248693</v>
      </c>
      <c r="E23">
        <v>23</v>
      </c>
      <c r="G23">
        <f t="shared" si="2"/>
        <v>286.44565217391312</v>
      </c>
      <c r="H23">
        <f t="shared" si="3"/>
        <v>18.037332400198967</v>
      </c>
      <c r="I23">
        <v>23</v>
      </c>
      <c r="K23">
        <f t="shared" si="4"/>
        <v>266.28333333333336</v>
      </c>
      <c r="L23">
        <f t="shared" si="5"/>
        <v>9.3678970855524213</v>
      </c>
      <c r="M23">
        <v>23</v>
      </c>
      <c r="O23">
        <f t="shared" si="6"/>
        <v>266.28333333333336</v>
      </c>
      <c r="P23">
        <f t="shared" si="7"/>
        <v>19.180945975440324</v>
      </c>
      <c r="Q23">
        <v>23</v>
      </c>
      <c r="S23">
        <f t="shared" si="8"/>
        <v>19.082952505070224</v>
      </c>
      <c r="T23">
        <f t="shared" si="9"/>
        <v>14.350393452755455</v>
      </c>
      <c r="U23">
        <v>23</v>
      </c>
      <c r="W23">
        <f t="shared" si="10"/>
        <v>18.231869581668519</v>
      </c>
      <c r="X23">
        <f t="shared" si="11"/>
        <v>22.983375500797674</v>
      </c>
    </row>
    <row r="24" spans="1:24" x14ac:dyDescent="0.35">
      <c r="A24">
        <v>24</v>
      </c>
      <c r="C24">
        <f t="shared" si="0"/>
        <v>289.47000000000008</v>
      </c>
      <c r="D24">
        <f t="shared" si="1"/>
        <v>16.02047284876717</v>
      </c>
      <c r="E24">
        <v>24</v>
      </c>
      <c r="G24">
        <f t="shared" si="2"/>
        <v>289.47000000000008</v>
      </c>
      <c r="H24">
        <f t="shared" si="3"/>
        <v>18.366268910248728</v>
      </c>
      <c r="I24">
        <v>24</v>
      </c>
      <c r="K24">
        <f t="shared" si="4"/>
        <v>268.39121212121216</v>
      </c>
      <c r="L24">
        <f t="shared" si="5"/>
        <v>9.6469767838664708</v>
      </c>
      <c r="M24">
        <v>24</v>
      </c>
      <c r="O24">
        <f t="shared" si="6"/>
        <v>268.39121212121216</v>
      </c>
      <c r="P24">
        <f t="shared" si="7"/>
        <v>19.43258434058292</v>
      </c>
      <c r="Q24">
        <v>24</v>
      </c>
      <c r="S24">
        <f t="shared" si="8"/>
        <v>19.507175344413035</v>
      </c>
      <c r="T24">
        <f t="shared" si="9"/>
        <v>14.782097894707949</v>
      </c>
      <c r="U24">
        <v>24</v>
      </c>
      <c r="W24">
        <f t="shared" si="10"/>
        <v>18.674200568317747</v>
      </c>
      <c r="X24">
        <f t="shared" si="11"/>
        <v>23.415205820818521</v>
      </c>
    </row>
    <row r="25" spans="1:24" x14ac:dyDescent="0.35">
      <c r="A25">
        <v>25</v>
      </c>
      <c r="C25">
        <f t="shared" si="0"/>
        <v>292.49434782608705</v>
      </c>
      <c r="D25">
        <f t="shared" si="1"/>
        <v>16.450900915668932</v>
      </c>
      <c r="E25">
        <v>25</v>
      </c>
      <c r="G25">
        <f t="shared" si="2"/>
        <v>292.49434782608705</v>
      </c>
      <c r="H25">
        <f t="shared" si="3"/>
        <v>18.697305890915203</v>
      </c>
      <c r="I25">
        <v>25</v>
      </c>
      <c r="K25">
        <f t="shared" si="4"/>
        <v>270.49909090909097</v>
      </c>
      <c r="L25">
        <f t="shared" si="5"/>
        <v>9.9255933132461482</v>
      </c>
      <c r="M25">
        <v>25</v>
      </c>
      <c r="O25">
        <f t="shared" si="6"/>
        <v>270.49909090909097</v>
      </c>
      <c r="P25">
        <f t="shared" si="7"/>
        <v>19.684685874659905</v>
      </c>
      <c r="Q25">
        <v>25</v>
      </c>
      <c r="S25">
        <f t="shared" si="8"/>
        <v>19.931398183755846</v>
      </c>
      <c r="T25">
        <f t="shared" si="9"/>
        <v>15.212488068293258</v>
      </c>
      <c r="U25">
        <v>25</v>
      </c>
      <c r="W25">
        <f t="shared" si="10"/>
        <v>19.116531554966976</v>
      </c>
      <c r="X25">
        <f t="shared" si="11"/>
        <v>23.848450647278906</v>
      </c>
    </row>
    <row r="26" spans="1:24" x14ac:dyDescent="0.35">
      <c r="A26">
        <v>26</v>
      </c>
      <c r="C26">
        <f t="shared" si="0"/>
        <v>295.51869565217396</v>
      </c>
      <c r="D26">
        <f t="shared" si="1"/>
        <v>16.878937411585763</v>
      </c>
      <c r="E26">
        <v>26</v>
      </c>
      <c r="G26">
        <f t="shared" si="2"/>
        <v>295.51869565217396</v>
      </c>
      <c r="H26">
        <f t="shared" si="3"/>
        <v>19.030734442566594</v>
      </c>
      <c r="I26">
        <v>26</v>
      </c>
      <c r="K26">
        <f t="shared" si="4"/>
        <v>272.60696969696977</v>
      </c>
      <c r="L26">
        <f t="shared" si="5"/>
        <v>10.203742888543525</v>
      </c>
      <c r="M26">
        <v>26</v>
      </c>
      <c r="O26">
        <f t="shared" si="6"/>
        <v>272.60696969696977</v>
      </c>
      <c r="P26">
        <f t="shared" si="7"/>
        <v>19.937254362819175</v>
      </c>
      <c r="Q26">
        <v>26</v>
      </c>
      <c r="S26">
        <f t="shared" si="8"/>
        <v>20.355621023098657</v>
      </c>
      <c r="T26">
        <f t="shared" si="9"/>
        <v>15.641558815197991</v>
      </c>
      <c r="U26">
        <v>26</v>
      </c>
      <c r="W26">
        <f t="shared" si="10"/>
        <v>19.558862541616207</v>
      </c>
      <c r="X26">
        <f t="shared" si="11"/>
        <v>24.283118141746044</v>
      </c>
    </row>
    <row r="27" spans="1:24" x14ac:dyDescent="0.35">
      <c r="A27">
        <v>27</v>
      </c>
      <c r="C27">
        <f t="shared" si="0"/>
        <v>298.54304347826098</v>
      </c>
      <c r="D27">
        <f t="shared" si="1"/>
        <v>17.304253197016632</v>
      </c>
      <c r="E27">
        <v>27</v>
      </c>
      <c r="G27">
        <f t="shared" si="2"/>
        <v>298.54304347826098</v>
      </c>
      <c r="H27">
        <f t="shared" si="3"/>
        <v>19.366883704703977</v>
      </c>
      <c r="I27">
        <v>27</v>
      </c>
      <c r="K27">
        <f t="shared" si="4"/>
        <v>274.71484848484852</v>
      </c>
      <c r="L27">
        <f t="shared" si="5"/>
        <v>10.481421818743421</v>
      </c>
      <c r="M27">
        <v>27</v>
      </c>
      <c r="O27">
        <f t="shared" si="6"/>
        <v>274.71484848484852</v>
      </c>
      <c r="P27">
        <f t="shared" si="7"/>
        <v>20.190293496075924</v>
      </c>
      <c r="Q27">
        <v>27</v>
      </c>
      <c r="S27">
        <f t="shared" si="8"/>
        <v>20.779843862441467</v>
      </c>
      <c r="T27">
        <f t="shared" si="9"/>
        <v>16.06930606170809</v>
      </c>
      <c r="U27">
        <v>27</v>
      </c>
      <c r="W27">
        <f t="shared" si="10"/>
        <v>20.001193528265432</v>
      </c>
      <c r="X27">
        <f t="shared" si="11"/>
        <v>24.719215236752561</v>
      </c>
    </row>
    <row r="28" spans="1:24" x14ac:dyDescent="0.35">
      <c r="A28">
        <v>28</v>
      </c>
      <c r="C28">
        <f t="shared" si="0"/>
        <v>301.56739130434789</v>
      </c>
      <c r="D28">
        <f t="shared" si="1"/>
        <v>17.726480566827284</v>
      </c>
      <c r="E28">
        <v>28</v>
      </c>
      <c r="G28">
        <f t="shared" si="2"/>
        <v>301.56739130434789</v>
      </c>
      <c r="H28">
        <f t="shared" si="3"/>
        <v>19.706121382461546</v>
      </c>
      <c r="I28">
        <v>28</v>
      </c>
      <c r="K28">
        <f t="shared" si="4"/>
        <v>276.82272727272732</v>
      </c>
      <c r="L28">
        <f t="shared" si="5"/>
        <v>10.75862651177934</v>
      </c>
      <c r="M28">
        <v>28</v>
      </c>
      <c r="O28">
        <f t="shared" si="6"/>
        <v>276.82272727272732</v>
      </c>
      <c r="P28">
        <f t="shared" si="7"/>
        <v>20.443806866496651</v>
      </c>
      <c r="Q28">
        <v>28</v>
      </c>
      <c r="S28">
        <f t="shared" si="8"/>
        <v>21.204066701784278</v>
      </c>
      <c r="T28">
        <f t="shared" si="9"/>
        <v>16.495726835721371</v>
      </c>
      <c r="U28">
        <v>28</v>
      </c>
      <c r="W28">
        <f t="shared" si="10"/>
        <v>20.443524514914664</v>
      </c>
      <c r="X28">
        <f t="shared" si="11"/>
        <v>25.156747604837228</v>
      </c>
    </row>
    <row r="29" spans="1:24" x14ac:dyDescent="0.35">
      <c r="A29">
        <v>29</v>
      </c>
      <c r="C29">
        <f t="shared" si="0"/>
        <v>304.59173913043486</v>
      </c>
      <c r="D29">
        <f t="shared" si="1"/>
        <v>18.145215513519453</v>
      </c>
      <c r="E29">
        <v>29</v>
      </c>
      <c r="G29">
        <f t="shared" si="2"/>
        <v>304.59173913043486</v>
      </c>
      <c r="H29">
        <f t="shared" si="3"/>
        <v>20.048851483337614</v>
      </c>
      <c r="I29">
        <v>29</v>
      </c>
      <c r="K29">
        <f t="shared" si="4"/>
        <v>278.93060606060612</v>
      </c>
      <c r="L29">
        <f t="shared" si="5"/>
        <v>11.035353479307403</v>
      </c>
      <c r="M29">
        <v>29</v>
      </c>
      <c r="O29">
        <f t="shared" si="6"/>
        <v>278.93060606060612</v>
      </c>
      <c r="P29">
        <f t="shared" si="7"/>
        <v>20.697797962425234</v>
      </c>
      <c r="Q29">
        <v>29</v>
      </c>
      <c r="S29">
        <f t="shared" si="8"/>
        <v>21.628289541127089</v>
      </c>
      <c r="T29">
        <f t="shared" si="9"/>
        <v>16.920819279233221</v>
      </c>
      <c r="U29">
        <v>29</v>
      </c>
      <c r="W29">
        <f t="shared" si="10"/>
        <v>20.885855501563892</v>
      </c>
      <c r="X29">
        <f t="shared" si="11"/>
        <v>25.595719632961771</v>
      </c>
    </row>
    <row r="30" spans="1:24" x14ac:dyDescent="0.35">
      <c r="A30">
        <v>30</v>
      </c>
      <c r="C30">
        <f t="shared" si="0"/>
        <v>307.61608695652183</v>
      </c>
      <c r="D30">
        <f t="shared" si="1"/>
        <v>18.560024085279412</v>
      </c>
      <c r="E30">
        <v>30</v>
      </c>
      <c r="G30">
        <f t="shared" si="2"/>
        <v>307.61608695652183</v>
      </c>
      <c r="H30">
        <f t="shared" si="3"/>
        <v>20.395507959145892</v>
      </c>
      <c r="I30">
        <v>30</v>
      </c>
      <c r="K30">
        <f t="shared" si="4"/>
        <v>281.03848484848493</v>
      </c>
      <c r="L30">
        <f t="shared" si="5"/>
        <v>11.311599341424969</v>
      </c>
      <c r="M30">
        <v>30</v>
      </c>
      <c r="O30">
        <f t="shared" si="6"/>
        <v>281.03848484848493</v>
      </c>
      <c r="P30">
        <f t="shared" si="7"/>
        <v>20.952270163764329</v>
      </c>
      <c r="Q30">
        <v>30</v>
      </c>
      <c r="S30">
        <f t="shared" si="8"/>
        <v>22.052512380469899</v>
      </c>
      <c r="T30">
        <f t="shared" si="9"/>
        <v>17.344582656173717</v>
      </c>
      <c r="U30">
        <v>30</v>
      </c>
      <c r="W30">
        <f t="shared" si="10"/>
        <v>21.32818648821312</v>
      </c>
      <c r="X30">
        <f t="shared" si="11"/>
        <v>26.036134402570621</v>
      </c>
    </row>
    <row r="31" spans="1:24" x14ac:dyDescent="0.35">
      <c r="A31">
        <v>31</v>
      </c>
      <c r="C31">
        <f t="shared" si="0"/>
        <v>310.64043478260879</v>
      </c>
      <c r="D31">
        <f t="shared" si="1"/>
        <v>18.970454178321347</v>
      </c>
      <c r="E31">
        <v>31</v>
      </c>
      <c r="G31">
        <f t="shared" si="2"/>
        <v>310.64043478260879</v>
      </c>
      <c r="H31">
        <f t="shared" si="3"/>
        <v>20.746542913672194</v>
      </c>
      <c r="I31">
        <v>31</v>
      </c>
      <c r="K31">
        <f t="shared" si="4"/>
        <v>283.14636363636373</v>
      </c>
      <c r="L31">
        <f t="shared" si="5"/>
        <v>11.58736083132051</v>
      </c>
      <c r="M31">
        <v>31</v>
      </c>
      <c r="O31">
        <f t="shared" si="6"/>
        <v>283.14636363636373</v>
      </c>
      <c r="P31">
        <f t="shared" si="7"/>
        <v>21.207226737325435</v>
      </c>
      <c r="Q31">
        <v>31</v>
      </c>
      <c r="S31">
        <f t="shared" si="8"/>
        <v>22.47673521981271</v>
      </c>
      <c r="T31">
        <f t="shared" si="9"/>
        <v>17.767017355519091</v>
      </c>
      <c r="U31">
        <v>31</v>
      </c>
      <c r="W31">
        <f t="shared" si="10"/>
        <v>21.770517474862352</v>
      </c>
      <c r="X31">
        <f t="shared" si="11"/>
        <v>26.477993675503591</v>
      </c>
    </row>
    <row r="32" spans="1:24" x14ac:dyDescent="0.35">
      <c r="A32">
        <v>32</v>
      </c>
      <c r="C32">
        <f t="shared" si="0"/>
        <v>313.66478260869576</v>
      </c>
      <c r="D32">
        <f t="shared" si="1"/>
        <v>19.376053750304418</v>
      </c>
      <c r="E32">
        <v>32</v>
      </c>
      <c r="G32">
        <f t="shared" si="2"/>
        <v>313.66478260869576</v>
      </c>
      <c r="H32">
        <f t="shared" si="3"/>
        <v>21.102408389257359</v>
      </c>
      <c r="I32">
        <v>32</v>
      </c>
      <c r="K32">
        <f t="shared" si="4"/>
        <v>285.25424242424248</v>
      </c>
      <c r="L32">
        <f t="shared" si="5"/>
        <v>11.862634799841207</v>
      </c>
      <c r="M32">
        <v>32</v>
      </c>
      <c r="O32">
        <f t="shared" si="6"/>
        <v>285.25424242424248</v>
      </c>
      <c r="P32">
        <f t="shared" si="7"/>
        <v>21.462670832261384</v>
      </c>
      <c r="Q32">
        <v>32</v>
      </c>
      <c r="S32">
        <f t="shared" si="8"/>
        <v>22.900958059155521</v>
      </c>
      <c r="T32">
        <f t="shared" si="9"/>
        <v>18.188124889646975</v>
      </c>
      <c r="U32">
        <v>32</v>
      </c>
      <c r="W32">
        <f t="shared" si="10"/>
        <v>22.21284846151158</v>
      </c>
      <c r="X32">
        <f t="shared" si="11"/>
        <v>26.921297885911287</v>
      </c>
    </row>
    <row r="33" spans="1:24" x14ac:dyDescent="0.35">
      <c r="A33">
        <v>33</v>
      </c>
      <c r="C33">
        <f t="shared" ref="C33:C64" si="12">219.91+(A33-1)*3.02434782608696</f>
        <v>316.68913043478273</v>
      </c>
      <c r="D33">
        <f t="shared" ref="D33:D64" si="13">-19.2477562650455+0.125889132361051*C33-4.63558068365012*(0.03125+(C33-325.21875)^2/38998.86875)^0.5</f>
        <v>19.7763955047295</v>
      </c>
      <c r="E33">
        <v>33</v>
      </c>
      <c r="G33">
        <f t="shared" ref="G33:G64" si="14">219.91+(E33-1)*3.02434782608696</f>
        <v>316.68913043478273</v>
      </c>
      <c r="H33">
        <f t="shared" ref="H33:H64" si="15">-19.2477562650455+0.125889132361051*G33+4.63558068365012*(0.03125+(G33-325.21875)^2/38998.86875)^0.5</f>
        <v>21.463531682400529</v>
      </c>
      <c r="I33">
        <v>33</v>
      </c>
      <c r="K33">
        <f t="shared" ref="K33:K64" si="16">219.91+(I33-1)*2.10787878787879</f>
        <v>287.36212121212128</v>
      </c>
      <c r="L33">
        <f t="shared" ref="L33:L64" si="17">-19.2477562650455+0.125889132361051*K33-4.63558068365012*(1.03125+(K33-325.21875)^2/38998.86875)^0.5</f>
        <v>12.137418219964411</v>
      </c>
      <c r="M33">
        <v>33</v>
      </c>
      <c r="O33">
        <f t="shared" ref="O33:O64" si="18">219.91+(M33-1)*2.10787878787879</f>
        <v>287.36212121212128</v>
      </c>
      <c r="P33">
        <f t="shared" ref="P33:P64" si="19">-19.2477562650455+0.125889132361051*O33+4.63558068365012*(1.03125+(O33-325.21875)^2/38998.86875)^0.5</f>
        <v>21.718605475594828</v>
      </c>
      <c r="Q33">
        <v>33</v>
      </c>
      <c r="S33">
        <f t="shared" ref="S33:S64" si="20">9.75005003952838+(Q33-1)*0.424222839342811</f>
        <v>23.325180898498331</v>
      </c>
      <c r="T33">
        <f t="shared" ref="T33:T64" si="21">0+1*S33-4.63558068365012*(1.03125+(S33-21.69375)^2/618.056944084796)^0.5</f>
        <v>18.607907887951665</v>
      </c>
      <c r="U33">
        <v>33</v>
      </c>
      <c r="W33">
        <f t="shared" ref="W33:W64" si="22">8.50058787538548+(U33-1)*0.442330986649229</f>
        <v>22.655179448160808</v>
      </c>
      <c r="X33">
        <f t="shared" ref="X33:X64" si="23">0+1*W33+4.63558068365012*(1.03125+(W33-21.69375)^2/618.056944084796)^0.5</f>
        <v>27.366046138259552</v>
      </c>
    </row>
    <row r="34" spans="1:24" x14ac:dyDescent="0.35">
      <c r="A34">
        <v>34</v>
      </c>
      <c r="C34">
        <f t="shared" si="12"/>
        <v>319.71347826086969</v>
      </c>
      <c r="D34">
        <f t="shared" si="13"/>
        <v>20.171106516468615</v>
      </c>
      <c r="E34">
        <v>34</v>
      </c>
      <c r="G34">
        <f t="shared" si="14"/>
        <v>319.71347826086969</v>
      </c>
      <c r="H34">
        <f t="shared" si="15"/>
        <v>21.83028571822965</v>
      </c>
      <c r="I34">
        <v>34</v>
      </c>
      <c r="K34">
        <f t="shared" si="16"/>
        <v>289.47000000000008</v>
      </c>
      <c r="L34">
        <f t="shared" si="17"/>
        <v>12.411708191159292</v>
      </c>
      <c r="M34">
        <v>34</v>
      </c>
      <c r="O34">
        <f t="shared" si="18"/>
        <v>289.47000000000008</v>
      </c>
      <c r="P34">
        <f t="shared" si="19"/>
        <v>21.975033567856606</v>
      </c>
      <c r="Q34">
        <v>34</v>
      </c>
      <c r="S34">
        <f t="shared" si="20"/>
        <v>23.749403737841142</v>
      </c>
      <c r="T34">
        <f t="shared" si="21"/>
        <v>19.026370085782052</v>
      </c>
      <c r="U34">
        <v>34</v>
      </c>
      <c r="W34">
        <f t="shared" si="22"/>
        <v>23.097510434810037</v>
      </c>
      <c r="X34">
        <f t="shared" si="23"/>
        <v>27.812236211444301</v>
      </c>
    </row>
    <row r="35" spans="1:24" x14ac:dyDescent="0.35">
      <c r="A35">
        <v>35</v>
      </c>
      <c r="C35">
        <f t="shared" si="12"/>
        <v>322.7378260869566</v>
      </c>
      <c r="D35">
        <f t="shared" si="13"/>
        <v>20.559899310542381</v>
      </c>
      <c r="E35">
        <v>35</v>
      </c>
      <c r="G35">
        <f t="shared" si="14"/>
        <v>322.7378260869566</v>
      </c>
      <c r="H35">
        <f t="shared" si="15"/>
        <v>22.202957971724107</v>
      </c>
      <c r="I35">
        <v>35</v>
      </c>
      <c r="K35">
        <f t="shared" si="16"/>
        <v>291.57787878787883</v>
      </c>
      <c r="L35">
        <f t="shared" si="17"/>
        <v>12.685501943624875</v>
      </c>
      <c r="M35">
        <v>35</v>
      </c>
      <c r="O35">
        <f t="shared" si="18"/>
        <v>291.57787878787883</v>
      </c>
      <c r="P35">
        <f t="shared" si="19"/>
        <v>22.231957878847656</v>
      </c>
      <c r="Q35">
        <v>35</v>
      </c>
      <c r="S35">
        <f t="shared" si="20"/>
        <v>24.173626577183953</v>
      </c>
      <c r="T35">
        <f t="shared" si="21"/>
        <v>19.443516308810519</v>
      </c>
      <c r="U35">
        <v>35</v>
      </c>
      <c r="W35">
        <f t="shared" si="22"/>
        <v>23.539841421459265</v>
      </c>
      <c r="X35">
        <f t="shared" si="23"/>
        <v>28.259864568972738</v>
      </c>
    </row>
    <row r="36" spans="1:24" x14ac:dyDescent="0.35">
      <c r="A36">
        <v>36</v>
      </c>
      <c r="C36">
        <f t="shared" si="12"/>
        <v>325.76217391304363</v>
      </c>
      <c r="D36">
        <f t="shared" si="13"/>
        <v>20.94259925395669</v>
      </c>
      <c r="E36">
        <v>36</v>
      </c>
      <c r="G36">
        <f t="shared" si="14"/>
        <v>325.76217391304363</v>
      </c>
      <c r="H36">
        <f t="shared" si="15"/>
        <v>22.581723075878049</v>
      </c>
      <c r="I36">
        <v>36</v>
      </c>
      <c r="K36">
        <f t="shared" si="16"/>
        <v>293.68575757575763</v>
      </c>
      <c r="L36">
        <f t="shared" si="17"/>
        <v>12.958796842390989</v>
      </c>
      <c r="M36">
        <v>36</v>
      </c>
      <c r="O36">
        <f t="shared" si="18"/>
        <v>293.68575757575763</v>
      </c>
      <c r="P36">
        <f t="shared" si="19"/>
        <v>22.489381043538202</v>
      </c>
      <c r="Q36">
        <v>36</v>
      </c>
      <c r="S36">
        <f t="shared" si="20"/>
        <v>24.597849416526767</v>
      </c>
      <c r="T36">
        <f t="shared" si="21"/>
        <v>19.859352452984474</v>
      </c>
      <c r="U36">
        <v>36</v>
      </c>
      <c r="W36">
        <f t="shared" si="22"/>
        <v>23.982172408108497</v>
      </c>
      <c r="X36">
        <f t="shared" si="23"/>
        <v>28.708926375102344</v>
      </c>
    </row>
    <row r="37" spans="1:24" x14ac:dyDescent="0.35">
      <c r="A37">
        <v>37</v>
      </c>
      <c r="C37">
        <f t="shared" si="12"/>
        <v>328.78652173913054</v>
      </c>
      <c r="D37">
        <f t="shared" si="13"/>
        <v>21.31916268860591</v>
      </c>
      <c r="E37">
        <v>37</v>
      </c>
      <c r="G37">
        <f t="shared" si="14"/>
        <v>328.78652173913054</v>
      </c>
      <c r="H37">
        <f t="shared" si="15"/>
        <v>22.966624688797051</v>
      </c>
      <c r="I37">
        <v>37</v>
      </c>
      <c r="K37">
        <f t="shared" si="16"/>
        <v>295.79363636363644</v>
      </c>
      <c r="L37">
        <f t="shared" si="17"/>
        <v>13.23159039126835</v>
      </c>
      <c r="M37">
        <v>37</v>
      </c>
      <c r="O37">
        <f t="shared" si="18"/>
        <v>295.79363636363644</v>
      </c>
      <c r="P37">
        <f t="shared" si="19"/>
        <v>22.747305558117489</v>
      </c>
      <c r="Q37">
        <v>37</v>
      </c>
      <c r="S37">
        <f t="shared" si="20"/>
        <v>25.022072255869578</v>
      </c>
      <c r="T37">
        <f t="shared" si="21"/>
        <v>20.27388546025319</v>
      </c>
      <c r="U37">
        <v>37</v>
      </c>
      <c r="W37">
        <f t="shared" si="22"/>
        <v>24.424503394757725</v>
      </c>
      <c r="X37">
        <f t="shared" si="23"/>
        <v>29.159415516766636</v>
      </c>
    </row>
    <row r="38" spans="1:24" x14ac:dyDescent="0.35">
      <c r="A38">
        <v>38</v>
      </c>
      <c r="C38">
        <f t="shared" si="12"/>
        <v>331.8108695652175</v>
      </c>
      <c r="D38">
        <f t="shared" si="13"/>
        <v>21.68968164305436</v>
      </c>
      <c r="E38">
        <v>38</v>
      </c>
      <c r="G38">
        <f t="shared" si="14"/>
        <v>331.8108695652175</v>
      </c>
      <c r="H38">
        <f t="shared" si="15"/>
        <v>23.357570781916838</v>
      </c>
      <c r="I38">
        <v>38</v>
      </c>
      <c r="K38">
        <f t="shared" si="16"/>
        <v>297.90151515151524</v>
      </c>
      <c r="L38">
        <f t="shared" si="17"/>
        <v>13.503880236634965</v>
      </c>
      <c r="M38">
        <v>38</v>
      </c>
      <c r="O38">
        <f t="shared" si="18"/>
        <v>297.90151515151524</v>
      </c>
      <c r="P38">
        <f t="shared" si="19"/>
        <v>23.005733776207535</v>
      </c>
      <c r="Q38">
        <v>38</v>
      </c>
      <c r="S38">
        <f t="shared" si="20"/>
        <v>25.446295095212388</v>
      </c>
      <c r="T38">
        <f t="shared" si="21"/>
        <v>20.687123290300253</v>
      </c>
      <c r="U38">
        <v>38</v>
      </c>
      <c r="W38">
        <f t="shared" si="22"/>
        <v>24.866834381406953</v>
      </c>
      <c r="X38">
        <f t="shared" si="23"/>
        <v>29.611324631057329</v>
      </c>
    </row>
    <row r="39" spans="1:24" x14ac:dyDescent="0.35">
      <c r="A39">
        <v>39</v>
      </c>
      <c r="C39">
        <f t="shared" si="12"/>
        <v>334.83521739130447</v>
      </c>
      <c r="D39">
        <f t="shared" si="13"/>
        <v>22.054373984057221</v>
      </c>
      <c r="E39">
        <v>39</v>
      </c>
      <c r="G39">
        <f t="shared" si="14"/>
        <v>334.83521739130447</v>
      </c>
      <c r="H39">
        <f t="shared" si="15"/>
        <v>23.754343488482213</v>
      </c>
      <c r="I39">
        <v>39</v>
      </c>
      <c r="K39">
        <f t="shared" si="16"/>
        <v>300.00939393939404</v>
      </c>
      <c r="L39">
        <f t="shared" si="17"/>
        <v>13.775664171045609</v>
      </c>
      <c r="M39">
        <v>39</v>
      </c>
      <c r="O39">
        <f t="shared" si="18"/>
        <v>300.00939393939404</v>
      </c>
      <c r="P39">
        <f t="shared" si="19"/>
        <v>23.264667905253535</v>
      </c>
      <c r="Q39">
        <v>39</v>
      </c>
      <c r="S39">
        <f t="shared" si="20"/>
        <v>25.870517934555203</v>
      </c>
      <c r="T39">
        <f t="shared" si="21"/>
        <v>21.09907488854553</v>
      </c>
      <c r="U39">
        <v>39</v>
      </c>
      <c r="W39">
        <f t="shared" si="22"/>
        <v>25.309165368056181</v>
      </c>
      <c r="X39">
        <f t="shared" si="23"/>
        <v>30.064645137977795</v>
      </c>
    </row>
    <row r="40" spans="1:24" x14ac:dyDescent="0.35">
      <c r="A40">
        <v>40</v>
      </c>
      <c r="C40">
        <f t="shared" si="12"/>
        <v>337.85956521739143</v>
      </c>
      <c r="D40">
        <f t="shared" si="13"/>
        <v>22.413561362202881</v>
      </c>
      <c r="E40">
        <v>40</v>
      </c>
      <c r="G40">
        <f t="shared" si="14"/>
        <v>337.85956521739143</v>
      </c>
      <c r="H40">
        <f t="shared" si="15"/>
        <v>24.156621157904791</v>
      </c>
      <c r="I40">
        <v>40</v>
      </c>
      <c r="K40">
        <f t="shared" si="16"/>
        <v>302.11727272727279</v>
      </c>
      <c r="L40">
        <f t="shared" si="17"/>
        <v>14.046940136652161</v>
      </c>
      <c r="M40">
        <v>40</v>
      </c>
      <c r="O40">
        <f t="shared" si="18"/>
        <v>302.11727272727279</v>
      </c>
      <c r="P40">
        <f t="shared" si="19"/>
        <v>23.524110003103615</v>
      </c>
      <c r="Q40">
        <v>40</v>
      </c>
      <c r="S40">
        <f t="shared" si="20"/>
        <v>26.294740773898013</v>
      </c>
      <c r="T40">
        <f t="shared" si="21"/>
        <v>21.509750150710129</v>
      </c>
      <c r="U40">
        <v>40</v>
      </c>
      <c r="W40">
        <f t="shared" si="22"/>
        <v>25.751496354705413</v>
      </c>
      <c r="X40">
        <f t="shared" si="23"/>
        <v>30.519367278132947</v>
      </c>
    </row>
    <row r="41" spans="1:24" x14ac:dyDescent="0.35">
      <c r="A41">
        <v>41</v>
      </c>
      <c r="C41">
        <f t="shared" si="12"/>
        <v>340.8839130434784</v>
      </c>
      <c r="D41">
        <f t="shared" si="13"/>
        <v>22.767639840290236</v>
      </c>
      <c r="E41">
        <v>41</v>
      </c>
      <c r="G41">
        <f t="shared" si="14"/>
        <v>340.8839130434784</v>
      </c>
      <c r="H41">
        <f t="shared" si="15"/>
        <v>24.564007727385672</v>
      </c>
      <c r="I41">
        <v>41</v>
      </c>
      <c r="K41">
        <f t="shared" si="16"/>
        <v>304.22515151515159</v>
      </c>
      <c r="L41">
        <f t="shared" si="17"/>
        <v>14.317706228422647</v>
      </c>
      <c r="M41">
        <v>41</v>
      </c>
      <c r="O41">
        <f t="shared" si="18"/>
        <v>304.22515151515159</v>
      </c>
      <c r="P41">
        <f t="shared" si="19"/>
        <v>23.78406197478979</v>
      </c>
      <c r="Q41">
        <v>41</v>
      </c>
      <c r="S41">
        <f t="shared" si="20"/>
        <v>26.718963613240824</v>
      </c>
      <c r="T41">
        <f t="shared" si="21"/>
        <v>21.919159884262264</v>
      </c>
      <c r="U41">
        <v>41</v>
      </c>
      <c r="W41">
        <f t="shared" si="22"/>
        <v>26.193827341354641</v>
      </c>
      <c r="X41">
        <f t="shared" si="23"/>
        <v>30.975480154977081</v>
      </c>
    </row>
    <row r="42" spans="1:24" x14ac:dyDescent="0.35">
      <c r="A42">
        <v>42</v>
      </c>
      <c r="C42">
        <f t="shared" si="12"/>
        <v>343.90826086956537</v>
      </c>
      <c r="D42">
        <f t="shared" si="13"/>
        <v>23.117048814489156</v>
      </c>
      <c r="E42">
        <v>42</v>
      </c>
      <c r="G42">
        <f t="shared" si="14"/>
        <v>343.90826086956537</v>
      </c>
      <c r="H42">
        <f t="shared" si="15"/>
        <v>24.976063800754989</v>
      </c>
      <c r="I42">
        <v>42</v>
      </c>
      <c r="K42">
        <f t="shared" si="16"/>
        <v>306.3330303030304</v>
      </c>
      <c r="L42">
        <f t="shared" si="17"/>
        <v>14.58796069714748</v>
      </c>
      <c r="M42">
        <v>42</v>
      </c>
      <c r="O42">
        <f t="shared" si="18"/>
        <v>306.3330303030304</v>
      </c>
      <c r="P42">
        <f t="shared" si="19"/>
        <v>24.044525569521603</v>
      </c>
      <c r="Q42">
        <v>42</v>
      </c>
      <c r="S42">
        <f t="shared" si="20"/>
        <v>27.143186452583635</v>
      </c>
      <c r="T42">
        <f t="shared" si="21"/>
        <v>22.327315767081839</v>
      </c>
      <c r="U42">
        <v>42</v>
      </c>
      <c r="W42">
        <f t="shared" si="22"/>
        <v>26.636158328003869</v>
      </c>
      <c r="X42">
        <f t="shared" si="23"/>
        <v>31.432971781204529</v>
      </c>
    </row>
    <row r="43" spans="1:24" x14ac:dyDescent="0.35">
      <c r="A43">
        <v>43</v>
      </c>
      <c r="C43">
        <f t="shared" si="12"/>
        <v>346.93260869565233</v>
      </c>
      <c r="D43">
        <f t="shared" si="13"/>
        <v>23.462242867279077</v>
      </c>
      <c r="E43">
        <v>43</v>
      </c>
      <c r="G43">
        <f t="shared" si="14"/>
        <v>346.93260869565233</v>
      </c>
      <c r="H43">
        <f t="shared" si="15"/>
        <v>25.392334795533305</v>
      </c>
      <c r="I43">
        <v>43</v>
      </c>
      <c r="K43">
        <f t="shared" si="16"/>
        <v>308.4409090909092</v>
      </c>
      <c r="L43">
        <f t="shared" si="17"/>
        <v>14.857701952222286</v>
      </c>
      <c r="M43">
        <v>43</v>
      </c>
      <c r="O43">
        <f t="shared" si="18"/>
        <v>308.4409090909092</v>
      </c>
      <c r="P43">
        <f t="shared" si="19"/>
        <v>24.305502377903458</v>
      </c>
      <c r="Q43">
        <v>43</v>
      </c>
      <c r="S43">
        <f t="shared" si="20"/>
        <v>27.567409291926445</v>
      </c>
      <c r="T43">
        <f t="shared" si="21"/>
        <v>22.734230303695909</v>
      </c>
      <c r="U43">
        <v>43</v>
      </c>
      <c r="W43">
        <f t="shared" si="22"/>
        <v>27.078489314653098</v>
      </c>
      <c r="X43">
        <f t="shared" si="23"/>
        <v>31.891829128837834</v>
      </c>
    </row>
    <row r="44" spans="1:24" x14ac:dyDescent="0.35">
      <c r="A44">
        <v>44</v>
      </c>
      <c r="C44">
        <f t="shared" si="12"/>
        <v>349.95695652173924</v>
      </c>
      <c r="D44">
        <f t="shared" si="13"/>
        <v>23.803669327408063</v>
      </c>
      <c r="E44">
        <v>44</v>
      </c>
      <c r="G44">
        <f t="shared" si="14"/>
        <v>349.95695652173924</v>
      </c>
      <c r="H44">
        <f t="shared" si="15"/>
        <v>25.812373382972542</v>
      </c>
      <c r="I44">
        <v>44</v>
      </c>
      <c r="K44">
        <f t="shared" si="16"/>
        <v>310.54878787878795</v>
      </c>
      <c r="L44">
        <f t="shared" si="17"/>
        <v>15.126928564196849</v>
      </c>
      <c r="M44">
        <v>44</v>
      </c>
      <c r="O44">
        <f t="shared" si="18"/>
        <v>310.54878787878795</v>
      </c>
      <c r="P44">
        <f t="shared" si="19"/>
        <v>24.566993829385527</v>
      </c>
      <c r="Q44">
        <v>44</v>
      </c>
      <c r="S44">
        <f t="shared" si="20"/>
        <v>27.991632131269256</v>
      </c>
      <c r="T44">
        <f t="shared" si="21"/>
        <v>23.139916779446839</v>
      </c>
      <c r="U44">
        <v>44</v>
      </c>
      <c r="W44">
        <f t="shared" si="22"/>
        <v>27.520820301302326</v>
      </c>
      <c r="X44">
        <f t="shared" si="23"/>
        <v>32.352038182546224</v>
      </c>
    </row>
    <row r="45" spans="1:24" x14ac:dyDescent="0.35">
      <c r="A45">
        <v>45</v>
      </c>
      <c r="C45">
        <f t="shared" si="12"/>
        <v>352.98130434782627</v>
      </c>
      <c r="D45">
        <f t="shared" si="13"/>
        <v>24.141752432802061</v>
      </c>
      <c r="E45">
        <v>45</v>
      </c>
      <c r="G45">
        <f t="shared" si="14"/>
        <v>352.98130434782627</v>
      </c>
      <c r="H45">
        <f t="shared" si="15"/>
        <v>26.235755325146808</v>
      </c>
      <c r="I45">
        <v>45</v>
      </c>
      <c r="K45">
        <f t="shared" si="16"/>
        <v>312.65666666666675</v>
      </c>
      <c r="L45">
        <f t="shared" si="17"/>
        <v>15.39563926708113</v>
      </c>
      <c r="M45">
        <v>45</v>
      </c>
      <c r="O45">
        <f t="shared" si="18"/>
        <v>312.65666666666675</v>
      </c>
      <c r="P45">
        <f t="shared" si="19"/>
        <v>24.829001189957907</v>
      </c>
      <c r="Q45">
        <v>45</v>
      </c>
      <c r="S45">
        <f t="shared" si="20"/>
        <v>28.415854970612067</v>
      </c>
      <c r="T45">
        <f t="shared" si="21"/>
        <v>23.544389212959238</v>
      </c>
      <c r="U45">
        <v>45</v>
      </c>
      <c r="W45">
        <f t="shared" si="22"/>
        <v>27.963151287951558</v>
      </c>
      <c r="X45">
        <f t="shared" si="23"/>
        <v>32.813583995711902</v>
      </c>
    </row>
    <row r="46" spans="1:24" x14ac:dyDescent="0.35">
      <c r="A46">
        <v>46</v>
      </c>
      <c r="C46">
        <f t="shared" si="12"/>
        <v>356.00565217391318</v>
      </c>
      <c r="D46">
        <f t="shared" si="13"/>
        <v>24.476883633858403</v>
      </c>
      <c r="E46">
        <v>46</v>
      </c>
      <c r="G46">
        <f t="shared" si="14"/>
        <v>356.00565217391318</v>
      </c>
      <c r="H46">
        <f t="shared" si="15"/>
        <v>26.662089171658689</v>
      </c>
      <c r="I46">
        <v>46</v>
      </c>
      <c r="K46">
        <f t="shared" si="16"/>
        <v>314.76454545454556</v>
      </c>
      <c r="L46">
        <f t="shared" si="17"/>
        <v>15.663832960399379</v>
      </c>
      <c r="M46">
        <v>46</v>
      </c>
      <c r="O46">
        <f t="shared" si="18"/>
        <v>314.76454545454556</v>
      </c>
      <c r="P46">
        <f t="shared" si="19"/>
        <v>25.091525560096304</v>
      </c>
      <c r="Q46">
        <v>46</v>
      </c>
      <c r="S46">
        <f t="shared" si="20"/>
        <v>28.840077809954877</v>
      </c>
      <c r="T46">
        <f t="shared" si="21"/>
        <v>23.947662307271429</v>
      </c>
      <c r="U46">
        <v>46</v>
      </c>
      <c r="W46">
        <f t="shared" si="22"/>
        <v>28.405482274600786</v>
      </c>
      <c r="X46">
        <f t="shared" si="23"/>
        <v>33.276450748754321</v>
      </c>
    </row>
    <row r="47" spans="1:24" x14ac:dyDescent="0.35">
      <c r="A47">
        <v>47</v>
      </c>
      <c r="C47">
        <f t="shared" si="12"/>
        <v>359.03000000000014</v>
      </c>
      <c r="D47">
        <f t="shared" si="13"/>
        <v>24.809416865414637</v>
      </c>
      <c r="E47">
        <v>47</v>
      </c>
      <c r="G47">
        <f t="shared" si="14"/>
        <v>359.03000000000014</v>
      </c>
      <c r="H47">
        <f t="shared" si="15"/>
        <v>27.091020987670692</v>
      </c>
      <c r="I47">
        <v>47</v>
      </c>
      <c r="K47">
        <f t="shared" si="16"/>
        <v>316.87242424242436</v>
      </c>
      <c r="L47">
        <f t="shared" si="17"/>
        <v>15.931508710985028</v>
      </c>
      <c r="M47">
        <v>47</v>
      </c>
      <c r="O47">
        <f t="shared" si="18"/>
        <v>316.87242424242436</v>
      </c>
      <c r="P47">
        <f t="shared" si="19"/>
        <v>25.354567872967316</v>
      </c>
      <c r="Q47">
        <v>47</v>
      </c>
      <c r="S47">
        <f t="shared" si="20"/>
        <v>29.264300649297688</v>
      </c>
      <c r="T47">
        <f t="shared" si="21"/>
        <v>24.349751399992194</v>
      </c>
      <c r="U47">
        <v>47</v>
      </c>
      <c r="W47">
        <f t="shared" si="22"/>
        <v>28.847813261250014</v>
      </c>
      <c r="X47">
        <f t="shared" si="23"/>
        <v>33.740621809222191</v>
      </c>
    </row>
    <row r="48" spans="1:24" x14ac:dyDescent="0.35">
      <c r="A48">
        <v>48</v>
      </c>
      <c r="C48">
        <f t="shared" si="12"/>
        <v>362.05434782608711</v>
      </c>
      <c r="D48">
        <f t="shared" si="13"/>
        <v>25.139667426894867</v>
      </c>
      <c r="E48">
        <v>48</v>
      </c>
      <c r="G48">
        <f t="shared" si="14"/>
        <v>362.05434782608711</v>
      </c>
      <c r="H48">
        <f t="shared" si="15"/>
        <v>27.522235473758698</v>
      </c>
      <c r="I48">
        <v>48</v>
      </c>
      <c r="K48">
        <f t="shared" si="16"/>
        <v>318.98030303030316</v>
      </c>
      <c r="L48">
        <f t="shared" si="17"/>
        <v>16.198665754509292</v>
      </c>
      <c r="M48">
        <v>48</v>
      </c>
      <c r="O48">
        <f t="shared" si="18"/>
        <v>318.98030303030316</v>
      </c>
      <c r="P48">
        <f t="shared" si="19"/>
        <v>25.618128892899698</v>
      </c>
      <c r="Q48">
        <v>48</v>
      </c>
      <c r="S48">
        <f t="shared" si="20"/>
        <v>29.688523488640499</v>
      </c>
      <c r="T48">
        <f t="shared" si="21"/>
        <v>24.750672412834387</v>
      </c>
      <c r="U48">
        <v>48</v>
      </c>
      <c r="W48">
        <f t="shared" si="22"/>
        <v>29.290144247899242</v>
      </c>
      <c r="X48">
        <f t="shared" si="23"/>
        <v>34.206079793169067</v>
      </c>
    </row>
    <row r="49" spans="1:24" x14ac:dyDescent="0.35">
      <c r="A49">
        <v>49</v>
      </c>
      <c r="C49">
        <f t="shared" si="12"/>
        <v>365.07869565217408</v>
      </c>
      <c r="D49">
        <f t="shared" si="13"/>
        <v>25.467913233162722</v>
      </c>
      <c r="E49">
        <v>49</v>
      </c>
      <c r="G49">
        <f t="shared" si="14"/>
        <v>365.07869565217408</v>
      </c>
      <c r="H49">
        <f t="shared" si="15"/>
        <v>27.95545471505908</v>
      </c>
      <c r="I49">
        <v>49</v>
      </c>
      <c r="K49">
        <f t="shared" si="16"/>
        <v>321.08818181818191</v>
      </c>
      <c r="L49">
        <f t="shared" si="17"/>
        <v>16.465303496737828</v>
      </c>
      <c r="M49">
        <v>49</v>
      </c>
      <c r="O49">
        <f t="shared" si="18"/>
        <v>321.08818181818191</v>
      </c>
      <c r="P49">
        <f t="shared" si="19"/>
        <v>25.882209214127808</v>
      </c>
      <c r="Q49">
        <v>49</v>
      </c>
      <c r="S49">
        <f t="shared" si="20"/>
        <v>30.112746327983309</v>
      </c>
      <c r="T49">
        <f t="shared" si="21"/>
        <v>25.150441800864026</v>
      </c>
      <c r="U49">
        <v>49</v>
      </c>
      <c r="W49">
        <f t="shared" si="22"/>
        <v>29.73247523454847</v>
      </c>
      <c r="X49">
        <f t="shared" si="23"/>
        <v>34.672806627340933</v>
      </c>
    </row>
    <row r="50" spans="1:24" x14ac:dyDescent="0.35">
      <c r="A50">
        <v>50</v>
      </c>
      <c r="C50">
        <f t="shared" si="12"/>
        <v>368.10304347826104</v>
      </c>
      <c r="D50">
        <f t="shared" si="13"/>
        <v>25.794397454376046</v>
      </c>
      <c r="E50">
        <v>50</v>
      </c>
      <c r="G50">
        <f t="shared" si="14"/>
        <v>368.10304347826104</v>
      </c>
      <c r="H50">
        <f t="shared" si="15"/>
        <v>28.390435541413993</v>
      </c>
      <c r="I50">
        <v>50</v>
      </c>
      <c r="K50">
        <f t="shared" si="16"/>
        <v>323.19606060606071</v>
      </c>
      <c r="L50">
        <f t="shared" si="17"/>
        <v>16.731421514510547</v>
      </c>
      <c r="M50">
        <v>50</v>
      </c>
      <c r="O50">
        <f t="shared" si="18"/>
        <v>323.19606060606071</v>
      </c>
      <c r="P50">
        <f t="shared" si="19"/>
        <v>26.146809259811736</v>
      </c>
      <c r="Q50">
        <v>50</v>
      </c>
      <c r="S50">
        <f t="shared" si="20"/>
        <v>30.53696916732612</v>
      </c>
      <c r="T50">
        <f t="shared" si="21"/>
        <v>25.549076501787294</v>
      </c>
      <c r="U50">
        <v>50</v>
      </c>
      <c r="W50">
        <f t="shared" si="22"/>
        <v>30.174806221197702</v>
      </c>
      <c r="X50">
        <f t="shared" si="23"/>
        <v>35.140783611722135</v>
      </c>
    </row>
    <row r="51" spans="1:24" x14ac:dyDescent="0.35">
      <c r="A51">
        <v>51</v>
      </c>
      <c r="C51">
        <f t="shared" si="12"/>
        <v>371.12739130434795</v>
      </c>
      <c r="D51">
        <f t="shared" si="13"/>
        <v>26.119331837425101</v>
      </c>
      <c r="E51">
        <v>51</v>
      </c>
      <c r="G51">
        <f t="shared" si="14"/>
        <v>371.12739130434795</v>
      </c>
      <c r="H51">
        <f t="shared" si="15"/>
        <v>28.826966205933161</v>
      </c>
      <c r="I51">
        <v>51</v>
      </c>
      <c r="K51">
        <f t="shared" si="16"/>
        <v>325.30393939393952</v>
      </c>
      <c r="L51">
        <f t="shared" si="17"/>
        <v>16.997019556440893</v>
      </c>
      <c r="M51">
        <v>51</v>
      </c>
      <c r="O51">
        <f t="shared" si="18"/>
        <v>325.30393939393952</v>
      </c>
      <c r="P51">
        <f t="shared" si="19"/>
        <v>26.411929281338036</v>
      </c>
      <c r="Q51">
        <v>51</v>
      </c>
      <c r="S51">
        <f t="shared" si="20"/>
        <v>30.961192006668931</v>
      </c>
      <c r="T51">
        <f t="shared" si="21"/>
        <v>25.946593885578658</v>
      </c>
      <c r="U51">
        <v>51</v>
      </c>
      <c r="W51">
        <f t="shared" si="22"/>
        <v>30.61713720784693</v>
      </c>
      <c r="X51">
        <f t="shared" si="23"/>
        <v>35.609991482008624</v>
      </c>
    </row>
    <row r="52" spans="1:24" x14ac:dyDescent="0.35">
      <c r="A52">
        <v>52</v>
      </c>
      <c r="C52">
        <f t="shared" si="12"/>
        <v>374.15173913043498</v>
      </c>
      <c r="D52">
        <f t="shared" si="13"/>
        <v>26.442900238298062</v>
      </c>
      <c r="E52">
        <v>52</v>
      </c>
      <c r="G52">
        <f t="shared" si="14"/>
        <v>374.15173913043498</v>
      </c>
      <c r="H52">
        <f t="shared" si="15"/>
        <v>29.26486285262845</v>
      </c>
      <c r="I52">
        <v>52</v>
      </c>
      <c r="K52">
        <f t="shared" si="16"/>
        <v>327.41181818181826</v>
      </c>
      <c r="L52">
        <f t="shared" si="17"/>
        <v>17.262097543331862</v>
      </c>
      <c r="M52">
        <v>52</v>
      </c>
      <c r="O52">
        <f t="shared" si="18"/>
        <v>327.41181818181826</v>
      </c>
      <c r="P52">
        <f t="shared" si="19"/>
        <v>26.677569357903714</v>
      </c>
      <c r="Q52">
        <v>52</v>
      </c>
      <c r="S52">
        <f t="shared" si="20"/>
        <v>31.385414846011741</v>
      </c>
      <c r="T52">
        <f t="shared" si="21"/>
        <v>26.34301170473211</v>
      </c>
      <c r="U52">
        <v>52</v>
      </c>
      <c r="W52">
        <f t="shared" si="22"/>
        <v>31.059468194496159</v>
      </c>
      <c r="X52">
        <f t="shared" si="23"/>
        <v>36.080410471604637</v>
      </c>
    </row>
    <row r="53" spans="1:24" x14ac:dyDescent="0.35">
      <c r="A53">
        <v>53</v>
      </c>
      <c r="C53">
        <f t="shared" si="12"/>
        <v>377.17608695652189</v>
      </c>
      <c r="D53">
        <f t="shared" si="13"/>
        <v>26.765262076121772</v>
      </c>
      <c r="E53">
        <v>53</v>
      </c>
      <c r="G53">
        <f t="shared" si="14"/>
        <v>377.17608695652189</v>
      </c>
      <c r="H53">
        <f t="shared" si="15"/>
        <v>29.703966062372963</v>
      </c>
      <c r="I53">
        <v>53</v>
      </c>
      <c r="K53">
        <f t="shared" si="16"/>
        <v>329.51969696969707</v>
      </c>
      <c r="L53">
        <f t="shared" si="17"/>
        <v>17.526655568307145</v>
      </c>
      <c r="M53">
        <v>53</v>
      </c>
      <c r="O53">
        <f t="shared" si="18"/>
        <v>329.51969696969707</v>
      </c>
      <c r="P53">
        <f t="shared" si="19"/>
        <v>26.943729396385077</v>
      </c>
      <c r="Q53">
        <v>53</v>
      </c>
      <c r="S53">
        <f t="shared" si="20"/>
        <v>31.809637685354552</v>
      </c>
      <c r="T53">
        <f t="shared" si="21"/>
        <v>26.738348045394133</v>
      </c>
      <c r="U53">
        <v>53</v>
      </c>
      <c r="W53">
        <f t="shared" si="22"/>
        <v>31.501799181145387</v>
      </c>
      <c r="X53">
        <f t="shared" si="23"/>
        <v>36.552020372768737</v>
      </c>
    </row>
    <row r="54" spans="1:24" x14ac:dyDescent="0.35">
      <c r="A54">
        <v>54</v>
      </c>
      <c r="C54">
        <f t="shared" si="12"/>
        <v>380.20043478260891</v>
      </c>
      <c r="D54">
        <f t="shared" si="13"/>
        <v>27.086555547800263</v>
      </c>
      <c r="E54">
        <v>54</v>
      </c>
      <c r="G54">
        <f t="shared" si="14"/>
        <v>380.20043478260891</v>
      </c>
      <c r="H54">
        <f t="shared" si="15"/>
        <v>30.144137638262723</v>
      </c>
      <c r="I54">
        <v>54</v>
      </c>
      <c r="K54">
        <f t="shared" si="16"/>
        <v>331.62757575757587</v>
      </c>
      <c r="L54">
        <f t="shared" si="17"/>
        <v>17.790693896656933</v>
      </c>
      <c r="M54">
        <v>54</v>
      </c>
      <c r="O54">
        <f t="shared" si="18"/>
        <v>331.62757575757587</v>
      </c>
      <c r="P54">
        <f t="shared" si="19"/>
        <v>27.21040913149195</v>
      </c>
      <c r="Q54">
        <v>54</v>
      </c>
      <c r="S54">
        <f t="shared" si="20"/>
        <v>32.233860524697363</v>
      </c>
      <c r="T54">
        <f t="shared" si="21"/>
        <v>27.132621279612732</v>
      </c>
      <c r="U54">
        <v>54</v>
      </c>
      <c r="W54">
        <f t="shared" si="22"/>
        <v>31.944130167794619</v>
      </c>
      <c r="X54">
        <f t="shared" si="23"/>
        <v>37.02480059656812</v>
      </c>
    </row>
    <row r="55" spans="1:24" x14ac:dyDescent="0.35">
      <c r="A55">
        <v>55</v>
      </c>
      <c r="C55">
        <f t="shared" si="12"/>
        <v>383.22478260869582</v>
      </c>
      <c r="D55">
        <f t="shared" si="13"/>
        <v>27.406900527103076</v>
      </c>
      <c r="E55">
        <v>55</v>
      </c>
      <c r="G55">
        <f t="shared" si="14"/>
        <v>383.22478260869582</v>
      </c>
      <c r="H55">
        <f t="shared" si="15"/>
        <v>30.585257706528132</v>
      </c>
      <c r="I55">
        <v>55</v>
      </c>
      <c r="K55">
        <f t="shared" si="16"/>
        <v>333.73545454545467</v>
      </c>
      <c r="L55">
        <f t="shared" si="17"/>
        <v>18.054212965398893</v>
      </c>
      <c r="M55">
        <v>55</v>
      </c>
      <c r="O55">
        <f t="shared" si="18"/>
        <v>333.73545454545467</v>
      </c>
      <c r="P55">
        <f t="shared" si="19"/>
        <v>27.477608126206636</v>
      </c>
      <c r="Q55">
        <v>55</v>
      </c>
      <c r="S55">
        <f t="shared" si="20"/>
        <v>32.658083364040174</v>
      </c>
      <c r="T55">
        <f t="shared" si="21"/>
        <v>27.525850018911381</v>
      </c>
      <c r="U55">
        <v>55</v>
      </c>
      <c r="W55">
        <f t="shared" si="22"/>
        <v>32.38646115444385</v>
      </c>
      <c r="X55">
        <f t="shared" si="23"/>
        <v>37.498730231334392</v>
      </c>
    </row>
    <row r="56" spans="1:24" x14ac:dyDescent="0.35">
      <c r="A56">
        <v>56</v>
      </c>
      <c r="C56">
        <f t="shared" si="12"/>
        <v>386.24913043478278</v>
      </c>
      <c r="D56">
        <f t="shared" si="13"/>
        <v>27.726401125071337</v>
      </c>
      <c r="E56">
        <v>56</v>
      </c>
      <c r="G56">
        <f t="shared" si="14"/>
        <v>386.24913043478278</v>
      </c>
      <c r="H56">
        <f t="shared" si="15"/>
        <v>31.027222156128122</v>
      </c>
      <c r="I56">
        <v>56</v>
      </c>
      <c r="K56">
        <f t="shared" si="16"/>
        <v>335.84333333333348</v>
      </c>
      <c r="L56">
        <f t="shared" si="17"/>
        <v>18.317213382556169</v>
      </c>
      <c r="M56">
        <v>56</v>
      </c>
      <c r="O56">
        <f t="shared" si="18"/>
        <v>335.84333333333348</v>
      </c>
      <c r="P56">
        <f t="shared" si="19"/>
        <v>27.745325772506021</v>
      </c>
      <c r="Q56">
        <v>56</v>
      </c>
      <c r="S56">
        <f t="shared" si="20"/>
        <v>33.082306203382984</v>
      </c>
      <c r="T56">
        <f t="shared" si="21"/>
        <v>27.918053069371183</v>
      </c>
      <c r="U56">
        <v>56</v>
      </c>
      <c r="W56">
        <f t="shared" si="22"/>
        <v>32.828792141093075</v>
      </c>
      <c r="X56">
        <f t="shared" si="23"/>
        <v>37.973788099349477</v>
      </c>
    </row>
    <row r="57" spans="1:24" x14ac:dyDescent="0.35">
      <c r="A57">
        <v>57</v>
      </c>
      <c r="C57">
        <f t="shared" si="12"/>
        <v>389.27347826086975</v>
      </c>
      <c r="D57">
        <f t="shared" si="13"/>
        <v>28.045147919562819</v>
      </c>
      <c r="E57">
        <v>57</v>
      </c>
      <c r="G57">
        <f t="shared" si="14"/>
        <v>389.27347826086975</v>
      </c>
      <c r="H57">
        <f t="shared" si="15"/>
        <v>31.469940409204877</v>
      </c>
      <c r="I57">
        <v>57</v>
      </c>
      <c r="K57">
        <f t="shared" si="16"/>
        <v>337.95121212121228</v>
      </c>
      <c r="L57">
        <f t="shared" si="17"/>
        <v>18.579695926154958</v>
      </c>
      <c r="M57">
        <v>57</v>
      </c>
      <c r="O57">
        <f t="shared" si="18"/>
        <v>337.95121212121228</v>
      </c>
      <c r="P57">
        <f t="shared" si="19"/>
        <v>28.013561292363878</v>
      </c>
      <c r="Q57">
        <v>57</v>
      </c>
      <c r="S57">
        <f t="shared" si="20"/>
        <v>33.506529042725795</v>
      </c>
      <c r="T57">
        <f t="shared" si="21"/>
        <v>28.309249388378905</v>
      </c>
      <c r="U57">
        <v>57</v>
      </c>
      <c r="W57">
        <f t="shared" si="22"/>
        <v>33.2711231277423</v>
      </c>
      <c r="X57">
        <f t="shared" si="23"/>
        <v>38.449952811526444</v>
      </c>
    </row>
    <row r="58" spans="1:24" x14ac:dyDescent="0.35">
      <c r="A58">
        <v>58</v>
      </c>
      <c r="C58">
        <f t="shared" si="12"/>
        <v>392.29782608695672</v>
      </c>
      <c r="D58">
        <f t="shared" si="13"/>
        <v>28.363219878222971</v>
      </c>
      <c r="E58">
        <v>58</v>
      </c>
      <c r="G58">
        <f t="shared" si="14"/>
        <v>392.29782608695672</v>
      </c>
      <c r="H58">
        <f t="shared" si="15"/>
        <v>31.913333498112962</v>
      </c>
      <c r="I58">
        <v>58</v>
      </c>
      <c r="K58">
        <f t="shared" si="16"/>
        <v>340.05909090909103</v>
      </c>
      <c r="L58">
        <f t="shared" si="17"/>
        <v>18.84166154294574</v>
      </c>
      <c r="M58">
        <v>58</v>
      </c>
      <c r="O58">
        <f t="shared" si="18"/>
        <v>340.05909090909103</v>
      </c>
      <c r="P58">
        <f t="shared" si="19"/>
        <v>28.282313739029743</v>
      </c>
      <c r="Q58">
        <v>58</v>
      </c>
      <c r="S58">
        <f t="shared" si="20"/>
        <v>33.930751882068606</v>
      </c>
      <c r="T58">
        <f t="shared" si="21"/>
        <v>28.699458043173291</v>
      </c>
      <c r="U58">
        <v>58</v>
      </c>
      <c r="W58">
        <f t="shared" si="22"/>
        <v>33.713454114391531</v>
      </c>
      <c r="X58">
        <f t="shared" si="23"/>
        <v>38.927202819885366</v>
      </c>
    </row>
    <row r="59" spans="1:24" x14ac:dyDescent="0.35">
      <c r="A59">
        <v>59</v>
      </c>
      <c r="C59">
        <f t="shared" si="12"/>
        <v>395.32217391304368</v>
      </c>
      <c r="D59">
        <f t="shared" si="13"/>
        <v>28.680686006546807</v>
      </c>
      <c r="E59">
        <v>59</v>
      </c>
      <c r="G59">
        <f t="shared" si="14"/>
        <v>395.32217391304368</v>
      </c>
      <c r="H59">
        <f t="shared" si="15"/>
        <v>32.357332417357362</v>
      </c>
      <c r="I59">
        <v>59</v>
      </c>
      <c r="K59">
        <f t="shared" si="16"/>
        <v>342.16696969696983</v>
      </c>
      <c r="L59">
        <f t="shared" si="17"/>
        <v>19.103111346852884</v>
      </c>
      <c r="M59">
        <v>59</v>
      </c>
      <c r="O59">
        <f t="shared" si="18"/>
        <v>342.16696969696983</v>
      </c>
      <c r="P59">
        <f t="shared" si="19"/>
        <v>28.551581998579245</v>
      </c>
      <c r="Q59">
        <v>59</v>
      </c>
      <c r="S59">
        <f t="shared" si="20"/>
        <v>34.354974721411416</v>
      </c>
      <c r="T59">
        <f t="shared" si="21"/>
        <v>29.088698171297608</v>
      </c>
      <c r="U59">
        <v>59</v>
      </c>
      <c r="W59">
        <f t="shared" si="22"/>
        <v>34.155785101040763</v>
      </c>
      <c r="X59">
        <f t="shared" si="23"/>
        <v>39.405516467659368</v>
      </c>
    </row>
    <row r="60" spans="1:24" x14ac:dyDescent="0.35">
      <c r="A60">
        <v>60</v>
      </c>
      <c r="C60">
        <f t="shared" si="12"/>
        <v>398.34652173913059</v>
      </c>
      <c r="D60">
        <f t="shared" si="13"/>
        <v>28.997606754649045</v>
      </c>
      <c r="E60">
        <v>60</v>
      </c>
      <c r="G60">
        <f t="shared" si="14"/>
        <v>398.34652173913059</v>
      </c>
      <c r="H60">
        <f t="shared" si="15"/>
        <v>32.801876716823351</v>
      </c>
      <c r="I60">
        <v>60</v>
      </c>
      <c r="K60">
        <f t="shared" si="16"/>
        <v>344.27484848484863</v>
      </c>
      <c r="L60">
        <f t="shared" si="17"/>
        <v>19.364046617158593</v>
      </c>
      <c r="M60">
        <v>60</v>
      </c>
      <c r="O60">
        <f t="shared" si="18"/>
        <v>344.27484848484863</v>
      </c>
      <c r="P60">
        <f t="shared" si="19"/>
        <v>28.821364791730197</v>
      </c>
      <c r="Q60">
        <v>60</v>
      </c>
      <c r="S60">
        <f t="shared" si="20"/>
        <v>34.779197560754234</v>
      </c>
      <c r="T60">
        <f t="shared" si="21"/>
        <v>29.476988943042965</v>
      </c>
      <c r="U60">
        <v>60</v>
      </c>
      <c r="W60">
        <f t="shared" si="22"/>
        <v>34.598116087689988</v>
      </c>
      <c r="X60">
        <f t="shared" si="23"/>
        <v>39.884872036899814</v>
      </c>
    </row>
    <row r="61" spans="1:24" x14ac:dyDescent="0.35">
      <c r="A61">
        <v>61</v>
      </c>
      <c r="C61">
        <f t="shared" si="12"/>
        <v>401.37086956521762</v>
      </c>
      <c r="D61">
        <f t="shared" si="13"/>
        <v>29.31403521526703</v>
      </c>
      <c r="E61">
        <v>61</v>
      </c>
      <c r="G61">
        <f t="shared" si="14"/>
        <v>401.37086956521762</v>
      </c>
      <c r="H61">
        <f t="shared" si="15"/>
        <v>33.246913303773617</v>
      </c>
      <c r="I61">
        <v>61</v>
      </c>
      <c r="K61">
        <f t="shared" si="16"/>
        <v>346.38272727272738</v>
      </c>
      <c r="L61">
        <f t="shared" si="17"/>
        <v>19.624468796428026</v>
      </c>
      <c r="M61">
        <v>61</v>
      </c>
      <c r="O61">
        <f t="shared" si="18"/>
        <v>346.38272727272738</v>
      </c>
      <c r="P61">
        <f t="shared" si="19"/>
        <v>29.091660675917396</v>
      </c>
      <c r="Q61">
        <v>61</v>
      </c>
      <c r="S61">
        <f t="shared" si="20"/>
        <v>35.203420400097045</v>
      </c>
      <c r="T61">
        <f t="shared" si="21"/>
        <v>29.864349525944569</v>
      </c>
      <c r="U61">
        <v>61</v>
      </c>
      <c r="W61">
        <f t="shared" si="22"/>
        <v>35.04044707433922</v>
      </c>
      <c r="X61">
        <f t="shared" si="23"/>
        <v>40.365247793481444</v>
      </c>
    </row>
    <row r="62" spans="1:24" x14ac:dyDescent="0.35">
      <c r="A62">
        <v>62</v>
      </c>
      <c r="C62">
        <f t="shared" si="12"/>
        <v>404.39521739130453</v>
      </c>
      <c r="D62">
        <f t="shared" si="13"/>
        <v>29.630018142878178</v>
      </c>
      <c r="E62">
        <v>62</v>
      </c>
      <c r="G62">
        <f t="shared" si="14"/>
        <v>404.39521739130453</v>
      </c>
      <c r="H62">
        <f t="shared" si="15"/>
        <v>33.692395423730687</v>
      </c>
      <c r="I62">
        <v>62</v>
      </c>
      <c r="K62">
        <f t="shared" si="16"/>
        <v>348.49060606060618</v>
      </c>
      <c r="L62">
        <f t="shared" si="17"/>
        <v>19.884379488183448</v>
      </c>
      <c r="M62">
        <v>62</v>
      </c>
      <c r="O62">
        <f t="shared" si="18"/>
        <v>348.49060606060618</v>
      </c>
      <c r="P62">
        <f t="shared" si="19"/>
        <v>29.36246804761862</v>
      </c>
      <c r="Q62">
        <v>62</v>
      </c>
      <c r="S62">
        <f t="shared" si="20"/>
        <v>35.627643239439855</v>
      </c>
      <c r="T62">
        <f t="shared" si="21"/>
        <v>30.250799051372525</v>
      </c>
      <c r="U62">
        <v>62</v>
      </c>
      <c r="W62">
        <f t="shared" si="22"/>
        <v>35.482778060988451</v>
      </c>
      <c r="X62">
        <f t="shared" si="23"/>
        <v>40.846622029438251</v>
      </c>
    </row>
    <row r="63" spans="1:24" x14ac:dyDescent="0.35">
      <c r="A63">
        <v>63</v>
      </c>
      <c r="C63">
        <f t="shared" si="12"/>
        <v>407.41956521739149</v>
      </c>
      <c r="D63">
        <f t="shared" si="13"/>
        <v>29.945596820524401</v>
      </c>
      <c r="E63">
        <v>63</v>
      </c>
      <c r="G63">
        <f t="shared" si="14"/>
        <v>407.41956521739149</v>
      </c>
      <c r="H63">
        <f t="shared" si="15"/>
        <v>34.138281793652709</v>
      </c>
      <c r="I63">
        <v>63</v>
      </c>
      <c r="K63">
        <f t="shared" si="16"/>
        <v>350.59848484848499</v>
      </c>
      <c r="L63">
        <f t="shared" si="17"/>
        <v>20.143780454335911</v>
      </c>
      <c r="M63">
        <v>63</v>
      </c>
      <c r="O63">
        <f t="shared" si="18"/>
        <v>350.59848484848499</v>
      </c>
      <c r="P63">
        <f t="shared" si="19"/>
        <v>29.633785144922818</v>
      </c>
      <c r="Q63">
        <v>63</v>
      </c>
      <c r="S63">
        <f t="shared" si="20"/>
        <v>36.051866078782666</v>
      </c>
      <c r="T63">
        <f t="shared" si="21"/>
        <v>30.636356583239134</v>
      </c>
      <c r="U63">
        <v>63</v>
      </c>
      <c r="W63">
        <f t="shared" si="22"/>
        <v>35.925109047637676</v>
      </c>
      <c r="X63">
        <f t="shared" si="23"/>
        <v>41.328973102589345</v>
      </c>
    </row>
    <row r="64" spans="1:24" x14ac:dyDescent="0.35">
      <c r="A64">
        <v>64</v>
      </c>
      <c r="C64">
        <f t="shared" si="12"/>
        <v>410.44391304347846</v>
      </c>
      <c r="D64">
        <f t="shared" si="13"/>
        <v>30.260807797521874</v>
      </c>
      <c r="E64">
        <v>64</v>
      </c>
      <c r="G64">
        <f t="shared" si="14"/>
        <v>410.44391304347846</v>
      </c>
      <c r="H64">
        <f t="shared" si="15"/>
        <v>34.584535864223469</v>
      </c>
      <c r="I64">
        <v>64</v>
      </c>
      <c r="K64">
        <f t="shared" si="16"/>
        <v>352.70636363636379</v>
      </c>
      <c r="L64">
        <f t="shared" si="17"/>
        <v>20.402673612384042</v>
      </c>
      <c r="M64">
        <v>64</v>
      </c>
      <c r="O64">
        <f t="shared" si="18"/>
        <v>352.70636363636379</v>
      </c>
      <c r="P64">
        <f t="shared" si="19"/>
        <v>29.905610050331333</v>
      </c>
      <c r="Q64">
        <v>64</v>
      </c>
      <c r="S64">
        <f t="shared" si="20"/>
        <v>36.476088918125477</v>
      </c>
      <c r="T64">
        <f t="shared" si="21"/>
        <v>31.02104108882742</v>
      </c>
      <c r="U64">
        <v>64</v>
      </c>
      <c r="W64">
        <f t="shared" si="22"/>
        <v>36.367440034286908</v>
      </c>
      <c r="X64">
        <f t="shared" si="23"/>
        <v>41.812279473439162</v>
      </c>
    </row>
    <row r="65" spans="1:24" x14ac:dyDescent="0.35">
      <c r="A65">
        <v>65</v>
      </c>
      <c r="C65">
        <f t="shared" ref="C65:C70" si="24">219.91+(A65-1)*3.02434782608696</f>
        <v>413.46826086956543</v>
      </c>
      <c r="D65">
        <f t="shared" ref="D65:D70" si="25">-19.2477562650455+0.125889132361051*C65-4.63558068365012*(0.03125+(C65-325.21875)^2/38998.86875)^0.5</f>
        <v>30.575683517980423</v>
      </c>
      <c r="E65">
        <v>65</v>
      </c>
      <c r="G65">
        <f t="shared" ref="G65:G70" si="26">219.91+(E65-1)*3.02434782608696</f>
        <v>413.46826086956543</v>
      </c>
      <c r="H65">
        <f t="shared" ref="H65:H70" si="27">-19.2477562650455+0.125889132361051*G65+4.63558068365012*(0.03125+(G65-325.21875)^2/38998.86875)^0.5</f>
        <v>35.03112519133316</v>
      </c>
      <c r="I65">
        <v>65</v>
      </c>
      <c r="K65">
        <f t="shared" ref="K65:K100" si="28">219.91+(I65-1)*2.10787878787879</f>
        <v>354.81424242424259</v>
      </c>
      <c r="L65">
        <f t="shared" ref="L65:L96" si="29">-19.2477562650455+0.125889132361051*K65-4.63558068365012*(1.03125+(K65-325.21875)^2/38998.86875)^0.5</f>
        <v>20.66106103239018</v>
      </c>
      <c r="M65">
        <v>65</v>
      </c>
      <c r="O65">
        <f t="shared" ref="O65:O100" si="30">219.91+(M65-1)*2.10787878787879</f>
        <v>354.81424242424259</v>
      </c>
      <c r="P65">
        <f t="shared" ref="P65:P96" si="31">-19.2477562650455+0.125889132361051*O65+4.63558068365012*(1.03125+(O65-325.21875)^2/38998.86875)^0.5</f>
        <v>30.177940693781856</v>
      </c>
      <c r="Q65">
        <v>65</v>
      </c>
      <c r="S65">
        <f t="shared" ref="S65:S70" si="32">9.75005003952838+(Q65-1)*0.424222839342811</f>
        <v>36.900311757468288</v>
      </c>
      <c r="T65">
        <f t="shared" ref="T65:T70" si="33">0+1*S65-4.63558068365012*(1.03125+(S65-21.69375)^2/618.056944084796)^0.5</f>
        <v>31.404871411729349</v>
      </c>
      <c r="U65">
        <v>65</v>
      </c>
      <c r="W65">
        <f t="shared" ref="W65:W70" si="34">8.50058787538548+(U65-1)*0.442330986649229</f>
        <v>36.80977102093614</v>
      </c>
      <c r="X65">
        <f t="shared" ref="X65:X70" si="35">0+1*W65+4.63558068365012*(1.03125+(W65-21.69375)^2/618.056944084796)^0.5</f>
        <v>42.296519739359709</v>
      </c>
    </row>
    <row r="66" spans="1:24" x14ac:dyDescent="0.35">
      <c r="A66">
        <v>66</v>
      </c>
      <c r="C66">
        <f t="shared" si="24"/>
        <v>416.49260869565239</v>
      </c>
      <c r="D66">
        <f t="shared" si="25"/>
        <v>30.890252857097888</v>
      </c>
      <c r="E66">
        <v>66</v>
      </c>
      <c r="G66">
        <f t="shared" si="26"/>
        <v>416.49260869565239</v>
      </c>
      <c r="H66">
        <f t="shared" si="27"/>
        <v>35.478020899783928</v>
      </c>
      <c r="I66">
        <v>66</v>
      </c>
      <c r="K66">
        <f t="shared" si="28"/>
        <v>356.9221212121214</v>
      </c>
      <c r="L66">
        <f t="shared" si="29"/>
        <v>20.918944933744594</v>
      </c>
      <c r="M66">
        <v>66</v>
      </c>
      <c r="O66">
        <f t="shared" si="30"/>
        <v>356.9221212121214</v>
      </c>
      <c r="P66">
        <f t="shared" si="31"/>
        <v>30.450774855884088</v>
      </c>
      <c r="Q66">
        <v>66</v>
      </c>
      <c r="S66">
        <f t="shared" si="32"/>
        <v>37.324534596811098</v>
      </c>
      <c r="T66">
        <f t="shared" si="33"/>
        <v>31.787866246868177</v>
      </c>
      <c r="U66">
        <v>66</v>
      </c>
      <c r="W66">
        <f t="shared" si="34"/>
        <v>37.252102007585364</v>
      </c>
      <c r="X66">
        <f t="shared" si="35"/>
        <v>42.78167266608348</v>
      </c>
    </row>
    <row r="67" spans="1:24" x14ac:dyDescent="0.35">
      <c r="A67">
        <v>67</v>
      </c>
      <c r="C67">
        <f t="shared" si="24"/>
        <v>419.51695652173936</v>
      </c>
      <c r="D67">
        <f t="shared" si="25"/>
        <v>31.204541579585118</v>
      </c>
      <c r="E67">
        <v>67</v>
      </c>
      <c r="G67">
        <f t="shared" si="26"/>
        <v>419.51695652173936</v>
      </c>
      <c r="H67">
        <f t="shared" si="27"/>
        <v>35.925197224864938</v>
      </c>
      <c r="I67">
        <v>67</v>
      </c>
      <c r="K67">
        <f t="shared" si="28"/>
        <v>359.03000000000014</v>
      </c>
      <c r="L67">
        <f t="shared" si="29"/>
        <v>21.176327681729468</v>
      </c>
      <c r="M67">
        <v>67</v>
      </c>
      <c r="O67">
        <f t="shared" si="30"/>
        <v>359.03000000000014</v>
      </c>
      <c r="P67">
        <f t="shared" si="31"/>
        <v>30.724110171355861</v>
      </c>
      <c r="Q67">
        <v>67</v>
      </c>
      <c r="S67">
        <f t="shared" si="32"/>
        <v>37.748757436153909</v>
      </c>
      <c r="T67">
        <f t="shared" si="33"/>
        <v>32.170044117566668</v>
      </c>
      <c r="U67">
        <v>67</v>
      </c>
      <c r="W67">
        <f t="shared" si="34"/>
        <v>37.694432994234589</v>
      </c>
      <c r="X67">
        <f t="shared" si="35"/>
        <v>43.267717216553564</v>
      </c>
    </row>
    <row r="68" spans="1:24" x14ac:dyDescent="0.35">
      <c r="A68">
        <v>68</v>
      </c>
      <c r="C68">
        <f t="shared" si="24"/>
        <v>422.54130434782633</v>
      </c>
      <c r="D68">
        <f t="shared" si="25"/>
        <v>31.518572732318273</v>
      </c>
      <c r="E68">
        <v>68</v>
      </c>
      <c r="G68">
        <f t="shared" si="26"/>
        <v>422.54130434782633</v>
      </c>
      <c r="H68">
        <f t="shared" si="27"/>
        <v>36.372631119700024</v>
      </c>
      <c r="I68">
        <v>68</v>
      </c>
      <c r="K68">
        <f t="shared" si="28"/>
        <v>361.13787878787895</v>
      </c>
      <c r="L68">
        <f t="shared" si="29"/>
        <v>21.433211783894592</v>
      </c>
      <c r="M68">
        <v>68</v>
      </c>
      <c r="O68">
        <f t="shared" si="30"/>
        <v>361.13787878787895</v>
      </c>
      <c r="P68">
        <f t="shared" si="31"/>
        <v>30.997944132647383</v>
      </c>
      <c r="Q68">
        <v>68</v>
      </c>
      <c r="S68">
        <f t="shared" si="32"/>
        <v>38.17298027549672</v>
      </c>
      <c r="T68">
        <f t="shared" si="33"/>
        <v>32.55142335461224</v>
      </c>
      <c r="U68">
        <v>68</v>
      </c>
      <c r="W68">
        <f t="shared" si="34"/>
        <v>38.136763980883828</v>
      </c>
      <c r="X68">
        <f t="shared" si="35"/>
        <v>43.754632577193426</v>
      </c>
    </row>
    <row r="69" spans="1:24" x14ac:dyDescent="0.35">
      <c r="A69">
        <v>69</v>
      </c>
      <c r="C69">
        <f t="shared" si="24"/>
        <v>425.56565217391324</v>
      </c>
      <c r="D69">
        <f t="shared" si="25"/>
        <v>31.832366981386357</v>
      </c>
      <c r="E69">
        <v>69</v>
      </c>
      <c r="G69">
        <f t="shared" si="26"/>
        <v>425.56565217391324</v>
      </c>
      <c r="H69">
        <f t="shared" si="27"/>
        <v>36.820301918200173</v>
      </c>
      <c r="I69">
        <v>69</v>
      </c>
      <c r="K69">
        <f t="shared" si="28"/>
        <v>363.24575757575769</v>
      </c>
      <c r="L69">
        <f t="shared" si="29"/>
        <v>21.689599886257312</v>
      </c>
      <c r="M69">
        <v>69</v>
      </c>
      <c r="O69">
        <f t="shared" si="30"/>
        <v>363.24575757575769</v>
      </c>
      <c r="P69">
        <f t="shared" si="31"/>
        <v>31.272274093741309</v>
      </c>
      <c r="Q69">
        <v>69</v>
      </c>
      <c r="S69">
        <f t="shared" si="32"/>
        <v>38.59720311483953</v>
      </c>
      <c r="T69">
        <f t="shared" si="33"/>
        <v>32.932022077260569</v>
      </c>
      <c r="U69">
        <v>69</v>
      </c>
      <c r="W69">
        <f t="shared" si="34"/>
        <v>38.579094967533052</v>
      </c>
      <c r="X69">
        <f t="shared" si="35"/>
        <v>44.242398181672243</v>
      </c>
    </row>
    <row r="70" spans="1:24" x14ac:dyDescent="0.35">
      <c r="A70">
        <v>70</v>
      </c>
      <c r="C70">
        <f t="shared" si="24"/>
        <v>428.59000000000026</v>
      </c>
      <c r="D70">
        <f t="shared" si="25"/>
        <v>32.145942902068811</v>
      </c>
      <c r="E70">
        <v>70</v>
      </c>
      <c r="G70">
        <f t="shared" si="26"/>
        <v>428.59000000000026</v>
      </c>
      <c r="H70">
        <f t="shared" si="27"/>
        <v>37.268191045085956</v>
      </c>
      <c r="I70">
        <v>70</v>
      </c>
      <c r="K70">
        <f t="shared" si="28"/>
        <v>365.3536363636365</v>
      </c>
      <c r="L70">
        <f t="shared" si="29"/>
        <v>21.945494769339675</v>
      </c>
      <c r="M70">
        <v>70</v>
      </c>
      <c r="O70">
        <f t="shared" si="30"/>
        <v>365.3536363636365</v>
      </c>
      <c r="P70">
        <f t="shared" si="31"/>
        <v>31.547097274115593</v>
      </c>
      <c r="Q70">
        <v>70</v>
      </c>
      <c r="S70">
        <f t="shared" si="32"/>
        <v>39.021425954182341</v>
      </c>
      <c r="T70">
        <f t="shared" si="33"/>
        <v>33.31185817611167</v>
      </c>
      <c r="U70">
        <v>70</v>
      </c>
      <c r="W70">
        <f t="shared" si="34"/>
        <v>39.021425954182277</v>
      </c>
      <c r="X70">
        <f t="shared" si="35"/>
        <v>44.730993732252941</v>
      </c>
    </row>
    <row r="71" spans="1:24" x14ac:dyDescent="0.35">
      <c r="I71">
        <v>71</v>
      </c>
      <c r="K71">
        <f t="shared" si="28"/>
        <v>367.4615151515153</v>
      </c>
      <c r="L71">
        <f t="shared" si="29"/>
        <v>22.200899344055969</v>
      </c>
      <c r="M71">
        <v>71</v>
      </c>
      <c r="O71">
        <f t="shared" si="30"/>
        <v>367.4615151515153</v>
      </c>
      <c r="P71">
        <f t="shared" si="31"/>
        <v>31.822410762855959</v>
      </c>
    </row>
    <row r="72" spans="1:24" x14ac:dyDescent="0.35">
      <c r="I72">
        <v>72</v>
      </c>
      <c r="K72">
        <f t="shared" si="28"/>
        <v>369.5693939393941</v>
      </c>
      <c r="L72">
        <f t="shared" si="29"/>
        <v>22.455816647464143</v>
      </c>
      <c r="M72">
        <v>72</v>
      </c>
      <c r="O72">
        <f t="shared" si="30"/>
        <v>369.5693939393941</v>
      </c>
      <c r="P72">
        <f t="shared" si="31"/>
        <v>32.098211522904435</v>
      </c>
    </row>
    <row r="73" spans="1:24" x14ac:dyDescent="0.35">
      <c r="I73">
        <v>73</v>
      </c>
      <c r="K73">
        <f t="shared" si="28"/>
        <v>371.67727272727291</v>
      </c>
      <c r="L73">
        <f t="shared" si="29"/>
        <v>22.710249838394802</v>
      </c>
      <c r="M73">
        <v>73</v>
      </c>
      <c r="O73">
        <f t="shared" si="30"/>
        <v>371.67727272727291</v>
      </c>
      <c r="P73">
        <f t="shared" si="31"/>
        <v>32.374496395430434</v>
      </c>
    </row>
    <row r="74" spans="1:24" x14ac:dyDescent="0.35">
      <c r="I74">
        <v>74</v>
      </c>
      <c r="K74">
        <f t="shared" si="28"/>
        <v>373.78515151515171</v>
      </c>
      <c r="L74">
        <f t="shared" si="29"/>
        <v>22.964202192971417</v>
      </c>
      <c r="M74">
        <v>74</v>
      </c>
      <c r="O74">
        <f t="shared" si="30"/>
        <v>373.78515151515171</v>
      </c>
      <c r="P74">
        <f t="shared" si="31"/>
        <v>32.651262104310462</v>
      </c>
    </row>
    <row r="75" spans="1:24" x14ac:dyDescent="0.35">
      <c r="I75">
        <v>75</v>
      </c>
      <c r="K75">
        <f t="shared" si="28"/>
        <v>375.89303030303046</v>
      </c>
      <c r="L75">
        <f t="shared" si="29"/>
        <v>23.217677100035623</v>
      </c>
      <c r="M75">
        <v>75</v>
      </c>
      <c r="O75">
        <f t="shared" si="30"/>
        <v>375.89303030303046</v>
      </c>
      <c r="P75">
        <f t="shared" si="31"/>
        <v>32.928505260702892</v>
      </c>
    </row>
    <row r="76" spans="1:24" x14ac:dyDescent="0.35">
      <c r="I76">
        <v>76</v>
      </c>
      <c r="K76">
        <f t="shared" si="28"/>
        <v>378.00090909090926</v>
      </c>
      <c r="L76">
        <f t="shared" si="29"/>
        <v>23.470678056491291</v>
      </c>
      <c r="M76">
        <v>76</v>
      </c>
      <c r="O76">
        <f t="shared" si="30"/>
        <v>378.00090909090926</v>
      </c>
      <c r="P76">
        <f t="shared" si="31"/>
        <v>33.206222367703887</v>
      </c>
    </row>
    <row r="77" spans="1:24" x14ac:dyDescent="0.35">
      <c r="I77">
        <v>77</v>
      </c>
      <c r="K77">
        <f t="shared" si="28"/>
        <v>380.10878787878801</v>
      </c>
      <c r="L77">
        <f t="shared" si="29"/>
        <v>23.723208662580838</v>
      </c>
      <c r="M77">
        <v>77</v>
      </c>
      <c r="O77">
        <f t="shared" si="30"/>
        <v>380.10878787878801</v>
      </c>
      <c r="P77">
        <f t="shared" si="31"/>
        <v>33.484409825070969</v>
      </c>
    </row>
    <row r="78" spans="1:24" x14ac:dyDescent="0.35">
      <c r="I78">
        <v>78</v>
      </c>
      <c r="K78">
        <f t="shared" si="28"/>
        <v>382.21666666666681</v>
      </c>
      <c r="L78">
        <f t="shared" si="29"/>
        <v>23.975272617107567</v>
      </c>
      <c r="M78">
        <v>78</v>
      </c>
      <c r="O78">
        <f t="shared" si="30"/>
        <v>382.21666666666681</v>
      </c>
      <c r="P78">
        <f t="shared" si="31"/>
        <v>33.763063934000904</v>
      </c>
    </row>
    <row r="79" spans="1:24" x14ac:dyDescent="0.35">
      <c r="I79">
        <v>79</v>
      </c>
      <c r="K79">
        <f t="shared" si="28"/>
        <v>384.32454545454561</v>
      </c>
      <c r="L79">
        <f t="shared" si="29"/>
        <v>24.22687371261673</v>
      </c>
      <c r="M79">
        <v>79</v>
      </c>
      <c r="O79">
        <f t="shared" si="30"/>
        <v>384.32454545454561</v>
      </c>
      <c r="P79">
        <f t="shared" si="31"/>
        <v>34.042180901948385</v>
      </c>
    </row>
    <row r="80" spans="1:24" x14ac:dyDescent="0.35">
      <c r="I80">
        <v>80</v>
      </c>
      <c r="K80">
        <f t="shared" si="28"/>
        <v>386.43242424242442</v>
      </c>
      <c r="L80">
        <f t="shared" si="29"/>
        <v>24.478015830548728</v>
      </c>
      <c r="M80">
        <v>80</v>
      </c>
      <c r="O80">
        <f t="shared" si="30"/>
        <v>386.43242424242442</v>
      </c>
      <c r="P80">
        <f t="shared" si="31"/>
        <v>34.321756847473047</v>
      </c>
    </row>
    <row r="81" spans="9:16" x14ac:dyDescent="0.35">
      <c r="I81">
        <v>81</v>
      </c>
      <c r="K81">
        <f t="shared" si="28"/>
        <v>388.54030303030322</v>
      </c>
      <c r="L81">
        <f t="shared" si="29"/>
        <v>24.728702936376628</v>
      </c>
      <c r="M81">
        <v>81</v>
      </c>
      <c r="O81">
        <f t="shared" si="30"/>
        <v>388.54030303030322</v>
      </c>
      <c r="P81">
        <f t="shared" si="31"/>
        <v>34.601787805101793</v>
      </c>
    </row>
    <row r="82" spans="9:16" x14ac:dyDescent="0.35">
      <c r="I82">
        <v>82</v>
      </c>
      <c r="K82">
        <f t="shared" si="28"/>
        <v>390.64818181818202</v>
      </c>
      <c r="L82">
        <f t="shared" si="29"/>
        <v>24.978939074740396</v>
      </c>
      <c r="M82">
        <v>82</v>
      </c>
      <c r="O82">
        <f t="shared" si="30"/>
        <v>390.64818181818202</v>
      </c>
      <c r="P82">
        <f t="shared" si="31"/>
        <v>34.882269730194686</v>
      </c>
    </row>
    <row r="83" spans="9:16" x14ac:dyDescent="0.35">
      <c r="I83">
        <v>83</v>
      </c>
      <c r="K83">
        <f t="shared" si="28"/>
        <v>392.75606060606083</v>
      </c>
      <c r="L83">
        <f t="shared" si="29"/>
        <v>25.228728364589465</v>
      </c>
      <c r="M83">
        <v>83</v>
      </c>
      <c r="O83">
        <f t="shared" si="30"/>
        <v>392.75606060606083</v>
      </c>
      <c r="P83">
        <f t="shared" si="31"/>
        <v>35.163198503802263</v>
      </c>
    </row>
    <row r="84" spans="9:16" x14ac:dyDescent="0.35">
      <c r="I84">
        <v>84</v>
      </c>
      <c r="K84">
        <f t="shared" si="28"/>
        <v>394.86393939393957</v>
      </c>
      <c r="L84">
        <f t="shared" si="29"/>
        <v>25.478074994345036</v>
      </c>
      <c r="M84">
        <v>84</v>
      </c>
      <c r="O84">
        <f t="shared" si="30"/>
        <v>394.86393939393957</v>
      </c>
      <c r="P84">
        <f t="shared" si="31"/>
        <v>35.444569937503339</v>
      </c>
    </row>
    <row r="85" spans="9:16" x14ac:dyDescent="0.35">
      <c r="I85">
        <v>85</v>
      </c>
      <c r="K85">
        <f t="shared" si="28"/>
        <v>396.97181818181838</v>
      </c>
      <c r="L85">
        <f t="shared" si="29"/>
        <v>25.726983217092759</v>
      </c>
      <c r="M85">
        <v>85</v>
      </c>
      <c r="O85">
        <f t="shared" si="30"/>
        <v>396.97181818181838</v>
      </c>
      <c r="P85">
        <f t="shared" si="31"/>
        <v>35.726379778212262</v>
      </c>
    </row>
    <row r="86" spans="9:16" x14ac:dyDescent="0.35">
      <c r="I86">
        <v>86</v>
      </c>
      <c r="K86">
        <f t="shared" si="28"/>
        <v>399.07969696969712</v>
      </c>
      <c r="L86">
        <f t="shared" si="29"/>
        <v>25.975457345816135</v>
      </c>
      <c r="M86">
        <v>86</v>
      </c>
      <c r="O86">
        <f t="shared" si="30"/>
        <v>399.07969696969712</v>
      </c>
      <c r="P86">
        <f t="shared" si="31"/>
        <v>36.008623712945521</v>
      </c>
    </row>
    <row r="87" spans="9:16" x14ac:dyDescent="0.35">
      <c r="I87">
        <v>87</v>
      </c>
      <c r="K87">
        <f t="shared" si="28"/>
        <v>401.18757575757593</v>
      </c>
      <c r="L87">
        <f t="shared" si="29"/>
        <v>26.22350174868032</v>
      </c>
      <c r="M87">
        <v>87</v>
      </c>
      <c r="O87">
        <f t="shared" si="30"/>
        <v>401.18757575757593</v>
      </c>
      <c r="P87">
        <f t="shared" si="31"/>
        <v>36.291297373537994</v>
      </c>
    </row>
    <row r="88" spans="9:16" x14ac:dyDescent="0.35">
      <c r="I88">
        <v>88</v>
      </c>
      <c r="K88">
        <f t="shared" si="28"/>
        <v>403.29545454545473</v>
      </c>
      <c r="L88">
        <f t="shared" si="29"/>
        <v>26.471120844375367</v>
      </c>
      <c r="M88">
        <v>88</v>
      </c>
      <c r="O88">
        <f t="shared" si="30"/>
        <v>403.29545454545473</v>
      </c>
      <c r="P88">
        <f t="shared" si="31"/>
        <v>36.57439634129959</v>
      </c>
    </row>
    <row r="89" spans="9:16" x14ac:dyDescent="0.35">
      <c r="I89">
        <v>89</v>
      </c>
      <c r="K89">
        <f t="shared" si="28"/>
        <v>405.40333333333353</v>
      </c>
      <c r="L89">
        <f t="shared" si="29"/>
        <v>26.718319097527608</v>
      </c>
      <c r="M89">
        <v>89</v>
      </c>
      <c r="O89">
        <f t="shared" si="30"/>
        <v>405.40333333333353</v>
      </c>
      <c r="P89">
        <f t="shared" si="31"/>
        <v>36.857916151604009</v>
      </c>
    </row>
    <row r="90" spans="9:16" x14ac:dyDescent="0.35">
      <c r="I90">
        <v>90</v>
      </c>
      <c r="K90">
        <f t="shared" si="28"/>
        <v>407.51121212121234</v>
      </c>
      <c r="L90">
        <f t="shared" si="29"/>
        <v>26.965101014186935</v>
      </c>
      <c r="M90">
        <v>90</v>
      </c>
      <c r="O90">
        <f t="shared" si="30"/>
        <v>407.51121212121234</v>
      </c>
      <c r="P90">
        <f t="shared" si="31"/>
        <v>37.141852298401339</v>
      </c>
    </row>
    <row r="91" spans="9:16" x14ac:dyDescent="0.35">
      <c r="I91">
        <v>91</v>
      </c>
      <c r="K91">
        <f t="shared" si="28"/>
        <v>409.61909090909114</v>
      </c>
      <c r="L91">
        <f t="shared" si="29"/>
        <v>27.211471137397467</v>
      </c>
      <c r="M91">
        <v>91</v>
      </c>
      <c r="O91">
        <f t="shared" si="30"/>
        <v>409.61909090909114</v>
      </c>
      <c r="P91">
        <f t="shared" si="31"/>
        <v>37.426200238647453</v>
      </c>
    </row>
    <row r="92" spans="9:16" x14ac:dyDescent="0.35">
      <c r="I92">
        <v>92</v>
      </c>
      <c r="K92">
        <f t="shared" si="28"/>
        <v>411.72696969696989</v>
      </c>
      <c r="L92">
        <f t="shared" si="29"/>
        <v>27.45743404285825</v>
      </c>
      <c r="M92">
        <v>92</v>
      </c>
      <c r="O92">
        <f t="shared" si="30"/>
        <v>411.72696969696989</v>
      </c>
      <c r="P92">
        <f t="shared" si="31"/>
        <v>37.710955396643314</v>
      </c>
    </row>
    <row r="93" spans="9:16" x14ac:dyDescent="0.35">
      <c r="I93">
        <v>93</v>
      </c>
      <c r="K93">
        <f t="shared" si="28"/>
        <v>413.83484848484869</v>
      </c>
      <c r="L93">
        <f t="shared" si="29"/>
        <v>27.702994334680135</v>
      </c>
      <c r="M93">
        <v>93</v>
      </c>
      <c r="O93">
        <f t="shared" si="30"/>
        <v>413.83484848484869</v>
      </c>
      <c r="P93">
        <f t="shared" si="31"/>
        <v>37.996113168278079</v>
      </c>
    </row>
    <row r="94" spans="9:16" x14ac:dyDescent="0.35">
      <c r="I94">
        <v>94</v>
      </c>
      <c r="K94">
        <f t="shared" si="28"/>
        <v>415.94272727272744</v>
      </c>
      <c r="L94">
        <f t="shared" si="29"/>
        <v>27.948156641244413</v>
      </c>
      <c r="M94">
        <v>94</v>
      </c>
      <c r="O94">
        <f t="shared" si="30"/>
        <v>415.94272727272744</v>
      </c>
      <c r="P94">
        <f t="shared" si="31"/>
        <v>38.281668925170443</v>
      </c>
    </row>
    <row r="95" spans="9:16" x14ac:dyDescent="0.35">
      <c r="I95">
        <v>95</v>
      </c>
      <c r="K95">
        <f t="shared" si="28"/>
        <v>418.05060606060624</v>
      </c>
      <c r="L95">
        <f t="shared" si="29"/>
        <v>28.192925611168093</v>
      </c>
      <c r="M95">
        <v>95</v>
      </c>
      <c r="O95">
        <f t="shared" si="30"/>
        <v>418.05060606060624</v>
      </c>
      <c r="P95">
        <f t="shared" si="31"/>
        <v>38.567618018703413</v>
      </c>
    </row>
    <row r="96" spans="9:16" x14ac:dyDescent="0.35">
      <c r="I96">
        <v>96</v>
      </c>
      <c r="K96">
        <f t="shared" si="28"/>
        <v>420.15848484848505</v>
      </c>
      <c r="L96">
        <f t="shared" si="29"/>
        <v>28.437305909380235</v>
      </c>
      <c r="M96">
        <v>96</v>
      </c>
      <c r="O96">
        <f t="shared" si="30"/>
        <v>420.15848484848505</v>
      </c>
      <c r="P96">
        <f t="shared" si="31"/>
        <v>38.853955783947917</v>
      </c>
    </row>
    <row r="97" spans="9:16" x14ac:dyDescent="0.35">
      <c r="I97">
        <v>97</v>
      </c>
      <c r="K97">
        <f t="shared" si="28"/>
        <v>422.26636363636385</v>
      </c>
      <c r="L97">
        <f>-19.2477562650455+0.125889132361051*K97-4.63558068365012*(1.03125+(K97-325.21875)^2/38998.86875)^0.5</f>
        <v>28.681302213313106</v>
      </c>
      <c r="M97">
        <v>97</v>
      </c>
      <c r="O97">
        <f t="shared" si="30"/>
        <v>422.26636363636385</v>
      </c>
      <c r="P97">
        <f>-19.2477562650455+0.125889132361051*O97+4.63558068365012*(1.03125+(O97-325.21875)^2/38998.86875)^0.5</f>
        <v>39.140677543471696</v>
      </c>
    </row>
    <row r="98" spans="9:16" x14ac:dyDescent="0.35">
      <c r="I98">
        <v>98</v>
      </c>
      <c r="K98">
        <f t="shared" si="28"/>
        <v>424.37424242424265</v>
      </c>
      <c r="L98">
        <f>-19.2477562650455+0.125889132361051*K98-4.63558068365012*(1.03125+(K98-325.21875)^2/38998.86875)^0.5</f>
        <v>28.92491920921146</v>
      </c>
      <c r="M98">
        <v>98</v>
      </c>
      <c r="O98">
        <f t="shared" si="30"/>
        <v>424.37424242424265</v>
      </c>
      <c r="P98">
        <f>-19.2477562650455+0.125889132361051*O98+4.63558068365012*(1.03125+(O98-325.21875)^2/38998.86875)^0.5</f>
        <v>39.427778611030014</v>
      </c>
    </row>
    <row r="99" spans="9:16" x14ac:dyDescent="0.35">
      <c r="I99">
        <v>99</v>
      </c>
      <c r="K99">
        <f t="shared" si="28"/>
        <v>426.48212121212146</v>
      </c>
      <c r="L99">
        <f>-19.2477562650455+0.125889132361051*K99-4.63558068365012*(1.03125+(K99-325.21875)^2/38998.86875)^0.5</f>
        <v>29.16816158856254</v>
      </c>
      <c r="M99">
        <v>99</v>
      </c>
      <c r="O99">
        <f t="shared" si="30"/>
        <v>426.48212121212146</v>
      </c>
      <c r="P99">
        <f>-19.2477562650455+0.125889132361051*O99+4.63558068365012*(1.03125+(O99-325.21875)^2/38998.86875)^0.5</f>
        <v>39.71525429513558</v>
      </c>
    </row>
    <row r="100" spans="9:16" x14ac:dyDescent="0.35">
      <c r="I100">
        <v>100</v>
      </c>
      <c r="K100">
        <f t="shared" si="28"/>
        <v>428.59000000000026</v>
      </c>
      <c r="L100">
        <f>-19.2477562650455+0.125889132361051*K100-4.63558068365012*(1.03125+(K100-325.21875)^2/38998.86875)^0.5</f>
        <v>29.411034044649284</v>
      </c>
      <c r="M100">
        <v>100</v>
      </c>
      <c r="O100">
        <f t="shared" si="30"/>
        <v>428.59000000000026</v>
      </c>
      <c r="P100">
        <f>-19.2477562650455+0.125889132361051*O100+4.63558068365012*(1.03125+(O100-325.21875)^2/38998.86875)^0.5</f>
        <v>40.003099902505483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XX999"/>
  <sheetViews>
    <sheetView zoomScaleNormal="100" workbookViewId="0">
      <selection activeCell="E4" sqref="E4"/>
    </sheetView>
  </sheetViews>
  <sheetFormatPr defaultRowHeight="15.5" x14ac:dyDescent="0.35"/>
  <sheetData>
    <row r="1" spans="1:22" x14ac:dyDescent="0.35">
      <c r="A1" t="s">
        <v>455</v>
      </c>
    </row>
    <row r="2" spans="1:22" x14ac:dyDescent="0.35">
      <c r="A2" t="s">
        <v>452</v>
      </c>
    </row>
    <row r="3" spans="1:22" ht="17" customHeight="1" x14ac:dyDescent="0.35">
      <c r="A3" t="s">
        <v>453</v>
      </c>
    </row>
    <row r="4" spans="1:22" ht="38" customHeight="1" x14ac:dyDescent="0.35"/>
    <row r="5" spans="1:22" x14ac:dyDescent="0.35">
      <c r="A5" s="79"/>
    </row>
    <row r="6" spans="1:22" x14ac:dyDescent="0.35">
      <c r="V6" s="5"/>
    </row>
    <row r="8" spans="1:22" x14ac:dyDescent="0.35">
      <c r="A8" s="1" t="s">
        <v>454</v>
      </c>
    </row>
    <row r="17" spans="3:3" x14ac:dyDescent="0.35">
      <c r="C17" t="s">
        <v>298</v>
      </c>
    </row>
    <row r="999" spans="648:648" x14ac:dyDescent="0.35">
      <c r="XX999" s="44">
        <v>166765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_HID"/>
  <dimension ref="D1:H32"/>
  <sheetViews>
    <sheetView rightToLeft="1" workbookViewId="0">
      <selection activeCell="G1" sqref="G1"/>
    </sheetView>
  </sheetViews>
  <sheetFormatPr defaultRowHeight="15.5" x14ac:dyDescent="0.35"/>
  <sheetData>
    <row r="1" spans="4:8" x14ac:dyDescent="0.35">
      <c r="D1">
        <v>25.2</v>
      </c>
      <c r="E1">
        <v>344.1</v>
      </c>
      <c r="G1">
        <v>344.1</v>
      </c>
      <c r="H1">
        <v>25.2</v>
      </c>
    </row>
    <row r="2" spans="4:8" x14ac:dyDescent="0.35">
      <c r="D2">
        <v>16.2</v>
      </c>
      <c r="E2">
        <v>301</v>
      </c>
      <c r="G2">
        <v>301</v>
      </c>
      <c r="H2">
        <v>16.2</v>
      </c>
    </row>
    <row r="3" spans="4:8" x14ac:dyDescent="0.35">
      <c r="D3">
        <v>17.2</v>
      </c>
      <c r="E3">
        <v>302</v>
      </c>
      <c r="G3">
        <v>302</v>
      </c>
      <c r="H3">
        <v>17.2</v>
      </c>
    </row>
    <row r="4" spans="4:8" x14ac:dyDescent="0.35">
      <c r="D4">
        <v>15.8</v>
      </c>
      <c r="E4">
        <v>277.10000000000002</v>
      </c>
      <c r="G4">
        <v>277.10000000000002</v>
      </c>
      <c r="H4">
        <v>15.8</v>
      </c>
    </row>
    <row r="5" spans="4:8" x14ac:dyDescent="0.35">
      <c r="D5">
        <v>16.7</v>
      </c>
      <c r="E5">
        <v>284.89999999999998</v>
      </c>
      <c r="G5">
        <v>284.89999999999998</v>
      </c>
      <c r="H5">
        <v>16.7</v>
      </c>
    </row>
    <row r="6" spans="4:8" x14ac:dyDescent="0.35">
      <c r="D6">
        <v>20.9</v>
      </c>
      <c r="E6">
        <v>293.2</v>
      </c>
      <c r="G6">
        <v>293.2</v>
      </c>
      <c r="H6">
        <v>20.9</v>
      </c>
    </row>
    <row r="7" spans="4:8" x14ac:dyDescent="0.35">
      <c r="D7">
        <v>23.8</v>
      </c>
      <c r="E7">
        <v>348</v>
      </c>
      <c r="G7">
        <v>348</v>
      </c>
      <c r="H7">
        <v>23.8</v>
      </c>
    </row>
    <row r="8" spans="4:8" x14ac:dyDescent="0.35">
      <c r="D8">
        <v>25.1</v>
      </c>
      <c r="E8">
        <v>351.3</v>
      </c>
      <c r="G8">
        <v>351.3</v>
      </c>
      <c r="H8">
        <v>25.1</v>
      </c>
    </row>
    <row r="9" spans="4:8" x14ac:dyDescent="0.35">
      <c r="D9">
        <v>28.4</v>
      </c>
      <c r="E9">
        <v>365.7</v>
      </c>
      <c r="G9">
        <v>365.7</v>
      </c>
      <c r="H9">
        <v>28.4</v>
      </c>
    </row>
    <row r="10" spans="4:8" x14ac:dyDescent="0.35">
      <c r="D10">
        <v>20</v>
      </c>
      <c r="E10">
        <v>346.3</v>
      </c>
      <c r="G10">
        <v>346.3</v>
      </c>
      <c r="H10">
        <v>20</v>
      </c>
    </row>
    <row r="11" spans="4:8" x14ac:dyDescent="0.35">
      <c r="D11">
        <v>21.6</v>
      </c>
      <c r="E11">
        <v>322.89999999999998</v>
      </c>
      <c r="G11">
        <v>322.89999999999998</v>
      </c>
      <c r="H11">
        <v>21.6</v>
      </c>
    </row>
    <row r="12" spans="4:8" x14ac:dyDescent="0.35">
      <c r="D12">
        <v>27.2</v>
      </c>
      <c r="E12">
        <v>370.7</v>
      </c>
      <c r="G12">
        <v>370.7</v>
      </c>
      <c r="H12">
        <v>27.2</v>
      </c>
    </row>
    <row r="13" spans="4:8" x14ac:dyDescent="0.35">
      <c r="D13">
        <v>23.7</v>
      </c>
      <c r="E13">
        <v>333.6</v>
      </c>
      <c r="G13">
        <v>333.6</v>
      </c>
      <c r="H13">
        <v>23.7</v>
      </c>
    </row>
    <row r="14" spans="4:8" x14ac:dyDescent="0.35">
      <c r="D14">
        <v>28.1</v>
      </c>
      <c r="E14">
        <v>358.7</v>
      </c>
      <c r="G14">
        <v>358.7</v>
      </c>
      <c r="H14">
        <v>28.1</v>
      </c>
    </row>
    <row r="15" spans="4:8" x14ac:dyDescent="0.35">
      <c r="D15">
        <v>25.7</v>
      </c>
      <c r="E15">
        <v>357.4</v>
      </c>
      <c r="G15">
        <v>357.4</v>
      </c>
      <c r="H15">
        <v>25.7</v>
      </c>
    </row>
    <row r="16" spans="4:8" x14ac:dyDescent="0.35">
      <c r="D16">
        <v>14.1</v>
      </c>
      <c r="E16">
        <v>276.8</v>
      </c>
      <c r="G16">
        <v>276.8</v>
      </c>
      <c r="H16">
        <v>14.1</v>
      </c>
    </row>
    <row r="17" spans="4:8" x14ac:dyDescent="0.35">
      <c r="D17">
        <v>16.7</v>
      </c>
      <c r="E17">
        <v>287.5</v>
      </c>
      <c r="G17">
        <v>287.5</v>
      </c>
      <c r="H17">
        <v>16.7</v>
      </c>
    </row>
    <row r="18" spans="4:8" x14ac:dyDescent="0.35">
      <c r="D18">
        <v>22.8</v>
      </c>
      <c r="E18">
        <v>336.2</v>
      </c>
      <c r="G18">
        <v>336.2</v>
      </c>
      <c r="H18">
        <v>22.8</v>
      </c>
    </row>
    <row r="19" spans="4:8" x14ac:dyDescent="0.35">
      <c r="D19">
        <v>36.799999999999997</v>
      </c>
      <c r="E19">
        <v>411.2</v>
      </c>
      <c r="G19">
        <v>411.2</v>
      </c>
      <c r="H19">
        <v>36.799999999999997</v>
      </c>
    </row>
    <row r="20" spans="4:8" x14ac:dyDescent="0.35">
      <c r="D20">
        <v>23.7</v>
      </c>
      <c r="E20">
        <v>361.2</v>
      </c>
      <c r="G20">
        <v>361.2</v>
      </c>
      <c r="H20">
        <v>23.7</v>
      </c>
    </row>
    <row r="21" spans="4:8" x14ac:dyDescent="0.35">
      <c r="D21">
        <v>23.3</v>
      </c>
      <c r="E21">
        <v>331.4</v>
      </c>
      <c r="G21">
        <v>331.4</v>
      </c>
      <c r="H21">
        <v>23.3</v>
      </c>
    </row>
    <row r="22" spans="4:8" x14ac:dyDescent="0.35">
      <c r="D22">
        <v>16.8</v>
      </c>
      <c r="E22">
        <v>294.7</v>
      </c>
      <c r="G22">
        <v>294.7</v>
      </c>
      <c r="H22">
        <v>16.8</v>
      </c>
    </row>
    <row r="23" spans="4:8" x14ac:dyDescent="0.35">
      <c r="D23">
        <v>17.7</v>
      </c>
      <c r="E23">
        <v>294.8</v>
      </c>
      <c r="G23">
        <v>294.8</v>
      </c>
      <c r="H23">
        <v>17.7</v>
      </c>
    </row>
    <row r="24" spans="4:8" x14ac:dyDescent="0.35">
      <c r="D24">
        <v>21</v>
      </c>
      <c r="E24">
        <v>358.1</v>
      </c>
      <c r="G24">
        <v>358.1</v>
      </c>
      <c r="H24">
        <v>21</v>
      </c>
    </row>
    <row r="25" spans="4:8" x14ac:dyDescent="0.35">
      <c r="D25">
        <v>24.6</v>
      </c>
      <c r="E25">
        <v>327.39999999999998</v>
      </c>
      <c r="G25">
        <v>327.39999999999998</v>
      </c>
      <c r="H25">
        <v>24.6</v>
      </c>
    </row>
    <row r="26" spans="4:8" x14ac:dyDescent="0.35">
      <c r="D26">
        <v>25.8</v>
      </c>
      <c r="E26">
        <v>315.2</v>
      </c>
      <c r="G26">
        <v>315.2</v>
      </c>
      <c r="H26">
        <v>25.8</v>
      </c>
    </row>
    <row r="27" spans="4:8" x14ac:dyDescent="0.35">
      <c r="D27">
        <v>13.7</v>
      </c>
      <c r="E27">
        <v>237.3</v>
      </c>
      <c r="G27">
        <v>237.3</v>
      </c>
      <c r="H27">
        <v>13.7</v>
      </c>
    </row>
    <row r="28" spans="4:8" x14ac:dyDescent="0.35">
      <c r="D28">
        <v>24.6</v>
      </c>
      <c r="E28">
        <v>348.9</v>
      </c>
      <c r="G28">
        <v>348.9</v>
      </c>
      <c r="H28">
        <v>24.6</v>
      </c>
    </row>
    <row r="29" spans="4:8" x14ac:dyDescent="0.35">
      <c r="D29">
        <v>16.399999999999999</v>
      </c>
      <c r="E29">
        <v>297.5</v>
      </c>
      <c r="G29">
        <v>297.5</v>
      </c>
      <c r="H29">
        <v>16.399999999999999</v>
      </c>
    </row>
    <row r="30" spans="4:8" x14ac:dyDescent="0.35">
      <c r="D30">
        <v>20.9</v>
      </c>
      <c r="E30">
        <v>326.8</v>
      </c>
      <c r="G30">
        <v>326.8</v>
      </c>
      <c r="H30">
        <v>20.9</v>
      </c>
    </row>
    <row r="31" spans="4:8" x14ac:dyDescent="0.35">
      <c r="D31">
        <v>18.8</v>
      </c>
      <c r="E31">
        <v>311.7</v>
      </c>
      <c r="G31">
        <v>311.7</v>
      </c>
      <c r="H31">
        <v>18.8</v>
      </c>
    </row>
    <row r="32" spans="4:8" x14ac:dyDescent="0.35">
      <c r="D32">
        <v>20.9</v>
      </c>
      <c r="E32">
        <v>333.4</v>
      </c>
      <c r="G32">
        <v>333.4</v>
      </c>
      <c r="H32">
        <v>20.9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A1:XX1000"/>
  <sheetViews>
    <sheetView zoomScaleNormal="100" workbookViewId="0">
      <selection activeCell="D12" sqref="D12"/>
    </sheetView>
  </sheetViews>
  <sheetFormatPr defaultColWidth="8.83203125" defaultRowHeight="15.5" x14ac:dyDescent="0.35"/>
  <cols>
    <col min="1" max="2" width="15.6640625" style="1" customWidth="1"/>
    <col min="3" max="3" width="12.1640625" style="1" bestFit="1" customWidth="1"/>
    <col min="4" max="5" width="65.6640625" style="1" customWidth="1"/>
    <col min="6" max="16384" width="8.83203125" style="1"/>
  </cols>
  <sheetData>
    <row r="1" spans="1:5" ht="16" thickBot="1" x14ac:dyDescent="0.4">
      <c r="A1" s="23" t="s">
        <v>215</v>
      </c>
      <c r="B1" s="3" t="s">
        <v>216</v>
      </c>
      <c r="C1" s="23" t="s">
        <v>215</v>
      </c>
    </row>
    <row r="2" spans="1:5" ht="16" thickBot="1" x14ac:dyDescent="0.4">
      <c r="A2" s="21">
        <v>60700</v>
      </c>
      <c r="B2" s="20">
        <v>300</v>
      </c>
      <c r="C2" s="21">
        <v>60700</v>
      </c>
      <c r="D2" s="34" t="s">
        <v>230</v>
      </c>
    </row>
    <row r="3" spans="1:5" ht="16" thickBot="1" x14ac:dyDescent="0.4">
      <c r="A3" s="22">
        <v>52000</v>
      </c>
      <c r="B3" s="20">
        <v>350</v>
      </c>
      <c r="C3" s="22">
        <v>52000</v>
      </c>
      <c r="D3" s="38" t="s">
        <v>228</v>
      </c>
      <c r="E3" t="s">
        <v>468</v>
      </c>
    </row>
    <row r="4" spans="1:5" ht="16" thickBot="1" x14ac:dyDescent="0.4">
      <c r="A4" s="21">
        <v>47000</v>
      </c>
      <c r="B4" s="20">
        <v>150</v>
      </c>
      <c r="C4" s="21">
        <v>47000</v>
      </c>
      <c r="D4" s="39" t="s">
        <v>229</v>
      </c>
      <c r="E4" s="27" t="s">
        <v>447</v>
      </c>
    </row>
    <row r="5" spans="1:5" ht="16" thickBot="1" x14ac:dyDescent="0.4">
      <c r="A5" s="21">
        <v>42000</v>
      </c>
      <c r="B5" s="20">
        <v>200</v>
      </c>
      <c r="C5" s="21">
        <v>42000</v>
      </c>
      <c r="D5" s="39" t="s">
        <v>231</v>
      </c>
      <c r="E5" s="27" t="s">
        <v>469</v>
      </c>
    </row>
    <row r="6" spans="1:5" ht="16" thickBot="1" x14ac:dyDescent="0.4">
      <c r="A6" s="21">
        <v>34000</v>
      </c>
      <c r="B6" s="20">
        <v>250</v>
      </c>
      <c r="C6" s="21">
        <v>34000</v>
      </c>
      <c r="D6" s="40" t="s">
        <v>232</v>
      </c>
      <c r="E6" s="35">
        <f>130.12*175+1905.7</f>
        <v>24676.7</v>
      </c>
    </row>
    <row r="7" spans="1:5" x14ac:dyDescent="0.35">
      <c r="A7" s="21">
        <v>30500</v>
      </c>
      <c r="B7" s="20">
        <v>150</v>
      </c>
      <c r="C7" s="21">
        <v>30500</v>
      </c>
    </row>
    <row r="8" spans="1:5" x14ac:dyDescent="0.35">
      <c r="A8" s="21">
        <v>30000</v>
      </c>
      <c r="B8" s="20">
        <v>250</v>
      </c>
      <c r="C8" s="21">
        <v>30000</v>
      </c>
    </row>
    <row r="9" spans="1:5" x14ac:dyDescent="0.35">
      <c r="A9" s="21">
        <v>30000</v>
      </c>
      <c r="B9" s="20">
        <v>300</v>
      </c>
      <c r="C9" s="21">
        <v>30000</v>
      </c>
    </row>
    <row r="10" spans="1:5" x14ac:dyDescent="0.35">
      <c r="A10" s="21">
        <v>28000</v>
      </c>
      <c r="B10" s="20">
        <v>250</v>
      </c>
      <c r="C10" s="21">
        <v>28000</v>
      </c>
    </row>
    <row r="11" spans="1:5" x14ac:dyDescent="0.35">
      <c r="A11" s="21">
        <v>26000</v>
      </c>
      <c r="B11" s="20">
        <v>200</v>
      </c>
      <c r="C11" s="21">
        <v>26000</v>
      </c>
    </row>
    <row r="12" spans="1:5" x14ac:dyDescent="0.35">
      <c r="A12" s="21">
        <v>25000</v>
      </c>
      <c r="B12" s="20">
        <v>150</v>
      </c>
      <c r="C12" s="21">
        <v>25000</v>
      </c>
    </row>
    <row r="13" spans="1:5" x14ac:dyDescent="0.35">
      <c r="A13" s="21">
        <v>24000</v>
      </c>
      <c r="B13" s="20">
        <v>200</v>
      </c>
      <c r="C13" s="21">
        <v>24000</v>
      </c>
    </row>
    <row r="14" spans="1:5" x14ac:dyDescent="0.35">
      <c r="A14" s="21">
        <v>24000</v>
      </c>
      <c r="B14" s="20">
        <v>200</v>
      </c>
      <c r="C14" s="21">
        <v>24000</v>
      </c>
    </row>
    <row r="15" spans="1:5" x14ac:dyDescent="0.35">
      <c r="A15" s="21">
        <v>22000</v>
      </c>
      <c r="B15" s="20">
        <v>200</v>
      </c>
      <c r="C15" s="21">
        <v>22000</v>
      </c>
    </row>
    <row r="16" spans="1:5" x14ac:dyDescent="0.35">
      <c r="A16" s="21">
        <v>20000</v>
      </c>
      <c r="B16" s="20">
        <v>200</v>
      </c>
      <c r="C16" s="21">
        <v>20000</v>
      </c>
    </row>
    <row r="17" spans="1:5" x14ac:dyDescent="0.35">
      <c r="A17" s="21">
        <v>20000</v>
      </c>
      <c r="B17" s="20">
        <v>200</v>
      </c>
      <c r="C17" s="21">
        <v>20000</v>
      </c>
    </row>
    <row r="18" spans="1:5" x14ac:dyDescent="0.35">
      <c r="A18" s="21">
        <v>20000</v>
      </c>
      <c r="B18" s="20">
        <v>100</v>
      </c>
      <c r="C18" s="21">
        <v>20000</v>
      </c>
    </row>
    <row r="19" spans="1:5" x14ac:dyDescent="0.35">
      <c r="A19" s="21">
        <v>19000</v>
      </c>
      <c r="B19" s="20">
        <v>150</v>
      </c>
      <c r="C19" s="21">
        <v>19000</v>
      </c>
    </row>
    <row r="20" spans="1:5" x14ac:dyDescent="0.35">
      <c r="A20" s="21">
        <v>19000</v>
      </c>
      <c r="B20" s="20">
        <v>200</v>
      </c>
      <c r="C20" s="21">
        <v>19000</v>
      </c>
    </row>
    <row r="21" spans="1:5" x14ac:dyDescent="0.35">
      <c r="A21" s="21">
        <v>18000</v>
      </c>
      <c r="B21" s="20">
        <v>150</v>
      </c>
      <c r="C21" s="21">
        <v>18000</v>
      </c>
      <c r="E21"/>
    </row>
    <row r="22" spans="1:5" x14ac:dyDescent="0.35">
      <c r="A22" s="21">
        <v>16000</v>
      </c>
      <c r="B22" s="20">
        <v>100</v>
      </c>
      <c r="C22" s="21">
        <v>16000</v>
      </c>
    </row>
    <row r="23" spans="1:5" x14ac:dyDescent="0.35">
      <c r="A23" s="21">
        <v>14000</v>
      </c>
      <c r="B23" s="20">
        <v>100</v>
      </c>
      <c r="C23" s="21">
        <v>14000</v>
      </c>
    </row>
    <row r="24" spans="1:5" x14ac:dyDescent="0.35">
      <c r="A24" s="21">
        <v>13000</v>
      </c>
      <c r="B24" s="20">
        <v>150</v>
      </c>
      <c r="C24" s="21">
        <v>13000</v>
      </c>
    </row>
    <row r="25" spans="1:5" x14ac:dyDescent="0.35">
      <c r="A25" s="21">
        <v>7000</v>
      </c>
      <c r="B25" s="20">
        <v>50</v>
      </c>
      <c r="C25" s="21">
        <v>7000</v>
      </c>
    </row>
    <row r="26" spans="1:5" x14ac:dyDescent="0.35">
      <c r="A26" s="21">
        <v>5000</v>
      </c>
      <c r="B26" s="20">
        <v>50</v>
      </c>
      <c r="C26" s="21">
        <v>5000</v>
      </c>
    </row>
    <row r="1000" spans="648:648" x14ac:dyDescent="0.35">
      <c r="XX1000" s="44">
        <v>166765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_HID"/>
  <dimension ref="A1:D31"/>
  <sheetViews>
    <sheetView rightToLeft="1" workbookViewId="0">
      <selection activeCell="C1" sqref="C1"/>
    </sheetView>
  </sheetViews>
  <sheetFormatPr defaultRowHeight="15.5" x14ac:dyDescent="0.35"/>
  <sheetData>
    <row r="1" spans="1:4" x14ac:dyDescent="0.35">
      <c r="A1">
        <v>237.3</v>
      </c>
      <c r="B1">
        <v>0</v>
      </c>
      <c r="C1">
        <v>13.7</v>
      </c>
      <c r="D1">
        <v>0</v>
      </c>
    </row>
    <row r="2" spans="1:4" x14ac:dyDescent="0.35">
      <c r="A2">
        <v>237.3</v>
      </c>
      <c r="B2">
        <v>1</v>
      </c>
      <c r="C2">
        <v>13.7</v>
      </c>
      <c r="D2">
        <v>3</v>
      </c>
    </row>
    <row r="3" spans="1:4" x14ac:dyDescent="0.35">
      <c r="A3">
        <v>255.57000000000002</v>
      </c>
      <c r="B3">
        <v>1</v>
      </c>
      <c r="C3">
        <v>16.11</v>
      </c>
      <c r="D3">
        <v>3</v>
      </c>
    </row>
    <row r="4" spans="1:4" x14ac:dyDescent="0.35">
      <c r="A4">
        <v>255.57000000000002</v>
      </c>
      <c r="B4">
        <v>0</v>
      </c>
      <c r="C4">
        <v>16.11</v>
      </c>
      <c r="D4">
        <v>0</v>
      </c>
    </row>
    <row r="5" spans="1:4" x14ac:dyDescent="0.35">
      <c r="A5">
        <v>255.57000000000002</v>
      </c>
      <c r="B5">
        <v>0</v>
      </c>
      <c r="C5">
        <v>16.11</v>
      </c>
      <c r="D5">
        <v>7</v>
      </c>
    </row>
    <row r="6" spans="1:4" x14ac:dyDescent="0.35">
      <c r="A6">
        <v>273.84000000000003</v>
      </c>
      <c r="B6">
        <v>0</v>
      </c>
      <c r="C6">
        <v>18.52</v>
      </c>
      <c r="D6">
        <v>7</v>
      </c>
    </row>
    <row r="7" spans="1:4" x14ac:dyDescent="0.35">
      <c r="A7">
        <v>273.84000000000003</v>
      </c>
      <c r="B7">
        <v>0</v>
      </c>
      <c r="C7">
        <v>18.52</v>
      </c>
      <c r="D7">
        <v>0</v>
      </c>
    </row>
    <row r="8" spans="1:4" x14ac:dyDescent="0.35">
      <c r="A8">
        <v>273.84000000000003</v>
      </c>
      <c r="B8">
        <v>4</v>
      </c>
      <c r="C8">
        <v>18.52</v>
      </c>
      <c r="D8">
        <v>5</v>
      </c>
    </row>
    <row r="9" spans="1:4" x14ac:dyDescent="0.35">
      <c r="A9">
        <v>292.11</v>
      </c>
      <c r="B9">
        <v>4</v>
      </c>
      <c r="C9">
        <v>20.93</v>
      </c>
      <c r="D9">
        <v>5</v>
      </c>
    </row>
    <row r="10" spans="1:4" x14ac:dyDescent="0.35">
      <c r="A10">
        <v>292.11</v>
      </c>
      <c r="B10">
        <v>0</v>
      </c>
      <c r="C10">
        <v>20.93</v>
      </c>
      <c r="D10">
        <v>0</v>
      </c>
    </row>
    <row r="11" spans="1:4" x14ac:dyDescent="0.35">
      <c r="A11">
        <v>292.11</v>
      </c>
      <c r="B11">
        <v>6</v>
      </c>
      <c r="C11">
        <v>20.93</v>
      </c>
      <c r="D11">
        <v>4</v>
      </c>
    </row>
    <row r="12" spans="1:4" x14ac:dyDescent="0.35">
      <c r="A12">
        <v>310.38</v>
      </c>
      <c r="B12">
        <v>6</v>
      </c>
      <c r="C12">
        <v>23.339999999999996</v>
      </c>
      <c r="D12">
        <v>4</v>
      </c>
    </row>
    <row r="13" spans="1:4" x14ac:dyDescent="0.35">
      <c r="A13">
        <v>310.38</v>
      </c>
      <c r="B13">
        <v>0</v>
      </c>
      <c r="C13">
        <v>23.339999999999996</v>
      </c>
      <c r="D13">
        <v>0</v>
      </c>
    </row>
    <row r="14" spans="1:4" x14ac:dyDescent="0.35">
      <c r="A14">
        <v>310.38</v>
      </c>
      <c r="B14">
        <v>5</v>
      </c>
      <c r="C14">
        <v>23.339999999999996</v>
      </c>
      <c r="D14">
        <v>8</v>
      </c>
    </row>
    <row r="15" spans="1:4" x14ac:dyDescent="0.35">
      <c r="A15">
        <v>328.65</v>
      </c>
      <c r="B15">
        <v>5</v>
      </c>
      <c r="C15">
        <v>25.75</v>
      </c>
      <c r="D15">
        <v>8</v>
      </c>
    </row>
    <row r="16" spans="1:4" x14ac:dyDescent="0.35">
      <c r="A16">
        <v>328.65</v>
      </c>
      <c r="B16">
        <v>0</v>
      </c>
      <c r="C16">
        <v>25.75</v>
      </c>
      <c r="D16">
        <v>0</v>
      </c>
    </row>
    <row r="17" spans="1:4" x14ac:dyDescent="0.35">
      <c r="A17">
        <v>328.65</v>
      </c>
      <c r="B17">
        <v>6</v>
      </c>
      <c r="C17">
        <v>25.75</v>
      </c>
      <c r="D17">
        <v>3</v>
      </c>
    </row>
    <row r="18" spans="1:4" x14ac:dyDescent="0.35">
      <c r="A18">
        <v>346.92</v>
      </c>
      <c r="B18">
        <v>6</v>
      </c>
      <c r="C18">
        <v>28.159999999999997</v>
      </c>
      <c r="D18">
        <v>3</v>
      </c>
    </row>
    <row r="19" spans="1:4" x14ac:dyDescent="0.35">
      <c r="A19">
        <v>346.92</v>
      </c>
      <c r="B19">
        <v>0</v>
      </c>
      <c r="C19">
        <v>28.159999999999997</v>
      </c>
      <c r="D19">
        <v>0</v>
      </c>
    </row>
    <row r="20" spans="1:4" x14ac:dyDescent="0.35">
      <c r="A20">
        <v>346.92</v>
      </c>
      <c r="B20">
        <v>7</v>
      </c>
      <c r="C20">
        <v>28.159999999999997</v>
      </c>
      <c r="D20">
        <v>1</v>
      </c>
    </row>
    <row r="21" spans="1:4" x14ac:dyDescent="0.35">
      <c r="A21">
        <v>365.19</v>
      </c>
      <c r="B21">
        <v>7</v>
      </c>
      <c r="C21">
        <v>30.569999999999997</v>
      </c>
      <c r="D21">
        <v>1</v>
      </c>
    </row>
    <row r="22" spans="1:4" x14ac:dyDescent="0.35">
      <c r="A22">
        <v>365.19</v>
      </c>
      <c r="B22">
        <v>0</v>
      </c>
      <c r="C22">
        <v>30.569999999999997</v>
      </c>
      <c r="D22">
        <v>0</v>
      </c>
    </row>
    <row r="23" spans="1:4" x14ac:dyDescent="0.35">
      <c r="A23">
        <v>365.19</v>
      </c>
      <c r="B23">
        <v>2</v>
      </c>
      <c r="C23">
        <v>30.569999999999997</v>
      </c>
      <c r="D23">
        <v>0</v>
      </c>
    </row>
    <row r="24" spans="1:4" x14ac:dyDescent="0.35">
      <c r="A24">
        <v>383.46000000000004</v>
      </c>
      <c r="B24">
        <v>2</v>
      </c>
      <c r="C24">
        <v>32.979999999999997</v>
      </c>
      <c r="D24">
        <v>0</v>
      </c>
    </row>
    <row r="25" spans="1:4" x14ac:dyDescent="0.35">
      <c r="A25">
        <v>383.46000000000004</v>
      </c>
      <c r="B25">
        <v>0</v>
      </c>
      <c r="C25">
        <v>32.979999999999997</v>
      </c>
      <c r="D25">
        <v>0</v>
      </c>
    </row>
    <row r="26" spans="1:4" x14ac:dyDescent="0.35">
      <c r="A26">
        <v>383.46000000000004</v>
      </c>
      <c r="B26">
        <v>0</v>
      </c>
      <c r="C26">
        <v>32.979999999999997</v>
      </c>
      <c r="D26">
        <v>0</v>
      </c>
    </row>
    <row r="27" spans="1:4" x14ac:dyDescent="0.35">
      <c r="A27">
        <v>401.73</v>
      </c>
      <c r="B27">
        <v>0</v>
      </c>
      <c r="C27">
        <v>35.39</v>
      </c>
      <c r="D27">
        <v>0</v>
      </c>
    </row>
    <row r="28" spans="1:4" x14ac:dyDescent="0.35">
      <c r="A28">
        <v>401.73</v>
      </c>
      <c r="B28">
        <v>0</v>
      </c>
      <c r="C28">
        <v>35.39</v>
      </c>
      <c r="D28">
        <v>0</v>
      </c>
    </row>
    <row r="29" spans="1:4" x14ac:dyDescent="0.35">
      <c r="A29">
        <v>401.73</v>
      </c>
      <c r="B29">
        <v>1</v>
      </c>
      <c r="C29">
        <v>35.39</v>
      </c>
      <c r="D29">
        <v>1</v>
      </c>
    </row>
    <row r="30" spans="1:4" x14ac:dyDescent="0.35">
      <c r="A30">
        <v>420</v>
      </c>
      <c r="B30">
        <v>1</v>
      </c>
      <c r="C30">
        <v>37.799999999999997</v>
      </c>
      <c r="D30">
        <v>1</v>
      </c>
    </row>
    <row r="31" spans="1:4" x14ac:dyDescent="0.35">
      <c r="A31">
        <v>420</v>
      </c>
      <c r="B31">
        <v>0</v>
      </c>
      <c r="C31">
        <v>37.799999999999997</v>
      </c>
      <c r="D3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XX997"/>
  <sheetViews>
    <sheetView zoomScaleNormal="100" workbookViewId="0">
      <selection activeCell="A62" sqref="A62"/>
    </sheetView>
  </sheetViews>
  <sheetFormatPr defaultRowHeight="15.5" x14ac:dyDescent="0.35"/>
  <cols>
    <col min="2" max="2" width="13.58203125" bestFit="1" customWidth="1"/>
    <col min="3" max="4" width="15.5" bestFit="1" customWidth="1"/>
    <col min="5" max="5" width="10.4140625" bestFit="1" customWidth="1"/>
    <col min="6" max="6" width="11.08203125" bestFit="1" customWidth="1"/>
    <col min="7" max="8" width="10.4140625" bestFit="1" customWidth="1"/>
    <col min="9" max="11" width="9.4140625" bestFit="1" customWidth="1"/>
    <col min="12" max="12" width="10.08203125" bestFit="1" customWidth="1"/>
    <col min="13" max="13" width="9.4140625" bestFit="1" customWidth="1"/>
  </cols>
  <sheetData>
    <row r="1" spans="1:8" x14ac:dyDescent="0.35">
      <c r="A1" t="s">
        <v>467</v>
      </c>
    </row>
    <row r="2" spans="1:8" x14ac:dyDescent="0.35">
      <c r="A2" t="s">
        <v>244</v>
      </c>
    </row>
    <row r="3" spans="1:8" ht="17" customHeight="1" x14ac:dyDescent="0.35">
      <c r="A3" t="s">
        <v>245</v>
      </c>
    </row>
    <row r="4" spans="1:8" ht="38" customHeight="1" x14ac:dyDescent="0.35"/>
    <row r="5" spans="1:8" ht="16.25" customHeight="1" x14ac:dyDescent="0.35">
      <c r="A5" s="79"/>
    </row>
    <row r="8" spans="1:8" x14ac:dyDescent="0.35">
      <c r="A8" s="1" t="s">
        <v>246</v>
      </c>
    </row>
    <row r="9" spans="1:8" ht="16" thickBot="1" x14ac:dyDescent="0.4"/>
    <row r="10" spans="1:8" ht="31" x14ac:dyDescent="0.35">
      <c r="A10" s="46" t="s">
        <v>247</v>
      </c>
      <c r="B10" s="47" t="s">
        <v>248</v>
      </c>
      <c r="C10" s="47" t="s">
        <v>249</v>
      </c>
      <c r="D10" s="47" t="s">
        <v>250</v>
      </c>
      <c r="E10" s="47" t="s">
        <v>251</v>
      </c>
      <c r="F10" s="47" t="s">
        <v>252</v>
      </c>
      <c r="G10" s="47" t="s">
        <v>253</v>
      </c>
      <c r="H10" s="47" t="s">
        <v>254</v>
      </c>
    </row>
    <row r="11" spans="1:8" x14ac:dyDescent="0.35">
      <c r="A11" s="48" t="s">
        <v>215</v>
      </c>
      <c r="B11" s="50">
        <v>25</v>
      </c>
      <c r="C11" s="50">
        <v>0</v>
      </c>
      <c r="D11" s="50">
        <v>25</v>
      </c>
      <c r="E11" s="52">
        <v>5000</v>
      </c>
      <c r="F11" s="52">
        <v>60700</v>
      </c>
      <c r="G11" s="52">
        <v>25848</v>
      </c>
      <c r="H11" s="52">
        <v>13239.40205094878</v>
      </c>
    </row>
    <row r="12" spans="1:8" ht="16" thickBot="1" x14ac:dyDescent="0.4">
      <c r="A12" s="49" t="s">
        <v>216</v>
      </c>
      <c r="B12" s="51">
        <v>25</v>
      </c>
      <c r="C12" s="51">
        <v>0</v>
      </c>
      <c r="D12" s="51">
        <v>25</v>
      </c>
      <c r="E12" s="53">
        <v>50</v>
      </c>
      <c r="F12" s="53">
        <v>350</v>
      </c>
      <c r="G12" s="53">
        <v>183.99999999999997</v>
      </c>
      <c r="H12" s="53">
        <v>74.610097618664625</v>
      </c>
    </row>
    <row r="15" spans="1:8" x14ac:dyDescent="0.35">
      <c r="A15" s="5" t="s">
        <v>256</v>
      </c>
    </row>
    <row r="16" spans="1:8" ht="16" thickBot="1" x14ac:dyDescent="0.4"/>
    <row r="17" spans="1:3" x14ac:dyDescent="0.35">
      <c r="A17" s="46"/>
      <c r="B17" s="47" t="s">
        <v>216</v>
      </c>
      <c r="C17" s="54" t="s">
        <v>215</v>
      </c>
    </row>
    <row r="18" spans="1:3" x14ac:dyDescent="0.35">
      <c r="A18" s="55" t="s">
        <v>216</v>
      </c>
      <c r="B18" s="60">
        <v>1</v>
      </c>
      <c r="C18" s="58">
        <v>0.7332929150320463</v>
      </c>
    </row>
    <row r="19" spans="1:3" ht="16" thickBot="1" x14ac:dyDescent="0.4">
      <c r="A19" s="56" t="s">
        <v>215</v>
      </c>
      <c r="B19" s="59">
        <v>0.7332929150320463</v>
      </c>
      <c r="C19" s="61">
        <v>1</v>
      </c>
    </row>
    <row r="22" spans="1:3" x14ac:dyDescent="0.35">
      <c r="A22" s="5" t="s">
        <v>456</v>
      </c>
    </row>
    <row r="24" spans="1:3" x14ac:dyDescent="0.35">
      <c r="A24" s="1" t="s">
        <v>457</v>
      </c>
    </row>
    <row r="25" spans="1:3" ht="16" thickBot="1" x14ac:dyDescent="0.4"/>
    <row r="26" spans="1:3" x14ac:dyDescent="0.35">
      <c r="A26" s="62" t="s">
        <v>248</v>
      </c>
      <c r="B26" s="63">
        <v>25</v>
      </c>
    </row>
    <row r="27" spans="1:3" x14ac:dyDescent="0.35">
      <c r="A27" s="45" t="s">
        <v>259</v>
      </c>
      <c r="B27" s="64">
        <v>25</v>
      </c>
    </row>
    <row r="28" spans="1:3" x14ac:dyDescent="0.35">
      <c r="A28" s="45" t="s">
        <v>260</v>
      </c>
      <c r="B28" s="64">
        <v>23</v>
      </c>
    </row>
    <row r="29" spans="1:3" x14ac:dyDescent="0.35">
      <c r="A29" s="45" t="s">
        <v>261</v>
      </c>
      <c r="B29" s="65">
        <v>0.53771849923619586</v>
      </c>
    </row>
    <row r="30" spans="1:3" x14ac:dyDescent="0.35">
      <c r="A30" s="45" t="s">
        <v>262</v>
      </c>
      <c r="B30" s="65">
        <v>0.51761930355081309</v>
      </c>
    </row>
    <row r="31" spans="1:3" x14ac:dyDescent="0.35">
      <c r="A31" s="45" t="s">
        <v>263</v>
      </c>
      <c r="B31" s="65">
        <v>84552540.679510579</v>
      </c>
    </row>
    <row r="32" spans="1:3" x14ac:dyDescent="0.35">
      <c r="A32" s="45" t="s">
        <v>264</v>
      </c>
      <c r="B32" s="65">
        <v>9195.2455475376282</v>
      </c>
    </row>
    <row r="33" spans="1:7" x14ac:dyDescent="0.35">
      <c r="A33" s="45" t="s">
        <v>265</v>
      </c>
      <c r="B33" s="65">
        <v>26.637944572432687</v>
      </c>
    </row>
    <row r="34" spans="1:7" x14ac:dyDescent="0.35">
      <c r="A34" s="45" t="s">
        <v>266</v>
      </c>
      <c r="B34" s="65">
        <v>0.97640865969200819</v>
      </c>
    </row>
    <row r="35" spans="1:7" x14ac:dyDescent="0.35">
      <c r="A35" s="45" t="s">
        <v>267</v>
      </c>
      <c r="B35" s="65">
        <v>2</v>
      </c>
    </row>
    <row r="36" spans="1:7" x14ac:dyDescent="0.35">
      <c r="A36" s="45" t="s">
        <v>268</v>
      </c>
      <c r="B36" s="65">
        <v>458.23755183376875</v>
      </c>
    </row>
    <row r="37" spans="1:7" x14ac:dyDescent="0.35">
      <c r="A37" s="45" t="s">
        <v>269</v>
      </c>
      <c r="B37" s="65">
        <v>458.78300637922331</v>
      </c>
    </row>
    <row r="38" spans="1:7" x14ac:dyDescent="0.35">
      <c r="A38" s="45" t="s">
        <v>270</v>
      </c>
      <c r="B38" s="65">
        <v>460.67530348350516</v>
      </c>
    </row>
    <row r="39" spans="1:7" ht="16" thickBot="1" x14ac:dyDescent="0.4">
      <c r="A39" s="49" t="s">
        <v>271</v>
      </c>
      <c r="B39" s="53">
        <v>0.54267828350533531</v>
      </c>
    </row>
    <row r="42" spans="1:7" x14ac:dyDescent="0.35">
      <c r="A42" s="1" t="s">
        <v>458</v>
      </c>
    </row>
    <row r="43" spans="1:7" ht="16" thickBot="1" x14ac:dyDescent="0.4"/>
    <row r="44" spans="1:7" ht="46.5" x14ac:dyDescent="0.35">
      <c r="A44" s="46" t="s">
        <v>273</v>
      </c>
      <c r="B44" s="47" t="s">
        <v>260</v>
      </c>
      <c r="C44" s="47" t="s">
        <v>274</v>
      </c>
      <c r="D44" s="47" t="s">
        <v>275</v>
      </c>
      <c r="E44" s="47" t="s">
        <v>276</v>
      </c>
      <c r="F44" s="47" t="s">
        <v>277</v>
      </c>
      <c r="G44" s="47" t="s">
        <v>278</v>
      </c>
    </row>
    <row r="45" spans="1:7" x14ac:dyDescent="0.35">
      <c r="A45" s="55" t="s">
        <v>279</v>
      </c>
      <c r="B45" s="57">
        <v>1</v>
      </c>
      <c r="C45" s="57">
        <v>2262053964.3712578</v>
      </c>
      <c r="D45" s="57">
        <v>2262053964.3712578</v>
      </c>
      <c r="E45" s="57">
        <v>26.753234689249453</v>
      </c>
      <c r="F45" s="67">
        <v>3.0450756000699625E-5</v>
      </c>
      <c r="G45" s="70" t="s">
        <v>448</v>
      </c>
    </row>
    <row r="46" spans="1:7" x14ac:dyDescent="0.35">
      <c r="A46" s="45" t="s">
        <v>280</v>
      </c>
      <c r="B46" s="65">
        <v>23</v>
      </c>
      <c r="C46" s="65">
        <v>1944708435.6287432</v>
      </c>
      <c r="D46" s="65">
        <v>84552540.679510579</v>
      </c>
      <c r="E46" s="65"/>
      <c r="F46" s="68"/>
      <c r="G46" s="71" t="s">
        <v>283</v>
      </c>
    </row>
    <row r="47" spans="1:7" ht="16" thickBot="1" x14ac:dyDescent="0.4">
      <c r="A47" s="49" t="s">
        <v>281</v>
      </c>
      <c r="B47" s="53">
        <v>24</v>
      </c>
      <c r="C47" s="53">
        <v>4206762400.000001</v>
      </c>
      <c r="D47" s="53"/>
      <c r="E47" s="53"/>
      <c r="F47" s="69"/>
      <c r="G47" s="72" t="s">
        <v>283</v>
      </c>
    </row>
    <row r="48" spans="1:7" x14ac:dyDescent="0.35">
      <c r="A48" s="73" t="s">
        <v>284</v>
      </c>
    </row>
    <row r="49" spans="1:8" x14ac:dyDescent="0.35">
      <c r="A49" s="73" t="s">
        <v>285</v>
      </c>
    </row>
    <row r="52" spans="1:8" x14ac:dyDescent="0.35">
      <c r="A52" s="1" t="s">
        <v>459</v>
      </c>
    </row>
    <row r="53" spans="1:8" ht="16" thickBot="1" x14ac:dyDescent="0.4"/>
    <row r="54" spans="1:8" ht="46.5" x14ac:dyDescent="0.35">
      <c r="A54" s="46" t="s">
        <v>273</v>
      </c>
      <c r="B54" s="47" t="s">
        <v>287</v>
      </c>
      <c r="C54" s="47" t="s">
        <v>288</v>
      </c>
      <c r="D54" s="47" t="s">
        <v>289</v>
      </c>
      <c r="E54" s="47" t="s">
        <v>290</v>
      </c>
      <c r="F54" s="47" t="s">
        <v>291</v>
      </c>
      <c r="G54" s="47" t="s">
        <v>292</v>
      </c>
      <c r="H54" s="47" t="s">
        <v>278</v>
      </c>
    </row>
    <row r="55" spans="1:8" x14ac:dyDescent="0.35">
      <c r="A55" s="55" t="s">
        <v>293</v>
      </c>
      <c r="B55" s="57">
        <v>1905.6886227544856</v>
      </c>
      <c r="C55" s="57">
        <v>4980.8462434784878</v>
      </c>
      <c r="D55" s="57">
        <v>0.3826033829591986</v>
      </c>
      <c r="E55" s="66">
        <v>0.70552676086984056</v>
      </c>
      <c r="F55" s="57">
        <v>-8397.9768645494041</v>
      </c>
      <c r="G55" s="57">
        <v>12209.354110058375</v>
      </c>
      <c r="H55" s="70" t="s">
        <v>294</v>
      </c>
    </row>
    <row r="56" spans="1:8" ht="16" thickBot="1" x14ac:dyDescent="0.4">
      <c r="A56" s="49" t="s">
        <v>216</v>
      </c>
      <c r="B56" s="53">
        <v>130.12125748502999</v>
      </c>
      <c r="C56" s="53">
        <v>25.157072534365575</v>
      </c>
      <c r="D56" s="53">
        <v>5.1723529161542583</v>
      </c>
      <c r="E56" s="69">
        <v>3.0450756000721668E-5</v>
      </c>
      <c r="F56" s="53">
        <v>78.079887933955888</v>
      </c>
      <c r="G56" s="53">
        <v>182.16262703610408</v>
      </c>
      <c r="H56" s="72" t="s">
        <v>448</v>
      </c>
    </row>
    <row r="57" spans="1:8" x14ac:dyDescent="0.35">
      <c r="A57" s="73" t="s">
        <v>285</v>
      </c>
    </row>
    <row r="60" spans="1:8" x14ac:dyDescent="0.35">
      <c r="A60" s="1" t="s">
        <v>460</v>
      </c>
    </row>
    <row r="62" spans="1:8" x14ac:dyDescent="0.35">
      <c r="A62" t="s">
        <v>461</v>
      </c>
    </row>
    <row r="65" spans="1:8" x14ac:dyDescent="0.35">
      <c r="A65" s="1" t="s">
        <v>462</v>
      </c>
    </row>
    <row r="66" spans="1:8" ht="16" thickBot="1" x14ac:dyDescent="0.4"/>
    <row r="67" spans="1:8" ht="46.5" x14ac:dyDescent="0.35">
      <c r="A67" s="46" t="s">
        <v>273</v>
      </c>
      <c r="B67" s="47" t="s">
        <v>287</v>
      </c>
      <c r="C67" s="47" t="s">
        <v>288</v>
      </c>
      <c r="D67" s="47" t="s">
        <v>289</v>
      </c>
      <c r="E67" s="47" t="s">
        <v>290</v>
      </c>
      <c r="F67" s="47" t="s">
        <v>291</v>
      </c>
      <c r="G67" s="47" t="s">
        <v>292</v>
      </c>
      <c r="H67" s="47" t="s">
        <v>278</v>
      </c>
    </row>
    <row r="68" spans="1:8" ht="16" thickBot="1" x14ac:dyDescent="0.4">
      <c r="A68" s="74" t="s">
        <v>216</v>
      </c>
      <c r="B68" s="75">
        <v>0.7332929150320463</v>
      </c>
      <c r="C68" s="75">
        <v>0.14177163216025551</v>
      </c>
      <c r="D68" s="75">
        <v>5.1723529161542574</v>
      </c>
      <c r="E68" s="76">
        <v>3.0450756000721668E-5</v>
      </c>
      <c r="F68" s="75">
        <v>0.44001594923913989</v>
      </c>
      <c r="G68" s="75">
        <v>1.0265698808249528</v>
      </c>
      <c r="H68" s="77" t="s">
        <v>448</v>
      </c>
    </row>
    <row r="69" spans="1:8" x14ac:dyDescent="0.35">
      <c r="A69" s="73" t="s">
        <v>285</v>
      </c>
    </row>
    <row r="88" spans="1:13" x14ac:dyDescent="0.35">
      <c r="D88" t="s">
        <v>298</v>
      </c>
    </row>
    <row r="91" spans="1:13" x14ac:dyDescent="0.35">
      <c r="A91" s="1" t="s">
        <v>463</v>
      </c>
    </row>
    <row r="92" spans="1:13" ht="16" thickBot="1" x14ac:dyDescent="0.4"/>
    <row r="93" spans="1:13" ht="77.5" x14ac:dyDescent="0.35">
      <c r="A93" s="46" t="s">
        <v>300</v>
      </c>
      <c r="B93" s="47" t="s">
        <v>301</v>
      </c>
      <c r="C93" s="47" t="s">
        <v>216</v>
      </c>
      <c r="D93" s="47" t="s">
        <v>215</v>
      </c>
      <c r="E93" s="47" t="s">
        <v>464</v>
      </c>
      <c r="F93" s="47" t="s">
        <v>434</v>
      </c>
      <c r="G93" s="47" t="s">
        <v>435</v>
      </c>
      <c r="H93" s="47" t="s">
        <v>436</v>
      </c>
      <c r="I93" s="47" t="s">
        <v>437</v>
      </c>
      <c r="J93" s="47" t="s">
        <v>438</v>
      </c>
      <c r="K93" s="47" t="s">
        <v>439</v>
      </c>
      <c r="L93" s="47" t="s">
        <v>440</v>
      </c>
      <c r="M93" s="47" t="s">
        <v>441</v>
      </c>
    </row>
    <row r="94" spans="1:13" x14ac:dyDescent="0.35">
      <c r="A94" s="55" t="s">
        <v>302</v>
      </c>
      <c r="B94" s="78">
        <v>1</v>
      </c>
      <c r="C94" s="57">
        <v>300</v>
      </c>
      <c r="D94" s="57">
        <v>60700</v>
      </c>
      <c r="E94" s="57">
        <v>40942.065868263482</v>
      </c>
      <c r="F94" s="57">
        <v>19757.934131736518</v>
      </c>
      <c r="G94" s="57">
        <v>2.1487119652859565</v>
      </c>
      <c r="H94" s="57">
        <v>3449.3640010569229</v>
      </c>
      <c r="I94" s="57">
        <v>33806.512776783638</v>
      </c>
      <c r="J94" s="57">
        <v>48077.618959743326</v>
      </c>
      <c r="K94" s="57">
        <v>9820.9293191274937</v>
      </c>
      <c r="L94" s="57">
        <v>20625.925692036039</v>
      </c>
      <c r="M94" s="57">
        <v>61258.206044490929</v>
      </c>
    </row>
    <row r="95" spans="1:13" x14ac:dyDescent="0.35">
      <c r="A95" s="45" t="s">
        <v>303</v>
      </c>
      <c r="B95" s="64">
        <v>1</v>
      </c>
      <c r="C95" s="65">
        <v>350</v>
      </c>
      <c r="D95" s="65">
        <v>52000</v>
      </c>
      <c r="E95" s="65">
        <v>47448.128742514979</v>
      </c>
      <c r="F95" s="65">
        <v>4551.8712574850215</v>
      </c>
      <c r="G95" s="65">
        <v>0.4950244377871949</v>
      </c>
      <c r="H95" s="65">
        <v>4563.0796640676781</v>
      </c>
      <c r="I95" s="65">
        <v>38008.67926903809</v>
      </c>
      <c r="J95" s="65">
        <v>56887.578215991867</v>
      </c>
      <c r="K95" s="65">
        <v>10265.195404868753</v>
      </c>
      <c r="L95" s="65">
        <v>26212.954147020871</v>
      </c>
      <c r="M95" s="65">
        <v>68683.303338009078</v>
      </c>
    </row>
    <row r="96" spans="1:13" x14ac:dyDescent="0.35">
      <c r="A96" s="45" t="s">
        <v>304</v>
      </c>
      <c r="B96" s="64">
        <v>1</v>
      </c>
      <c r="C96" s="65">
        <v>150</v>
      </c>
      <c r="D96" s="65">
        <v>47000</v>
      </c>
      <c r="E96" s="65">
        <v>21423.877245508982</v>
      </c>
      <c r="F96" s="65">
        <v>25576.122754491018</v>
      </c>
      <c r="G96" s="65">
        <v>2.7814507641223334</v>
      </c>
      <c r="H96" s="65">
        <v>2028.2280296469744</v>
      </c>
      <c r="I96" s="65">
        <v>17228.167896556828</v>
      </c>
      <c r="J96" s="65">
        <v>25619.586594461136</v>
      </c>
      <c r="K96" s="65">
        <v>9416.2757829067541</v>
      </c>
      <c r="L96" s="65">
        <v>1944.8266865192127</v>
      </c>
      <c r="M96" s="65">
        <v>40902.927804498751</v>
      </c>
    </row>
    <row r="97" spans="1:13" x14ac:dyDescent="0.35">
      <c r="A97" s="45" t="s">
        <v>305</v>
      </c>
      <c r="B97" s="64">
        <v>1</v>
      </c>
      <c r="C97" s="65">
        <v>200</v>
      </c>
      <c r="D97" s="65">
        <v>42000</v>
      </c>
      <c r="E97" s="65">
        <v>27929.940119760482</v>
      </c>
      <c r="F97" s="65">
        <v>14070.059880239518</v>
      </c>
      <c r="G97" s="65">
        <v>1.5301450959085376</v>
      </c>
      <c r="H97" s="65">
        <v>1882.582925556336</v>
      </c>
      <c r="I97" s="65">
        <v>24035.520623788303</v>
      </c>
      <c r="J97" s="65">
        <v>31824.359615732661</v>
      </c>
      <c r="K97" s="65">
        <v>9385.9820557630956</v>
      </c>
      <c r="L97" s="65">
        <v>8513.5569099707791</v>
      </c>
      <c r="M97" s="65">
        <v>47346.323329550185</v>
      </c>
    </row>
    <row r="98" spans="1:13" x14ac:dyDescent="0.35">
      <c r="A98" s="45" t="s">
        <v>306</v>
      </c>
      <c r="B98" s="64">
        <v>1</v>
      </c>
      <c r="C98" s="65">
        <v>250</v>
      </c>
      <c r="D98" s="65">
        <v>34000</v>
      </c>
      <c r="E98" s="65">
        <v>34436.002994011986</v>
      </c>
      <c r="F98" s="65">
        <v>-436.00299401198572</v>
      </c>
      <c r="G98" s="65">
        <v>-4.7416133887663484E-2</v>
      </c>
      <c r="H98" s="65">
        <v>2477.6843010043694</v>
      </c>
      <c r="I98" s="65">
        <v>29310.522508819482</v>
      </c>
      <c r="J98" s="65">
        <v>39561.483479204493</v>
      </c>
      <c r="K98" s="65">
        <v>9523.2064019926656</v>
      </c>
      <c r="L98" s="65">
        <v>14735.749596076097</v>
      </c>
      <c r="M98" s="65">
        <v>54136.256391947871</v>
      </c>
    </row>
    <row r="99" spans="1:13" x14ac:dyDescent="0.35">
      <c r="A99" s="45" t="s">
        <v>307</v>
      </c>
      <c r="B99" s="64">
        <v>1</v>
      </c>
      <c r="C99" s="65">
        <v>150</v>
      </c>
      <c r="D99" s="65">
        <v>30500</v>
      </c>
      <c r="E99" s="65">
        <v>21423.877245508982</v>
      </c>
      <c r="F99" s="65">
        <v>9076.122754491018</v>
      </c>
      <c r="G99" s="65">
        <v>0.98704517541910453</v>
      </c>
      <c r="H99" s="65">
        <v>2028.2280296469744</v>
      </c>
      <c r="I99" s="65">
        <v>17228.167896556828</v>
      </c>
      <c r="J99" s="65">
        <v>25619.586594461136</v>
      </c>
      <c r="K99" s="65">
        <v>9416.2757829067541</v>
      </c>
      <c r="L99" s="65">
        <v>1944.8266865192127</v>
      </c>
      <c r="M99" s="65">
        <v>40902.927804498751</v>
      </c>
    </row>
    <row r="100" spans="1:13" x14ac:dyDescent="0.35">
      <c r="A100" s="45" t="s">
        <v>308</v>
      </c>
      <c r="B100" s="64">
        <v>1</v>
      </c>
      <c r="C100" s="65">
        <v>250</v>
      </c>
      <c r="D100" s="65">
        <v>30000</v>
      </c>
      <c r="E100" s="65">
        <v>34436.002994011986</v>
      </c>
      <c r="F100" s="65">
        <v>-4436.0029940119857</v>
      </c>
      <c r="G100" s="65">
        <v>-0.48242354933087045</v>
      </c>
      <c r="H100" s="65">
        <v>2477.6843010043694</v>
      </c>
      <c r="I100" s="65">
        <v>29310.522508819482</v>
      </c>
      <c r="J100" s="65">
        <v>39561.483479204493</v>
      </c>
      <c r="K100" s="65">
        <v>9523.2064019926656</v>
      </c>
      <c r="L100" s="65">
        <v>14735.749596076097</v>
      </c>
      <c r="M100" s="65">
        <v>54136.256391947871</v>
      </c>
    </row>
    <row r="101" spans="1:13" x14ac:dyDescent="0.35">
      <c r="A101" s="45" t="s">
        <v>309</v>
      </c>
      <c r="B101" s="64">
        <v>1</v>
      </c>
      <c r="C101" s="65">
        <v>300</v>
      </c>
      <c r="D101" s="65">
        <v>30000</v>
      </c>
      <c r="E101" s="65">
        <v>40942.065868263482</v>
      </c>
      <c r="F101" s="65">
        <v>-10942.065868263482</v>
      </c>
      <c r="G101" s="65">
        <v>-1.1899699482406569</v>
      </c>
      <c r="H101" s="65">
        <v>3449.3640010569229</v>
      </c>
      <c r="I101" s="65">
        <v>33806.512776783638</v>
      </c>
      <c r="J101" s="65">
        <v>48077.618959743326</v>
      </c>
      <c r="K101" s="65">
        <v>9820.9293191274937</v>
      </c>
      <c r="L101" s="65">
        <v>20625.925692036039</v>
      </c>
      <c r="M101" s="65">
        <v>61258.206044490929</v>
      </c>
    </row>
    <row r="102" spans="1:13" x14ac:dyDescent="0.35">
      <c r="A102" s="45" t="s">
        <v>310</v>
      </c>
      <c r="B102" s="64">
        <v>1</v>
      </c>
      <c r="C102" s="65">
        <v>250</v>
      </c>
      <c r="D102" s="65">
        <v>28000</v>
      </c>
      <c r="E102" s="65">
        <v>34436.002994011986</v>
      </c>
      <c r="F102" s="65">
        <v>-6436.0029940119857</v>
      </c>
      <c r="G102" s="65">
        <v>-0.69992725705247394</v>
      </c>
      <c r="H102" s="65">
        <v>2477.6843010043694</v>
      </c>
      <c r="I102" s="65">
        <v>29310.522508819482</v>
      </c>
      <c r="J102" s="65">
        <v>39561.483479204493</v>
      </c>
      <c r="K102" s="65">
        <v>9523.2064019926656</v>
      </c>
      <c r="L102" s="65">
        <v>14735.749596076097</v>
      </c>
      <c r="M102" s="65">
        <v>54136.256391947871</v>
      </c>
    </row>
    <row r="103" spans="1:13" x14ac:dyDescent="0.35">
      <c r="A103" s="45" t="s">
        <v>311</v>
      </c>
      <c r="B103" s="64">
        <v>1</v>
      </c>
      <c r="C103" s="65">
        <v>200</v>
      </c>
      <c r="D103" s="65">
        <v>26000</v>
      </c>
      <c r="E103" s="65">
        <v>27929.940119760482</v>
      </c>
      <c r="F103" s="65">
        <v>-1929.940119760482</v>
      </c>
      <c r="G103" s="65">
        <v>-0.20988456586429013</v>
      </c>
      <c r="H103" s="65">
        <v>1882.582925556336</v>
      </c>
      <c r="I103" s="65">
        <v>24035.520623788303</v>
      </c>
      <c r="J103" s="65">
        <v>31824.359615732661</v>
      </c>
      <c r="K103" s="65">
        <v>9385.9820557630956</v>
      </c>
      <c r="L103" s="65">
        <v>8513.5569099707791</v>
      </c>
      <c r="M103" s="65">
        <v>47346.323329550185</v>
      </c>
    </row>
    <row r="104" spans="1:13" x14ac:dyDescent="0.35">
      <c r="A104" s="45" t="s">
        <v>312</v>
      </c>
      <c r="B104" s="64">
        <v>1</v>
      </c>
      <c r="C104" s="65">
        <v>150</v>
      </c>
      <c r="D104" s="65">
        <v>25000</v>
      </c>
      <c r="E104" s="65">
        <v>21423.877245508982</v>
      </c>
      <c r="F104" s="65">
        <v>3576.122754491018</v>
      </c>
      <c r="G104" s="65">
        <v>0.38890997918469494</v>
      </c>
      <c r="H104" s="65">
        <v>2028.2280296469744</v>
      </c>
      <c r="I104" s="65">
        <v>17228.167896556828</v>
      </c>
      <c r="J104" s="65">
        <v>25619.586594461136</v>
      </c>
      <c r="K104" s="65">
        <v>9416.2757829067541</v>
      </c>
      <c r="L104" s="65">
        <v>1944.8266865192127</v>
      </c>
      <c r="M104" s="65">
        <v>40902.927804498751</v>
      </c>
    </row>
    <row r="105" spans="1:13" x14ac:dyDescent="0.35">
      <c r="A105" s="45" t="s">
        <v>313</v>
      </c>
      <c r="B105" s="64">
        <v>1</v>
      </c>
      <c r="C105" s="65">
        <v>200</v>
      </c>
      <c r="D105" s="65">
        <v>24000</v>
      </c>
      <c r="E105" s="65">
        <v>27929.940119760482</v>
      </c>
      <c r="F105" s="65">
        <v>-3929.940119760482</v>
      </c>
      <c r="G105" s="65">
        <v>-0.4273882735858936</v>
      </c>
      <c r="H105" s="65">
        <v>1882.582925556336</v>
      </c>
      <c r="I105" s="65">
        <v>24035.520623788303</v>
      </c>
      <c r="J105" s="65">
        <v>31824.359615732661</v>
      </c>
      <c r="K105" s="65">
        <v>9385.9820557630956</v>
      </c>
      <c r="L105" s="65">
        <v>8513.5569099707791</v>
      </c>
      <c r="M105" s="65">
        <v>47346.323329550185</v>
      </c>
    </row>
    <row r="106" spans="1:13" x14ac:dyDescent="0.35">
      <c r="A106" s="45" t="s">
        <v>314</v>
      </c>
      <c r="B106" s="64">
        <v>1</v>
      </c>
      <c r="C106" s="65">
        <v>200</v>
      </c>
      <c r="D106" s="65">
        <v>24000</v>
      </c>
      <c r="E106" s="65">
        <v>27929.940119760482</v>
      </c>
      <c r="F106" s="65">
        <v>-3929.940119760482</v>
      </c>
      <c r="G106" s="65">
        <v>-0.4273882735858936</v>
      </c>
      <c r="H106" s="65">
        <v>1882.582925556336</v>
      </c>
      <c r="I106" s="65">
        <v>24035.520623788303</v>
      </c>
      <c r="J106" s="65">
        <v>31824.359615732661</v>
      </c>
      <c r="K106" s="65">
        <v>9385.9820557630956</v>
      </c>
      <c r="L106" s="65">
        <v>8513.5569099707791</v>
      </c>
      <c r="M106" s="65">
        <v>47346.323329550185</v>
      </c>
    </row>
    <row r="107" spans="1:13" x14ac:dyDescent="0.35">
      <c r="A107" s="45" t="s">
        <v>315</v>
      </c>
      <c r="B107" s="64">
        <v>1</v>
      </c>
      <c r="C107" s="65">
        <v>200</v>
      </c>
      <c r="D107" s="65">
        <v>22000</v>
      </c>
      <c r="E107" s="65">
        <v>27929.940119760482</v>
      </c>
      <c r="F107" s="65">
        <v>-5929.940119760482</v>
      </c>
      <c r="G107" s="65">
        <v>-0.64489198130749714</v>
      </c>
      <c r="H107" s="65">
        <v>1882.582925556336</v>
      </c>
      <c r="I107" s="65">
        <v>24035.520623788303</v>
      </c>
      <c r="J107" s="65">
        <v>31824.359615732661</v>
      </c>
      <c r="K107" s="65">
        <v>9385.9820557630956</v>
      </c>
      <c r="L107" s="65">
        <v>8513.5569099707791</v>
      </c>
      <c r="M107" s="65">
        <v>47346.323329550185</v>
      </c>
    </row>
    <row r="108" spans="1:13" x14ac:dyDescent="0.35">
      <c r="A108" s="45" t="s">
        <v>316</v>
      </c>
      <c r="B108" s="64">
        <v>1</v>
      </c>
      <c r="C108" s="65">
        <v>200</v>
      </c>
      <c r="D108" s="65">
        <v>20000</v>
      </c>
      <c r="E108" s="65">
        <v>27929.940119760482</v>
      </c>
      <c r="F108" s="65">
        <v>-7929.940119760482</v>
      </c>
      <c r="G108" s="65">
        <v>-0.86239568902910058</v>
      </c>
      <c r="H108" s="65">
        <v>1882.582925556336</v>
      </c>
      <c r="I108" s="65">
        <v>24035.520623788303</v>
      </c>
      <c r="J108" s="65">
        <v>31824.359615732661</v>
      </c>
      <c r="K108" s="65">
        <v>9385.9820557630956</v>
      </c>
      <c r="L108" s="65">
        <v>8513.5569099707791</v>
      </c>
      <c r="M108" s="65">
        <v>47346.323329550185</v>
      </c>
    </row>
    <row r="109" spans="1:13" x14ac:dyDescent="0.35">
      <c r="A109" s="45" t="s">
        <v>317</v>
      </c>
      <c r="B109" s="64">
        <v>1</v>
      </c>
      <c r="C109" s="65">
        <v>200</v>
      </c>
      <c r="D109" s="65">
        <v>20000</v>
      </c>
      <c r="E109" s="65">
        <v>27929.940119760482</v>
      </c>
      <c r="F109" s="65">
        <v>-7929.940119760482</v>
      </c>
      <c r="G109" s="65">
        <v>-0.86239568902910058</v>
      </c>
      <c r="H109" s="65">
        <v>1882.582925556336</v>
      </c>
      <c r="I109" s="65">
        <v>24035.520623788303</v>
      </c>
      <c r="J109" s="65">
        <v>31824.359615732661</v>
      </c>
      <c r="K109" s="65">
        <v>9385.9820557630956</v>
      </c>
      <c r="L109" s="65">
        <v>8513.5569099707791</v>
      </c>
      <c r="M109" s="65">
        <v>47346.323329550185</v>
      </c>
    </row>
    <row r="110" spans="1:13" x14ac:dyDescent="0.35">
      <c r="A110" s="45" t="s">
        <v>318</v>
      </c>
      <c r="B110" s="64">
        <v>1</v>
      </c>
      <c r="C110" s="65">
        <v>100</v>
      </c>
      <c r="D110" s="65">
        <v>20000</v>
      </c>
      <c r="E110" s="65">
        <v>14917.814371257484</v>
      </c>
      <c r="F110" s="65">
        <v>5082.1856287425162</v>
      </c>
      <c r="G110" s="65">
        <v>0.55269710879047296</v>
      </c>
      <c r="H110" s="65">
        <v>2801.3730385994113</v>
      </c>
      <c r="I110" s="65">
        <v>9122.7327156707288</v>
      </c>
      <c r="J110" s="65">
        <v>20712.896026844239</v>
      </c>
      <c r="K110" s="65">
        <v>9612.5039183816352</v>
      </c>
      <c r="L110" s="65">
        <v>-4967.1650135372965</v>
      </c>
      <c r="M110" s="65">
        <v>34802.793756052262</v>
      </c>
    </row>
    <row r="111" spans="1:13" x14ac:dyDescent="0.35">
      <c r="A111" s="45" t="s">
        <v>319</v>
      </c>
      <c r="B111" s="64">
        <v>1</v>
      </c>
      <c r="C111" s="65">
        <v>150</v>
      </c>
      <c r="D111" s="65">
        <v>19000</v>
      </c>
      <c r="E111" s="65">
        <v>21423.877245508982</v>
      </c>
      <c r="F111" s="65">
        <v>-2423.877245508982</v>
      </c>
      <c r="G111" s="65">
        <v>-0.26360114398011547</v>
      </c>
      <c r="H111" s="65">
        <v>2028.2280296469744</v>
      </c>
      <c r="I111" s="65">
        <v>17228.167896556828</v>
      </c>
      <c r="J111" s="65">
        <v>25619.586594461136</v>
      </c>
      <c r="K111" s="65">
        <v>9416.2757829067541</v>
      </c>
      <c r="L111" s="65">
        <v>1944.8266865192127</v>
      </c>
      <c r="M111" s="65">
        <v>40902.927804498751</v>
      </c>
    </row>
    <row r="112" spans="1:13" x14ac:dyDescent="0.35">
      <c r="A112" s="45" t="s">
        <v>320</v>
      </c>
      <c r="B112" s="64">
        <v>1</v>
      </c>
      <c r="C112" s="65">
        <v>200</v>
      </c>
      <c r="D112" s="65">
        <v>19000</v>
      </c>
      <c r="E112" s="65">
        <v>27929.940119760482</v>
      </c>
      <c r="F112" s="65">
        <v>-8929.940119760482</v>
      </c>
      <c r="G112" s="65">
        <v>-0.97114754288990235</v>
      </c>
      <c r="H112" s="65">
        <v>1882.582925556336</v>
      </c>
      <c r="I112" s="65">
        <v>24035.520623788303</v>
      </c>
      <c r="J112" s="65">
        <v>31824.359615732661</v>
      </c>
      <c r="K112" s="65">
        <v>9385.9820557630956</v>
      </c>
      <c r="L112" s="65">
        <v>8513.5569099707791</v>
      </c>
      <c r="M112" s="65">
        <v>47346.323329550185</v>
      </c>
    </row>
    <row r="113" spans="1:13" x14ac:dyDescent="0.35">
      <c r="A113" s="45" t="s">
        <v>321</v>
      </c>
      <c r="B113" s="64">
        <v>1</v>
      </c>
      <c r="C113" s="65">
        <v>150</v>
      </c>
      <c r="D113" s="65">
        <v>18000</v>
      </c>
      <c r="E113" s="65">
        <v>21423.877245508982</v>
      </c>
      <c r="F113" s="65">
        <v>-3423.877245508982</v>
      </c>
      <c r="G113" s="65">
        <v>-0.37235299784091719</v>
      </c>
      <c r="H113" s="65">
        <v>2028.2280296469744</v>
      </c>
      <c r="I113" s="65">
        <v>17228.167896556828</v>
      </c>
      <c r="J113" s="65">
        <v>25619.586594461136</v>
      </c>
      <c r="K113" s="65">
        <v>9416.2757829067541</v>
      </c>
      <c r="L113" s="65">
        <v>1944.8266865192127</v>
      </c>
      <c r="M113" s="65">
        <v>40902.927804498751</v>
      </c>
    </row>
    <row r="114" spans="1:13" x14ac:dyDescent="0.35">
      <c r="A114" s="45" t="s">
        <v>322</v>
      </c>
      <c r="B114" s="64">
        <v>1</v>
      </c>
      <c r="C114" s="65">
        <v>100</v>
      </c>
      <c r="D114" s="65">
        <v>16000</v>
      </c>
      <c r="E114" s="65">
        <v>14917.814371257484</v>
      </c>
      <c r="F114" s="65">
        <v>1082.1856287425162</v>
      </c>
      <c r="G114" s="65">
        <v>0.11768969334726596</v>
      </c>
      <c r="H114" s="65">
        <v>2801.3730385994113</v>
      </c>
      <c r="I114" s="65">
        <v>9122.7327156707288</v>
      </c>
      <c r="J114" s="65">
        <v>20712.896026844239</v>
      </c>
      <c r="K114" s="65">
        <v>9612.5039183816352</v>
      </c>
      <c r="L114" s="65">
        <v>-4967.1650135372965</v>
      </c>
      <c r="M114" s="65">
        <v>34802.793756052262</v>
      </c>
    </row>
    <row r="115" spans="1:13" x14ac:dyDescent="0.35">
      <c r="A115" s="45" t="s">
        <v>323</v>
      </c>
      <c r="B115" s="64">
        <v>1</v>
      </c>
      <c r="C115" s="65">
        <v>100</v>
      </c>
      <c r="D115" s="65">
        <v>14000</v>
      </c>
      <c r="E115" s="65">
        <v>14917.814371257484</v>
      </c>
      <c r="F115" s="65">
        <v>-917.8143712574838</v>
      </c>
      <c r="G115" s="65">
        <v>-9.9814014374337512E-2</v>
      </c>
      <c r="H115" s="65">
        <v>2801.3730385994113</v>
      </c>
      <c r="I115" s="65">
        <v>9122.7327156707288</v>
      </c>
      <c r="J115" s="65">
        <v>20712.896026844239</v>
      </c>
      <c r="K115" s="65">
        <v>9612.5039183816352</v>
      </c>
      <c r="L115" s="65">
        <v>-4967.1650135372965</v>
      </c>
      <c r="M115" s="65">
        <v>34802.793756052262</v>
      </c>
    </row>
    <row r="116" spans="1:13" x14ac:dyDescent="0.35">
      <c r="A116" s="45" t="s">
        <v>324</v>
      </c>
      <c r="B116" s="64">
        <v>1</v>
      </c>
      <c r="C116" s="65">
        <v>150</v>
      </c>
      <c r="D116" s="65">
        <v>13000</v>
      </c>
      <c r="E116" s="65">
        <v>21423.877245508982</v>
      </c>
      <c r="F116" s="65">
        <v>-8423.877245508982</v>
      </c>
      <c r="G116" s="65">
        <v>-0.91611226714492588</v>
      </c>
      <c r="H116" s="65">
        <v>2028.2280296469744</v>
      </c>
      <c r="I116" s="65">
        <v>17228.167896556828</v>
      </c>
      <c r="J116" s="65">
        <v>25619.586594461136</v>
      </c>
      <c r="K116" s="65">
        <v>9416.2757829067541</v>
      </c>
      <c r="L116" s="65">
        <v>1944.8266865192127</v>
      </c>
      <c r="M116" s="65">
        <v>40902.927804498751</v>
      </c>
    </row>
    <row r="117" spans="1:13" x14ac:dyDescent="0.35">
      <c r="A117" s="45" t="s">
        <v>325</v>
      </c>
      <c r="B117" s="64">
        <v>1</v>
      </c>
      <c r="C117" s="65">
        <v>50</v>
      </c>
      <c r="D117" s="65">
        <v>7000</v>
      </c>
      <c r="E117" s="65">
        <v>8411.7514970059856</v>
      </c>
      <c r="F117" s="65">
        <v>-1411.7514970059856</v>
      </c>
      <c r="G117" s="65">
        <v>-0.15353059249016301</v>
      </c>
      <c r="H117" s="65">
        <v>3840.0604624191014</v>
      </c>
      <c r="I117" s="65">
        <v>467.98119741215578</v>
      </c>
      <c r="J117" s="65">
        <v>16355.521796599816</v>
      </c>
      <c r="K117" s="65">
        <v>9964.8685407558169</v>
      </c>
      <c r="L117" s="65">
        <v>-12202.149645463487</v>
      </c>
      <c r="M117" s="65">
        <v>29025.652639475458</v>
      </c>
    </row>
    <row r="118" spans="1:13" ht="16" thickBot="1" x14ac:dyDescent="0.4">
      <c r="A118" s="49" t="s">
        <v>326</v>
      </c>
      <c r="B118" s="51">
        <v>1</v>
      </c>
      <c r="C118" s="53">
        <v>50</v>
      </c>
      <c r="D118" s="53">
        <v>5000</v>
      </c>
      <c r="E118" s="53">
        <v>8411.7514970059856</v>
      </c>
      <c r="F118" s="53">
        <v>-3411.7514970059856</v>
      </c>
      <c r="G118" s="53">
        <v>-0.37103430021176648</v>
      </c>
      <c r="H118" s="53">
        <v>3840.0604624191014</v>
      </c>
      <c r="I118" s="53">
        <v>467.98119741215578</v>
      </c>
      <c r="J118" s="53">
        <v>16355.521796599816</v>
      </c>
      <c r="K118" s="53">
        <v>9964.8685407558169</v>
      </c>
      <c r="L118" s="53">
        <v>-12202.149645463487</v>
      </c>
      <c r="M118" s="53">
        <v>29025.652639475458</v>
      </c>
    </row>
    <row r="137" spans="4:4" x14ac:dyDescent="0.35">
      <c r="D137" t="s">
        <v>298</v>
      </c>
    </row>
    <row r="156" spans="4:4" x14ac:dyDescent="0.35">
      <c r="D156" t="s">
        <v>298</v>
      </c>
    </row>
    <row r="175" spans="4:4" x14ac:dyDescent="0.35">
      <c r="D175" t="s">
        <v>298</v>
      </c>
    </row>
    <row r="178" spans="1:5" x14ac:dyDescent="0.35">
      <c r="A178" s="1" t="s">
        <v>465</v>
      </c>
    </row>
    <row r="180" spans="1:5" x14ac:dyDescent="0.35">
      <c r="A180" s="80" t="s">
        <v>466</v>
      </c>
      <c r="B180" s="81"/>
      <c r="C180" s="81"/>
      <c r="D180" s="81"/>
      <c r="E180" s="81"/>
    </row>
    <row r="181" spans="1:5" x14ac:dyDescent="0.35">
      <c r="A181" s="81"/>
      <c r="B181" s="81"/>
      <c r="C181" s="81"/>
      <c r="D181" s="81"/>
      <c r="E181" s="81"/>
    </row>
    <row r="183" spans="1:5" x14ac:dyDescent="0.35">
      <c r="A183" s="80" t="s">
        <v>444</v>
      </c>
      <c r="B183" s="81"/>
      <c r="C183" s="81"/>
      <c r="D183" s="81"/>
      <c r="E183" s="81"/>
    </row>
    <row r="184" spans="1:5" x14ac:dyDescent="0.35">
      <c r="A184" s="81"/>
      <c r="B184" s="81"/>
      <c r="C184" s="81"/>
      <c r="D184" s="81"/>
      <c r="E184" s="81"/>
    </row>
    <row r="185" spans="1:5" x14ac:dyDescent="0.35">
      <c r="A185" s="81"/>
      <c r="B185" s="81"/>
      <c r="C185" s="81"/>
      <c r="D185" s="81"/>
      <c r="E185" s="81"/>
    </row>
    <row r="997" spans="648:648" x14ac:dyDescent="0.35">
      <c r="XX997" s="44">
        <v>166765</v>
      </c>
    </row>
  </sheetData>
  <mergeCells count="2">
    <mergeCell ref="A180:E181"/>
    <mergeCell ref="A183:E18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DD489951">
              <controlPr defaultSize="0" autoFill="0" autoPict="0" macro="[0]!GoToResultsNew1411202514160512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3</xdr:col>
                    <xdr:colOff>6350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_HID"/>
  <dimension ref="A1:X100"/>
  <sheetViews>
    <sheetView rightToLeft="1" workbookViewId="0">
      <selection activeCell="U1" sqref="U1"/>
    </sheetView>
  </sheetViews>
  <sheetFormatPr defaultRowHeight="15.5" x14ac:dyDescent="0.35"/>
  <sheetData>
    <row r="1" spans="1:24" x14ac:dyDescent="0.35">
      <c r="A1">
        <v>1</v>
      </c>
      <c r="C1">
        <f t="shared" ref="C1:C32" si="0">20+(A1-1)*5.21739130434783</f>
        <v>20</v>
      </c>
      <c r="D1">
        <f t="shared" ref="D1:D32" si="1">1905.68862275449+130.12125748503*C1-19021.8146804871*(0.04+(C1-184)^2/133600)^0.5</f>
        <v>-4836.1746235003211</v>
      </c>
      <c r="E1">
        <v>1</v>
      </c>
      <c r="G1">
        <f t="shared" ref="G1:G32" si="2">20+(E1-1)*5.21739130434783</f>
        <v>20</v>
      </c>
      <c r="H1">
        <f t="shared" ref="H1:H32" si="3">1905.68862275449+130.12125748503*G1+19021.8146804871*(0.04+(G1-184)^2/133600)^0.5</f>
        <v>13852.402168410501</v>
      </c>
      <c r="I1">
        <v>1</v>
      </c>
      <c r="K1">
        <f t="shared" ref="K1:K32" si="4">20+(I1-1)*3.63636363636364</f>
        <v>20</v>
      </c>
      <c r="L1">
        <f t="shared" ref="L1:L32" si="5">1905.68862275449+130.12125748503*K1-19021.8146804871*(1.04+(K1-184)^2/133600)^0.5</f>
        <v>-16684.931298170828</v>
      </c>
      <c r="M1">
        <v>1</v>
      </c>
      <c r="O1">
        <f t="shared" ref="O1:O32" si="6">20+(M1-1)*3.63636363636364</f>
        <v>20</v>
      </c>
      <c r="P1">
        <f t="shared" ref="P1:P32" si="7">1905.68862275449+130.12125748503*O1+19021.8146804871*(1.04+(O1-184)^2/133600)^0.5</f>
        <v>25701.158843081008</v>
      </c>
      <c r="Q1">
        <v>1</v>
      </c>
      <c r="S1">
        <f t="shared" ref="S1:S32" si="8">6850.29640718563+(Q1-1)*725.905189620759</f>
        <v>6850.2964071856304</v>
      </c>
      <c r="T1">
        <f t="shared" ref="T1:T32" si="9">0+1*S1-19021.8146804871*(1.04+(S1-25848)^2/2262053964.37126)^0.5</f>
        <v>-13983.157992838103</v>
      </c>
      <c r="U1">
        <v>1</v>
      </c>
      <c r="W1">
        <f t="shared" ref="W1:W32" si="10">6729.40119760479+(U1-1)*727.657294107437</f>
        <v>6729.4011976047896</v>
      </c>
      <c r="X1">
        <f t="shared" ref="X1:X32" si="11">0+1*W1+19021.8146804871*(1.04+(W1-25848)^2/2262053964.37126)^0.5</f>
        <v>27580.538161639466</v>
      </c>
    </row>
    <row r="2" spans="1:24" x14ac:dyDescent="0.35">
      <c r="A2">
        <v>2</v>
      </c>
      <c r="C2">
        <f t="shared" si="0"/>
        <v>25.217391304347828</v>
      </c>
      <c r="D2">
        <f t="shared" si="1"/>
        <v>-3909.9546306561551</v>
      </c>
      <c r="E2">
        <v>2</v>
      </c>
      <c r="G2">
        <f t="shared" si="2"/>
        <v>25.217391304347828</v>
      </c>
      <c r="H2">
        <f t="shared" si="3"/>
        <v>14283.969210192734</v>
      </c>
      <c r="I2">
        <v>2</v>
      </c>
      <c r="K2">
        <f t="shared" si="4"/>
        <v>23.63636363636364</v>
      </c>
      <c r="L2">
        <f t="shared" si="5"/>
        <v>-16136.262938207499</v>
      </c>
      <c r="M2">
        <v>2</v>
      </c>
      <c r="O2">
        <f t="shared" si="6"/>
        <v>23.63636363636364</v>
      </c>
      <c r="P2">
        <f t="shared" si="7"/>
        <v>26098.826901190627</v>
      </c>
      <c r="Q2">
        <v>2</v>
      </c>
      <c r="S2">
        <f t="shared" si="8"/>
        <v>7576.2015968063897</v>
      </c>
      <c r="T2">
        <f t="shared" si="9"/>
        <v>-13153.133865012926</v>
      </c>
      <c r="U2">
        <v>2</v>
      </c>
      <c r="W2">
        <f t="shared" si="10"/>
        <v>7457.0584917122269</v>
      </c>
      <c r="X2">
        <f t="shared" si="11"/>
        <v>28203.240192363926</v>
      </c>
    </row>
    <row r="3" spans="1:24" x14ac:dyDescent="0.35">
      <c r="A3">
        <v>3</v>
      </c>
      <c r="C3">
        <f t="shared" si="0"/>
        <v>30.434782608695659</v>
      </c>
      <c r="D3">
        <f t="shared" si="1"/>
        <v>-2985.1529811714026</v>
      </c>
      <c r="E3">
        <v>3</v>
      </c>
      <c r="G3">
        <f t="shared" si="2"/>
        <v>30.434782608695659</v>
      </c>
      <c r="H3">
        <f t="shared" si="3"/>
        <v>14716.954595334384</v>
      </c>
      <c r="I3">
        <v>3</v>
      </c>
      <c r="K3">
        <f t="shared" si="4"/>
        <v>27.27272727272728</v>
      </c>
      <c r="L3">
        <f t="shared" si="5"/>
        <v>-15589.025569855681</v>
      </c>
      <c r="M3">
        <v>3</v>
      </c>
      <c r="O3">
        <f t="shared" si="6"/>
        <v>27.27272727272728</v>
      </c>
      <c r="P3">
        <f t="shared" si="7"/>
        <v>26497.925950911755</v>
      </c>
      <c r="Q3">
        <v>3</v>
      </c>
      <c r="S3">
        <f t="shared" si="8"/>
        <v>8302.1067864271481</v>
      </c>
      <c r="T3">
        <f t="shared" si="9"/>
        <v>-12326.67042388459</v>
      </c>
      <c r="U3">
        <v>3</v>
      </c>
      <c r="W3">
        <f t="shared" si="10"/>
        <v>8184.7157858196633</v>
      </c>
      <c r="X3">
        <f t="shared" si="11"/>
        <v>28829.511411442589</v>
      </c>
    </row>
    <row r="4" spans="1:24" x14ac:dyDescent="0.35">
      <c r="A4">
        <v>4</v>
      </c>
      <c r="C4">
        <f t="shared" si="0"/>
        <v>35.652173913043491</v>
      </c>
      <c r="D4">
        <f t="shared" si="1"/>
        <v>-2061.8912495918148</v>
      </c>
      <c r="E4">
        <v>4</v>
      </c>
      <c r="G4">
        <f t="shared" si="2"/>
        <v>35.652173913043491</v>
      </c>
      <c r="H4">
        <f t="shared" si="3"/>
        <v>15151.479898381196</v>
      </c>
      <c r="I4">
        <v>4</v>
      </c>
      <c r="K4">
        <f t="shared" si="4"/>
        <v>30.909090909090921</v>
      </c>
      <c r="L4">
        <f t="shared" si="5"/>
        <v>-15043.23435592995</v>
      </c>
      <c r="M4">
        <v>4</v>
      </c>
      <c r="O4">
        <f t="shared" si="6"/>
        <v>30.909090909090921</v>
      </c>
      <c r="P4">
        <f t="shared" si="7"/>
        <v>26898.471155058971</v>
      </c>
      <c r="Q4">
        <v>4</v>
      </c>
      <c r="S4">
        <f t="shared" si="8"/>
        <v>9028.0119760479065</v>
      </c>
      <c r="T4">
        <f t="shared" si="9"/>
        <v>-11503.819986784336</v>
      </c>
      <c r="U4">
        <v>4</v>
      </c>
      <c r="W4">
        <f t="shared" si="10"/>
        <v>8912.3730799270998</v>
      </c>
      <c r="X4">
        <f t="shared" si="11"/>
        <v>29459.404653728365</v>
      </c>
    </row>
    <row r="5" spans="1:24" x14ac:dyDescent="0.35">
      <c r="A5">
        <v>5</v>
      </c>
      <c r="C5">
        <f t="shared" si="0"/>
        <v>40.869565217391319</v>
      </c>
      <c r="D5">
        <f t="shared" si="1"/>
        <v>-1140.3044109437742</v>
      </c>
      <c r="E5">
        <v>5</v>
      </c>
      <c r="G5">
        <f t="shared" si="2"/>
        <v>40.869565217391319</v>
      </c>
      <c r="H5">
        <f t="shared" si="3"/>
        <v>15587.680094359557</v>
      </c>
      <c r="I5">
        <v>5</v>
      </c>
      <c r="K5">
        <f t="shared" si="4"/>
        <v>34.545454545454561</v>
      </c>
      <c r="L5">
        <f t="shared" si="5"/>
        <v>-14498.904371885437</v>
      </c>
      <c r="M5">
        <v>5</v>
      </c>
      <c r="O5">
        <f t="shared" si="6"/>
        <v>34.545454545454561</v>
      </c>
      <c r="P5">
        <f t="shared" si="7"/>
        <v>27300.477589087401</v>
      </c>
      <c r="Q5">
        <v>5</v>
      </c>
      <c r="S5">
        <f t="shared" si="8"/>
        <v>9753.9171656686667</v>
      </c>
      <c r="T5">
        <f t="shared" si="9"/>
        <v>-10684.633965968536</v>
      </c>
      <c r="U5">
        <v>5</v>
      </c>
      <c r="W5">
        <f t="shared" si="10"/>
        <v>9640.0303740345371</v>
      </c>
      <c r="X5">
        <f t="shared" si="11"/>
        <v>30092.971858564222</v>
      </c>
    </row>
    <row r="6" spans="1:24" x14ac:dyDescent="0.35">
      <c r="A6">
        <v>6</v>
      </c>
      <c r="C6">
        <f t="shared" si="0"/>
        <v>46.086956521739147</v>
      </c>
      <c r="D6">
        <f t="shared" si="1"/>
        <v>-220.54258816786751</v>
      </c>
      <c r="E6">
        <v>6</v>
      </c>
      <c r="G6">
        <f t="shared" si="2"/>
        <v>46.086956521739147</v>
      </c>
      <c r="H6">
        <f t="shared" si="3"/>
        <v>16025.705306210051</v>
      </c>
      <c r="I6">
        <v>6</v>
      </c>
      <c r="K6">
        <f t="shared" si="4"/>
        <v>38.181818181818201</v>
      </c>
      <c r="L6">
        <f t="shared" si="5"/>
        <v>-13956.050593774329</v>
      </c>
      <c r="M6">
        <v>6</v>
      </c>
      <c r="O6">
        <f t="shared" si="6"/>
        <v>38.181818181818201</v>
      </c>
      <c r="P6">
        <f t="shared" si="7"/>
        <v>27703.96022904924</v>
      </c>
      <c r="Q6">
        <v>6</v>
      </c>
      <c r="S6">
        <f t="shared" si="8"/>
        <v>10479.822355289425</v>
      </c>
      <c r="T6">
        <f t="shared" si="9"/>
        <v>-9869.1627551376496</v>
      </c>
      <c r="U6">
        <v>6</v>
      </c>
      <c r="W6">
        <f t="shared" si="10"/>
        <v>10367.687668141974</v>
      </c>
      <c r="X6">
        <f t="shared" si="11"/>
        <v>30730.263955246875</v>
      </c>
    </row>
    <row r="7" spans="1:24" x14ac:dyDescent="0.35">
      <c r="A7">
        <v>7</v>
      </c>
      <c r="C7">
        <f t="shared" si="0"/>
        <v>51.304347826086982</v>
      </c>
      <c r="D7">
        <f t="shared" si="1"/>
        <v>697.22695111019675</v>
      </c>
      <c r="E7">
        <v>7</v>
      </c>
      <c r="G7">
        <f t="shared" si="2"/>
        <v>51.304347826086982</v>
      </c>
      <c r="H7">
        <f t="shared" si="3"/>
        <v>16465.72280155839</v>
      </c>
      <c r="I7">
        <v>7</v>
      </c>
      <c r="K7">
        <f t="shared" si="4"/>
        <v>41.818181818181841</v>
      </c>
      <c r="L7">
        <f t="shared" si="5"/>
        <v>-13414.687885948468</v>
      </c>
      <c r="M7">
        <v>7</v>
      </c>
      <c r="O7">
        <f t="shared" si="6"/>
        <v>41.818181818181841</v>
      </c>
      <c r="P7">
        <f t="shared" si="7"/>
        <v>28108.933939296327</v>
      </c>
      <c r="Q7">
        <v>7</v>
      </c>
      <c r="S7">
        <f t="shared" si="8"/>
        <v>11205.727544910183</v>
      </c>
      <c r="T7">
        <f t="shared" si="9"/>
        <v>-9057.4556142453148</v>
      </c>
      <c r="U7">
        <v>7</v>
      </c>
      <c r="W7">
        <f t="shared" si="10"/>
        <v>11095.344962249412</v>
      </c>
      <c r="X7">
        <f t="shared" si="11"/>
        <v>31371.33074668171</v>
      </c>
    </row>
    <row r="8" spans="1:24" x14ac:dyDescent="0.35">
      <c r="A8">
        <v>8</v>
      </c>
      <c r="C8">
        <f t="shared" si="0"/>
        <v>56.52173913043481</v>
      </c>
      <c r="D8">
        <f t="shared" si="1"/>
        <v>1612.8175139583436</v>
      </c>
      <c r="E8">
        <v>8</v>
      </c>
      <c r="G8">
        <f t="shared" si="2"/>
        <v>56.52173913043481</v>
      </c>
      <c r="H8">
        <f t="shared" si="3"/>
        <v>16907.91927333664</v>
      </c>
      <c r="I8">
        <v>8</v>
      </c>
      <c r="K8">
        <f t="shared" si="4"/>
        <v>45.454545454545482</v>
      </c>
      <c r="L8">
        <f t="shared" si="5"/>
        <v>-12874.830988522815</v>
      </c>
      <c r="M8">
        <v>8</v>
      </c>
      <c r="O8">
        <f t="shared" si="6"/>
        <v>45.454545454545482</v>
      </c>
      <c r="P8">
        <f t="shared" si="7"/>
        <v>28515.413459943622</v>
      </c>
      <c r="Q8">
        <v>8</v>
      </c>
      <c r="S8">
        <f t="shared" si="8"/>
        <v>11931.632734530944</v>
      </c>
      <c r="T8">
        <f t="shared" si="9"/>
        <v>-8249.5605530784123</v>
      </c>
      <c r="U8">
        <v>8</v>
      </c>
      <c r="W8">
        <f t="shared" si="10"/>
        <v>11823.002256356849</v>
      </c>
      <c r="X8">
        <f t="shared" si="11"/>
        <v>32016.220791711658</v>
      </c>
    </row>
    <row r="9" spans="1:24" x14ac:dyDescent="0.35">
      <c r="A9">
        <v>9</v>
      </c>
      <c r="C9">
        <f t="shared" si="0"/>
        <v>61.739130434782638</v>
      </c>
      <c r="D9">
        <f t="shared" si="1"/>
        <v>2526.0203801257439</v>
      </c>
      <c r="E9">
        <v>9</v>
      </c>
      <c r="G9">
        <f t="shared" si="2"/>
        <v>61.739130434782638</v>
      </c>
      <c r="H9">
        <f t="shared" si="3"/>
        <v>17352.503441795641</v>
      </c>
      <c r="I9">
        <v>9</v>
      </c>
      <c r="K9">
        <f t="shared" si="4"/>
        <v>49.090909090909122</v>
      </c>
      <c r="L9">
        <f t="shared" si="5"/>
        <v>-12336.494504616176</v>
      </c>
      <c r="M9">
        <v>9</v>
      </c>
      <c r="O9">
        <f t="shared" si="6"/>
        <v>49.090909090909122</v>
      </c>
      <c r="P9">
        <f t="shared" si="7"/>
        <v>28923.413394109928</v>
      </c>
      <c r="Q9">
        <v>9</v>
      </c>
      <c r="S9">
        <f t="shared" si="8"/>
        <v>12657.537924151702</v>
      </c>
      <c r="T9">
        <f t="shared" si="9"/>
        <v>-7445.5242141266481</v>
      </c>
      <c r="U9">
        <v>9</v>
      </c>
      <c r="W9">
        <f t="shared" si="10"/>
        <v>12550.659550464286</v>
      </c>
      <c r="X9">
        <f t="shared" si="11"/>
        <v>32664.981286641614</v>
      </c>
    </row>
    <row r="10" spans="1:24" x14ac:dyDescent="0.35">
      <c r="A10">
        <v>10</v>
      </c>
      <c r="C10">
        <f t="shared" si="0"/>
        <v>66.956521739130466</v>
      </c>
      <c r="D10">
        <f t="shared" si="1"/>
        <v>3436.6018388626171</v>
      </c>
      <c r="E10">
        <v>10</v>
      </c>
      <c r="G10">
        <f t="shared" si="2"/>
        <v>66.956521739130466</v>
      </c>
      <c r="H10">
        <f t="shared" si="3"/>
        <v>17799.709017685171</v>
      </c>
      <c r="I10">
        <v>10</v>
      </c>
      <c r="K10">
        <f t="shared" si="4"/>
        <v>52.727272727272755</v>
      </c>
      <c r="L10">
        <f t="shared" si="5"/>
        <v>-11799.692887386675</v>
      </c>
      <c r="M10">
        <v>10</v>
      </c>
      <c r="O10">
        <f t="shared" si="6"/>
        <v>52.727272727272755</v>
      </c>
      <c r="P10">
        <f t="shared" si="7"/>
        <v>29332.948194953369</v>
      </c>
      <c r="Q10">
        <v>10</v>
      </c>
      <c r="S10">
        <f t="shared" si="8"/>
        <v>13383.44311377246</v>
      </c>
      <c r="T10">
        <f t="shared" si="9"/>
        <v>-6645.3917552951389</v>
      </c>
      <c r="U10">
        <v>10</v>
      </c>
      <c r="W10">
        <f t="shared" si="10"/>
        <v>13278.316844571724</v>
      </c>
      <c r="X10">
        <f t="shared" si="11"/>
        <v>33317.65794651609</v>
      </c>
    </row>
    <row r="11" spans="1:24" x14ac:dyDescent="0.35">
      <c r="A11">
        <v>11</v>
      </c>
      <c r="C11">
        <f t="shared" si="0"/>
        <v>72.173913043478294</v>
      </c>
      <c r="D11">
        <f t="shared" si="1"/>
        <v>4344.2998240737916</v>
      </c>
      <c r="E11">
        <v>11</v>
      </c>
      <c r="G11">
        <f t="shared" si="2"/>
        <v>72.173913043478294</v>
      </c>
      <c r="H11">
        <f t="shared" si="3"/>
        <v>18249.798067100393</v>
      </c>
      <c r="I11">
        <v>11</v>
      </c>
      <c r="K11">
        <f t="shared" si="4"/>
        <v>56.363636363636395</v>
      </c>
      <c r="L11">
        <f t="shared" si="5"/>
        <v>-11264.440426881065</v>
      </c>
      <c r="M11">
        <v>11</v>
      </c>
      <c r="O11">
        <f t="shared" si="6"/>
        <v>56.363636363636395</v>
      </c>
      <c r="P11">
        <f t="shared" si="7"/>
        <v>29744.032152520707</v>
      </c>
      <c r="Q11">
        <v>11</v>
      </c>
      <c r="S11">
        <f t="shared" si="8"/>
        <v>14109.348303393221</v>
      </c>
      <c r="T11">
        <f t="shared" si="9"/>
        <v>-5849.2067330451937</v>
      </c>
      <c r="U11">
        <v>11</v>
      </c>
      <c r="W11">
        <f t="shared" si="10"/>
        <v>14005.974138679159</v>
      </c>
      <c r="X11">
        <f t="shared" si="11"/>
        <v>33974.294886740587</v>
      </c>
    </row>
    <row r="12" spans="1:24" x14ac:dyDescent="0.35">
      <c r="A12">
        <v>12</v>
      </c>
      <c r="C12">
        <f t="shared" si="0"/>
        <v>77.391304347826122</v>
      </c>
      <c r="D12">
        <f t="shared" si="1"/>
        <v>5248.8201091854462</v>
      </c>
      <c r="E12">
        <v>12</v>
      </c>
      <c r="G12">
        <f t="shared" si="2"/>
        <v>77.391304347826122</v>
      </c>
      <c r="H12">
        <f t="shared" si="3"/>
        <v>18703.06481661514</v>
      </c>
      <c r="I12">
        <v>12</v>
      </c>
      <c r="K12">
        <f t="shared" si="4"/>
        <v>60.000000000000036</v>
      </c>
      <c r="L12">
        <f t="shared" si="5"/>
        <v>-10730.751236718239</v>
      </c>
      <c r="M12">
        <v>12</v>
      </c>
      <c r="O12">
        <f t="shared" si="6"/>
        <v>60.000000000000036</v>
      </c>
      <c r="P12">
        <f t="shared" si="7"/>
        <v>30156.679380430829</v>
      </c>
      <c r="Q12">
        <v>12</v>
      </c>
      <c r="S12">
        <f t="shared" si="8"/>
        <v>14835.253493013979</v>
      </c>
      <c r="T12">
        <f t="shared" si="9"/>
        <v>-5057.0109865763279</v>
      </c>
      <c r="U12">
        <v>12</v>
      </c>
      <c r="W12">
        <f t="shared" si="10"/>
        <v>14733.631432786597</v>
      </c>
      <c r="X12">
        <f t="shared" si="11"/>
        <v>34634.934505666184</v>
      </c>
    </row>
    <row r="13" spans="1:24" x14ac:dyDescent="0.35">
      <c r="A13">
        <v>13</v>
      </c>
      <c r="C13">
        <f t="shared" si="0"/>
        <v>82.608695652173964</v>
      </c>
      <c r="D13">
        <f t="shared" si="1"/>
        <v>6149.8320291751834</v>
      </c>
      <c r="E13">
        <v>13</v>
      </c>
      <c r="G13">
        <f t="shared" si="2"/>
        <v>82.608695652173964</v>
      </c>
      <c r="H13">
        <f t="shared" si="3"/>
        <v>19159.839931251805</v>
      </c>
      <c r="I13">
        <v>13</v>
      </c>
      <c r="K13">
        <f t="shared" si="4"/>
        <v>63.636363636363676</v>
      </c>
      <c r="L13">
        <f t="shared" si="5"/>
        <v>-10198.639240628534</v>
      </c>
      <c r="M13">
        <v>13</v>
      </c>
      <c r="O13">
        <f t="shared" si="6"/>
        <v>63.636363636363676</v>
      </c>
      <c r="P13">
        <f t="shared" si="7"/>
        <v>30570.903802414065</v>
      </c>
      <c r="Q13">
        <v>13</v>
      </c>
      <c r="S13">
        <f t="shared" si="8"/>
        <v>15561.158682634737</v>
      </c>
      <c r="T13">
        <f t="shared" si="9"/>
        <v>-4268.8445236853477</v>
      </c>
      <c r="U13">
        <v>13</v>
      </c>
      <c r="W13">
        <f t="shared" si="10"/>
        <v>15461.288726894034</v>
      </c>
      <c r="X13">
        <f t="shared" si="11"/>
        <v>35299.617368781051</v>
      </c>
    </row>
    <row r="14" spans="1:24" x14ac:dyDescent="0.35">
      <c r="A14">
        <v>14</v>
      </c>
      <c r="C14">
        <f t="shared" si="0"/>
        <v>87.826086956521792</v>
      </c>
      <c r="D14">
        <f t="shared" si="1"/>
        <v>7046.9637097606064</v>
      </c>
      <c r="E14">
        <v>14</v>
      </c>
      <c r="G14">
        <f t="shared" si="2"/>
        <v>87.826086956521792</v>
      </c>
      <c r="H14">
        <f t="shared" si="3"/>
        <v>19620.495285292785</v>
      </c>
      <c r="I14">
        <v>14</v>
      </c>
      <c r="K14">
        <f t="shared" si="4"/>
        <v>67.272727272727309</v>
      </c>
      <c r="L14">
        <f t="shared" si="5"/>
        <v>-9668.1181588719483</v>
      </c>
      <c r="M14">
        <v>14</v>
      </c>
      <c r="O14">
        <f t="shared" si="6"/>
        <v>67.272727272727309</v>
      </c>
      <c r="P14">
        <f t="shared" si="7"/>
        <v>30986.719138730426</v>
      </c>
      <c r="Q14">
        <v>14</v>
      </c>
      <c r="S14">
        <f t="shared" si="8"/>
        <v>16287.063872255498</v>
      </c>
      <c r="T14">
        <f t="shared" si="9"/>
        <v>-3484.7454089566163</v>
      </c>
      <c r="U14">
        <v>14</v>
      </c>
      <c r="W14">
        <f t="shared" si="10"/>
        <v>16188.946021001471</v>
      </c>
      <c r="X14">
        <f t="shared" si="11"/>
        <v>35968.382095171677</v>
      </c>
    </row>
    <row r="15" spans="1:24" x14ac:dyDescent="0.35">
      <c r="A15">
        <v>15</v>
      </c>
      <c r="C15">
        <f t="shared" si="0"/>
        <v>93.04347826086962</v>
      </c>
      <c r="D15">
        <f t="shared" si="1"/>
        <v>7939.7968059437162</v>
      </c>
      <c r="E15">
        <v>15</v>
      </c>
      <c r="G15">
        <f t="shared" si="2"/>
        <v>93.04347826086962</v>
      </c>
      <c r="H15">
        <f t="shared" si="3"/>
        <v>20085.449223736079</v>
      </c>
      <c r="I15">
        <v>15</v>
      </c>
      <c r="K15">
        <f t="shared" si="4"/>
        <v>70.909090909090963</v>
      </c>
      <c r="L15">
        <f t="shared" si="5"/>
        <v>-9139.2014945594819</v>
      </c>
      <c r="M15">
        <v>15</v>
      </c>
      <c r="O15">
        <f t="shared" si="6"/>
        <v>70.909090909090963</v>
      </c>
      <c r="P15">
        <f t="shared" si="7"/>
        <v>31404.138892490908</v>
      </c>
      <c r="Q15">
        <v>15</v>
      </c>
      <c r="S15">
        <f t="shared" si="8"/>
        <v>17012.969061876254</v>
      </c>
      <c r="T15">
        <f t="shared" si="9"/>
        <v>-2704.749654949268</v>
      </c>
      <c r="U15">
        <v>15</v>
      </c>
      <c r="W15">
        <f t="shared" si="10"/>
        <v>16916.603315108907</v>
      </c>
      <c r="X15">
        <f t="shared" si="11"/>
        <v>36641.265246929659</v>
      </c>
    </row>
    <row r="16" spans="1:24" x14ac:dyDescent="0.35">
      <c r="A16">
        <v>16</v>
      </c>
      <c r="C16">
        <f t="shared" si="0"/>
        <v>98.260869565217448</v>
      </c>
      <c r="D16">
        <f t="shared" si="1"/>
        <v>8827.8607882749966</v>
      </c>
      <c r="E16">
        <v>16</v>
      </c>
      <c r="G16">
        <f t="shared" si="2"/>
        <v>98.260869565217448</v>
      </c>
      <c r="H16">
        <f t="shared" si="3"/>
        <v>20555.172276031193</v>
      </c>
      <c r="I16">
        <v>16</v>
      </c>
      <c r="K16">
        <f t="shared" si="4"/>
        <v>74.545454545454589</v>
      </c>
      <c r="L16">
        <f t="shared" si="5"/>
        <v>-8611.902519903193</v>
      </c>
      <c r="M16">
        <v>16</v>
      </c>
      <c r="O16">
        <f t="shared" si="6"/>
        <v>74.545454545454589</v>
      </c>
      <c r="P16">
        <f t="shared" si="7"/>
        <v>31823.176335907567</v>
      </c>
      <c r="Q16">
        <v>16</v>
      </c>
      <c r="S16">
        <f t="shared" si="8"/>
        <v>17738.874251497014</v>
      </c>
      <c r="T16">
        <f t="shared" si="9"/>
        <v>-1928.8911170532083</v>
      </c>
      <c r="U16">
        <v>16</v>
      </c>
      <c r="W16">
        <f t="shared" si="10"/>
        <v>17644.260609216344</v>
      </c>
      <c r="X16">
        <f t="shared" si="11"/>
        <v>37318.301222186885</v>
      </c>
    </row>
    <row r="17" spans="1:24" x14ac:dyDescent="0.35">
      <c r="A17">
        <v>17</v>
      </c>
      <c r="C17">
        <f t="shared" si="0"/>
        <v>103.47826086956528</v>
      </c>
      <c r="D17">
        <f t="shared" si="1"/>
        <v>9710.6268709336691</v>
      </c>
      <c r="E17">
        <v>17</v>
      </c>
      <c r="G17">
        <f t="shared" si="2"/>
        <v>103.47826086956528</v>
      </c>
      <c r="H17">
        <f t="shared" si="3"/>
        <v>21030.193227998923</v>
      </c>
      <c r="I17">
        <v>17</v>
      </c>
      <c r="K17">
        <f t="shared" si="4"/>
        <v>78.181818181818244</v>
      </c>
      <c r="L17">
        <f t="shared" si="5"/>
        <v>-8086.2342624215817</v>
      </c>
      <c r="M17">
        <v>17</v>
      </c>
      <c r="O17">
        <f t="shared" si="6"/>
        <v>78.181818181818244</v>
      </c>
      <c r="P17">
        <f t="shared" si="7"/>
        <v>32243.844496498903</v>
      </c>
      <c r="Q17">
        <v>17</v>
      </c>
      <c r="S17">
        <f t="shared" si="8"/>
        <v>18464.779441117775</v>
      </c>
      <c r="T17">
        <f t="shared" si="9"/>
        <v>-1157.2013926844338</v>
      </c>
      <c r="U17">
        <v>17</v>
      </c>
      <c r="W17">
        <f t="shared" si="10"/>
        <v>18371.917903323782</v>
      </c>
      <c r="X17">
        <f t="shared" si="11"/>
        <v>37999.522152461592</v>
      </c>
    </row>
    <row r="18" spans="1:24" x14ac:dyDescent="0.35">
      <c r="A18">
        <v>18</v>
      </c>
      <c r="C18">
        <f t="shared" si="0"/>
        <v>108.6956521739131</v>
      </c>
      <c r="D18">
        <f t="shared" si="1"/>
        <v>10587.501757915023</v>
      </c>
      <c r="E18">
        <v>18</v>
      </c>
      <c r="G18">
        <f t="shared" si="2"/>
        <v>108.6956521739131</v>
      </c>
      <c r="H18">
        <f t="shared" si="3"/>
        <v>21511.105375643972</v>
      </c>
      <c r="I18">
        <v>18</v>
      </c>
      <c r="K18">
        <f t="shared" si="4"/>
        <v>81.81818181818187</v>
      </c>
      <c r="L18">
        <f t="shared" si="5"/>
        <v>-7562.2094911282475</v>
      </c>
      <c r="M18">
        <v>18</v>
      </c>
      <c r="O18">
        <f t="shared" si="6"/>
        <v>81.81818181818187</v>
      </c>
      <c r="P18">
        <f t="shared" si="7"/>
        <v>32666.156143278509</v>
      </c>
      <c r="Q18">
        <v>18</v>
      </c>
      <c r="S18">
        <f t="shared" si="8"/>
        <v>19190.684630738531</v>
      </c>
      <c r="T18">
        <f t="shared" si="9"/>
        <v>-389.70972548230566</v>
      </c>
      <c r="U18">
        <v>18</v>
      </c>
      <c r="W18">
        <f t="shared" si="10"/>
        <v>19099.575197431219</v>
      </c>
      <c r="X18">
        <f t="shared" si="11"/>
        <v>38684.957804990685</v>
      </c>
    </row>
    <row r="19" spans="1:24" x14ac:dyDescent="0.35">
      <c r="A19">
        <v>19</v>
      </c>
      <c r="C19">
        <f t="shared" si="0"/>
        <v>113.91304347826093</v>
      </c>
      <c r="D19">
        <f t="shared" si="1"/>
        <v>11457.821500070464</v>
      </c>
      <c r="E19">
        <v>19</v>
      </c>
      <c r="G19">
        <f t="shared" si="2"/>
        <v>113.91304347826093</v>
      </c>
      <c r="H19">
        <f t="shared" si="3"/>
        <v>21998.572668114924</v>
      </c>
      <c r="I19">
        <v>19</v>
      </c>
      <c r="K19">
        <f t="shared" si="4"/>
        <v>85.45454545454551</v>
      </c>
      <c r="L19">
        <f t="shared" si="5"/>
        <v>-7039.8407027325047</v>
      </c>
      <c r="M19">
        <v>19</v>
      </c>
      <c r="O19">
        <f t="shared" si="6"/>
        <v>85.45454545454551</v>
      </c>
      <c r="P19">
        <f t="shared" si="7"/>
        <v>33090.123772955718</v>
      </c>
      <c r="Q19">
        <v>19</v>
      </c>
      <c r="S19">
        <f t="shared" si="8"/>
        <v>19916.589820359291</v>
      </c>
      <c r="T19">
        <f t="shared" si="9"/>
        <v>373.5570848442112</v>
      </c>
      <c r="U19">
        <v>19</v>
      </c>
      <c r="W19">
        <f t="shared" si="10"/>
        <v>19827.232491538656</v>
      </c>
      <c r="X19">
        <f t="shared" si="11"/>
        <v>39374.63549070905</v>
      </c>
    </row>
    <row r="20" spans="1:24" x14ac:dyDescent="0.35">
      <c r="A20">
        <v>20</v>
      </c>
      <c r="C20">
        <f t="shared" si="0"/>
        <v>119.13043478260876</v>
      </c>
      <c r="D20">
        <f t="shared" si="1"/>
        <v>12320.845914013425</v>
      </c>
      <c r="E20">
        <v>20</v>
      </c>
      <c r="G20">
        <f t="shared" si="2"/>
        <v>119.13043478260876</v>
      </c>
      <c r="H20">
        <f t="shared" si="3"/>
        <v>22493.335288798367</v>
      </c>
      <c r="I20">
        <v>20</v>
      </c>
      <c r="K20">
        <f t="shared" si="4"/>
        <v>89.09090909090915</v>
      </c>
      <c r="L20">
        <f t="shared" si="5"/>
        <v>-6519.1401078821036</v>
      </c>
      <c r="M20">
        <v>20</v>
      </c>
      <c r="O20">
        <f t="shared" si="6"/>
        <v>89.09090909090915</v>
      </c>
      <c r="P20">
        <f t="shared" si="7"/>
        <v>33515.759596178264</v>
      </c>
      <c r="Q20">
        <v>20</v>
      </c>
      <c r="S20">
        <f t="shared" si="8"/>
        <v>20642.495009980052</v>
      </c>
      <c r="T20">
        <f t="shared" si="9"/>
        <v>1132.5747663970724</v>
      </c>
      <c r="U20">
        <v>20</v>
      </c>
      <c r="W20">
        <f t="shared" si="10"/>
        <v>20554.88978564609</v>
      </c>
      <c r="X20">
        <f t="shared" si="11"/>
        <v>40068.579978513793</v>
      </c>
    </row>
    <row r="21" spans="1:24" x14ac:dyDescent="0.35">
      <c r="A21">
        <v>21</v>
      </c>
      <c r="C21">
        <f t="shared" si="0"/>
        <v>124.34782608695659</v>
      </c>
      <c r="D21">
        <f t="shared" si="1"/>
        <v>13175.754218864442</v>
      </c>
      <c r="E21">
        <v>21</v>
      </c>
      <c r="G21">
        <f t="shared" si="2"/>
        <v>124.34782608695659</v>
      </c>
      <c r="H21">
        <f t="shared" si="3"/>
        <v>22996.214018573752</v>
      </c>
      <c r="I21">
        <v>21</v>
      </c>
      <c r="K21">
        <f t="shared" si="4"/>
        <v>92.727272727272791</v>
      </c>
      <c r="L21">
        <f t="shared" si="5"/>
        <v>-6000.1196174783836</v>
      </c>
      <c r="M21">
        <v>21</v>
      </c>
      <c r="O21">
        <f t="shared" si="6"/>
        <v>92.727272727272791</v>
      </c>
      <c r="P21">
        <f t="shared" si="7"/>
        <v>33943.075523847489</v>
      </c>
      <c r="Q21">
        <v>21</v>
      </c>
      <c r="S21">
        <f t="shared" si="8"/>
        <v>21368.400199600808</v>
      </c>
      <c r="T21">
        <f t="shared" si="9"/>
        <v>1887.3216521027316</v>
      </c>
      <c r="U21">
        <v>21</v>
      </c>
      <c r="W21">
        <f t="shared" si="10"/>
        <v>21282.547079753531</v>
      </c>
      <c r="X21">
        <f t="shared" si="11"/>
        <v>40766.813416421908</v>
      </c>
    </row>
    <row r="22" spans="1:24" x14ac:dyDescent="0.35">
      <c r="A22">
        <v>22</v>
      </c>
      <c r="C22">
        <f t="shared" si="0"/>
        <v>129.56521739130443</v>
      </c>
      <c r="D22">
        <f t="shared" si="1"/>
        <v>14021.64279629969</v>
      </c>
      <c r="E22">
        <v>22</v>
      </c>
      <c r="G22">
        <f t="shared" si="2"/>
        <v>129.56521739130443</v>
      </c>
      <c r="H22">
        <f t="shared" si="3"/>
        <v>23508.112475764909</v>
      </c>
      <c r="I22">
        <v>22</v>
      </c>
      <c r="K22">
        <f t="shared" si="4"/>
        <v>96.363636363636431</v>
      </c>
      <c r="L22">
        <f t="shared" si="5"/>
        <v>-5482.7908290957348</v>
      </c>
      <c r="M22">
        <v>22</v>
      </c>
      <c r="O22">
        <f t="shared" si="6"/>
        <v>96.363636363636431</v>
      </c>
      <c r="P22">
        <f t="shared" si="7"/>
        <v>34372.083153537787</v>
      </c>
      <c r="Q22">
        <v>22</v>
      </c>
      <c r="S22">
        <f t="shared" si="8"/>
        <v>22094.305389221568</v>
      </c>
      <c r="T22">
        <f t="shared" si="9"/>
        <v>2637.778749302608</v>
      </c>
      <c r="U22">
        <v>22</v>
      </c>
      <c r="W22">
        <f t="shared" si="10"/>
        <v>22010.204373860965</v>
      </c>
      <c r="X22">
        <f t="shared" si="11"/>
        <v>41469.355260192016</v>
      </c>
    </row>
    <row r="23" spans="1:24" x14ac:dyDescent="0.35">
      <c r="A23">
        <v>23</v>
      </c>
      <c r="C23">
        <f t="shared" si="0"/>
        <v>134.78260869565224</v>
      </c>
      <c r="D23">
        <f t="shared" si="1"/>
        <v>14857.526257321311</v>
      </c>
      <c r="E23">
        <v>23</v>
      </c>
      <c r="G23">
        <f t="shared" si="2"/>
        <v>134.78260869565224</v>
      </c>
      <c r="H23">
        <f t="shared" si="3"/>
        <v>24030.016049369682</v>
      </c>
      <c r="I23">
        <v>23</v>
      </c>
      <c r="K23">
        <f t="shared" si="4"/>
        <v>100.00000000000007</v>
      </c>
      <c r="L23">
        <f t="shared" si="5"/>
        <v>-4967.165013537262</v>
      </c>
      <c r="M23">
        <v>23</v>
      </c>
      <c r="O23">
        <f t="shared" si="6"/>
        <v>100.00000000000007</v>
      </c>
      <c r="P23">
        <f t="shared" si="7"/>
        <v>34802.793756052255</v>
      </c>
      <c r="Q23">
        <v>23</v>
      </c>
      <c r="S23">
        <f t="shared" si="8"/>
        <v>22820.210578842329</v>
      </c>
      <c r="T23">
        <f t="shared" si="9"/>
        <v>3383.9298014088963</v>
      </c>
      <c r="U23">
        <v>23</v>
      </c>
      <c r="W23">
        <f t="shared" si="10"/>
        <v>22737.861667968406</v>
      </c>
      <c r="X23">
        <f t="shared" si="11"/>
        <v>42176.222209936212</v>
      </c>
    </row>
    <row r="24" spans="1:24" x14ac:dyDescent="0.35">
      <c r="A24">
        <v>24</v>
      </c>
      <c r="C24">
        <f t="shared" si="0"/>
        <v>140.00000000000009</v>
      </c>
      <c r="D24">
        <f t="shared" si="1"/>
        <v>15682.343266324257</v>
      </c>
      <c r="E24">
        <v>24</v>
      </c>
      <c r="G24">
        <f t="shared" si="2"/>
        <v>140.00000000000009</v>
      </c>
      <c r="H24">
        <f t="shared" si="3"/>
        <v>24562.986074993139</v>
      </c>
      <c r="I24">
        <v>24</v>
      </c>
      <c r="K24">
        <f t="shared" si="4"/>
        <v>103.63636363636371</v>
      </c>
      <c r="L24">
        <f t="shared" si="5"/>
        <v>-4453.2531015595559</v>
      </c>
      <c r="M24">
        <v>24</v>
      </c>
      <c r="O24">
        <f t="shared" si="6"/>
        <v>103.63636363636371</v>
      </c>
      <c r="P24">
        <f t="shared" si="7"/>
        <v>35235.218262147493</v>
      </c>
      <c r="Q24">
        <v>24</v>
      </c>
      <c r="S24">
        <f t="shared" si="8"/>
        <v>23546.115768463085</v>
      </c>
      <c r="T24">
        <f t="shared" si="9"/>
        <v>4125.7613411657658</v>
      </c>
      <c r="U24">
        <v>24</v>
      </c>
      <c r="W24">
        <f t="shared" si="10"/>
        <v>23465.518962075839</v>
      </c>
      <c r="X24">
        <f t="shared" si="11"/>
        <v>42887.428155196532</v>
      </c>
    </row>
    <row r="25" spans="1:24" x14ac:dyDescent="0.35">
      <c r="A25">
        <v>25</v>
      </c>
      <c r="C25">
        <f t="shared" si="0"/>
        <v>145.21739130434793</v>
      </c>
      <c r="D25">
        <f t="shared" si="1"/>
        <v>16494.968756960239</v>
      </c>
      <c r="E25">
        <v>25</v>
      </c>
      <c r="G25">
        <f t="shared" si="2"/>
        <v>145.21739130434793</v>
      </c>
      <c r="H25">
        <f t="shared" si="3"/>
        <v>25108.147618983559</v>
      </c>
      <c r="I25">
        <v>25</v>
      </c>
      <c r="K25">
        <f t="shared" si="4"/>
        <v>107.27272727272735</v>
      </c>
      <c r="L25">
        <f t="shared" si="5"/>
        <v>-3941.0656707996495</v>
      </c>
      <c r="M25">
        <v>25</v>
      </c>
      <c r="O25">
        <f t="shared" si="6"/>
        <v>107.27272727272735</v>
      </c>
      <c r="P25">
        <f t="shared" si="7"/>
        <v>35669.367249460542</v>
      </c>
      <c r="Q25">
        <v>25</v>
      </c>
      <c r="S25">
        <f t="shared" si="8"/>
        <v>24272.020958083845</v>
      </c>
      <c r="T25">
        <f t="shared" si="9"/>
        <v>4863.2627351132069</v>
      </c>
      <c r="U25">
        <v>25</v>
      </c>
      <c r="W25">
        <f t="shared" si="10"/>
        <v>24193.17625618328</v>
      </c>
      <c r="X25">
        <f t="shared" si="11"/>
        <v>43602.984128902768</v>
      </c>
    </row>
    <row r="26" spans="1:24" x14ac:dyDescent="0.35">
      <c r="A26">
        <v>26</v>
      </c>
      <c r="C26">
        <f t="shared" si="0"/>
        <v>150.43478260869574</v>
      </c>
      <c r="D26">
        <f t="shared" si="1"/>
        <v>17294.234163536923</v>
      </c>
      <c r="E26">
        <v>26</v>
      </c>
      <c r="G26">
        <f t="shared" si="2"/>
        <v>150.43478260869574</v>
      </c>
      <c r="H26">
        <f t="shared" si="3"/>
        <v>25666.669247033271</v>
      </c>
      <c r="I26">
        <v>26</v>
      </c>
      <c r="K26">
        <f t="shared" si="4"/>
        <v>110.90909090909099</v>
      </c>
      <c r="L26">
        <f t="shared" si="5"/>
        <v>-3430.6129329376454</v>
      </c>
      <c r="M26">
        <v>26</v>
      </c>
      <c r="O26">
        <f t="shared" si="6"/>
        <v>110.90909090909099</v>
      </c>
      <c r="P26">
        <f t="shared" si="7"/>
        <v>36105.250929671485</v>
      </c>
      <c r="Q26">
        <v>26</v>
      </c>
      <c r="S26">
        <f t="shared" si="8"/>
        <v>24997.926147704602</v>
      </c>
      <c r="T26">
        <f t="shared" si="9"/>
        <v>5596.426218913537</v>
      </c>
      <c r="U26">
        <v>26</v>
      </c>
      <c r="W26">
        <f t="shared" si="10"/>
        <v>24920.833550290714</v>
      </c>
      <c r="X26">
        <f t="shared" si="11"/>
        <v>44322.898270564765</v>
      </c>
    </row>
    <row r="27" spans="1:24" x14ac:dyDescent="0.35">
      <c r="A27">
        <v>27</v>
      </c>
      <c r="C27">
        <f t="shared" si="0"/>
        <v>155.65217391304358</v>
      </c>
      <c r="D27">
        <f t="shared" si="1"/>
        <v>18078.956942984827</v>
      </c>
      <c r="E27">
        <v>27</v>
      </c>
      <c r="G27">
        <f t="shared" si="2"/>
        <v>155.65217391304358</v>
      </c>
      <c r="H27">
        <f t="shared" si="3"/>
        <v>26239.733502211777</v>
      </c>
      <c r="I27">
        <v>27</v>
      </c>
      <c r="K27">
        <f t="shared" si="4"/>
        <v>114.54545454545463</v>
      </c>
      <c r="L27">
        <f t="shared" si="5"/>
        <v>-2921.9047211286452</v>
      </c>
      <c r="M27">
        <v>27</v>
      </c>
      <c r="O27">
        <f t="shared" si="6"/>
        <v>114.54545454545463</v>
      </c>
      <c r="P27">
        <f t="shared" si="7"/>
        <v>36542.879135935429</v>
      </c>
      <c r="Q27">
        <v>27</v>
      </c>
      <c r="S27">
        <f t="shared" si="8"/>
        <v>25723.831337325362</v>
      </c>
      <c r="T27">
        <f t="shared" si="9"/>
        <v>6325.2469232683652</v>
      </c>
      <c r="U27">
        <v>27</v>
      </c>
      <c r="W27">
        <f t="shared" si="10"/>
        <v>25648.490844398155</v>
      </c>
      <c r="X27">
        <f t="shared" si="11"/>
        <v>45047.175798984259</v>
      </c>
    </row>
    <row r="28" spans="1:24" x14ac:dyDescent="0.35">
      <c r="A28">
        <v>28</v>
      </c>
      <c r="C28">
        <f t="shared" si="0"/>
        <v>160.8695652173914</v>
      </c>
      <c r="D28">
        <f t="shared" si="1"/>
        <v>18847.979833023135</v>
      </c>
      <c r="E28">
        <v>28</v>
      </c>
      <c r="G28">
        <f t="shared" si="2"/>
        <v>160.8695652173914</v>
      </c>
      <c r="H28">
        <f t="shared" si="3"/>
        <v>26828.497646799864</v>
      </c>
      <c r="I28">
        <v>28</v>
      </c>
      <c r="K28">
        <f t="shared" si="4"/>
        <v>118.18181818181827</v>
      </c>
      <c r="L28">
        <f t="shared" si="5"/>
        <v>-2414.9504777376496</v>
      </c>
      <c r="M28">
        <v>28</v>
      </c>
      <c r="O28">
        <f t="shared" si="6"/>
        <v>118.18181818181827</v>
      </c>
      <c r="P28">
        <f t="shared" si="7"/>
        <v>36982.261310617374</v>
      </c>
      <c r="Q28">
        <v>28</v>
      </c>
      <c r="S28">
        <f t="shared" si="8"/>
        <v>26449.736526946122</v>
      </c>
      <c r="T28">
        <f t="shared" si="9"/>
        <v>7049.7228902247261</v>
      </c>
      <c r="U28">
        <v>28</v>
      </c>
      <c r="W28">
        <f t="shared" si="10"/>
        <v>26376.148138505589</v>
      </c>
      <c r="X28">
        <f t="shared" si="11"/>
        <v>45775.818994698733</v>
      </c>
    </row>
    <row r="29" spans="1:24" x14ac:dyDescent="0.35">
      <c r="A29">
        <v>29</v>
      </c>
      <c r="C29">
        <f t="shared" si="0"/>
        <v>166.08695652173924</v>
      </c>
      <c r="D29">
        <f t="shared" si="1"/>
        <v>19600.218905920527</v>
      </c>
      <c r="E29">
        <v>29</v>
      </c>
      <c r="G29">
        <f t="shared" si="2"/>
        <v>166.08695652173924</v>
      </c>
      <c r="H29">
        <f t="shared" si="3"/>
        <v>27434.045608528875</v>
      </c>
      <c r="I29">
        <v>29</v>
      </c>
      <c r="K29">
        <f t="shared" si="4"/>
        <v>121.81818181818191</v>
      </c>
      <c r="L29">
        <f t="shared" si="5"/>
        <v>-1909.7592424109389</v>
      </c>
      <c r="M29">
        <v>29</v>
      </c>
      <c r="O29">
        <f t="shared" si="6"/>
        <v>121.81818181818191</v>
      </c>
      <c r="P29">
        <f t="shared" si="7"/>
        <v>37423.406493363611</v>
      </c>
      <c r="Q29">
        <v>29</v>
      </c>
      <c r="S29">
        <f t="shared" si="8"/>
        <v>27175.641716566879</v>
      </c>
      <c r="T29">
        <f t="shared" si="9"/>
        <v>7769.8550797432399</v>
      </c>
      <c r="U29">
        <v>29</v>
      </c>
      <c r="W29">
        <f t="shared" si="10"/>
        <v>27103.805432613022</v>
      </c>
      <c r="X29">
        <f t="shared" si="11"/>
        <v>46508.827192295139</v>
      </c>
    </row>
    <row r="30" spans="1:24" x14ac:dyDescent="0.35">
      <c r="A30">
        <v>30</v>
      </c>
      <c r="C30">
        <f t="shared" si="0"/>
        <v>171.30434782608705</v>
      </c>
      <c r="D30">
        <f t="shared" si="1"/>
        <v>20334.717617283943</v>
      </c>
      <c r="E30">
        <v>30</v>
      </c>
      <c r="G30">
        <f t="shared" si="2"/>
        <v>171.30434782608705</v>
      </c>
      <c r="H30">
        <f t="shared" si="3"/>
        <v>28057.333931791854</v>
      </c>
      <c r="I30">
        <v>30</v>
      </c>
      <c r="K30">
        <f t="shared" si="4"/>
        <v>125.45454545454555</v>
      </c>
      <c r="L30">
        <f t="shared" si="5"/>
        <v>-1406.3396405171516</v>
      </c>
      <c r="M30">
        <v>30</v>
      </c>
      <c r="O30">
        <f t="shared" si="6"/>
        <v>125.45454545454555</v>
      </c>
      <c r="P30">
        <f t="shared" si="7"/>
        <v>37866.323309542771</v>
      </c>
      <c r="Q30">
        <v>30</v>
      </c>
      <c r="S30">
        <f t="shared" si="8"/>
        <v>27901.546906187639</v>
      </c>
      <c r="T30">
        <f t="shared" si="9"/>
        <v>8485.6473664770092</v>
      </c>
      <c r="U30">
        <v>30</v>
      </c>
      <c r="W30">
        <f t="shared" si="10"/>
        <v>27831.462726720463</v>
      </c>
      <c r="X30">
        <f t="shared" si="11"/>
        <v>47246.196782653496</v>
      </c>
    </row>
    <row r="31" spans="1:24" x14ac:dyDescent="0.35">
      <c r="A31">
        <v>31</v>
      </c>
      <c r="C31">
        <f t="shared" si="0"/>
        <v>176.5217391304349</v>
      </c>
      <c r="D31">
        <f t="shared" si="1"/>
        <v>21050.702039267893</v>
      </c>
      <c r="E31">
        <v>31</v>
      </c>
      <c r="G31">
        <f t="shared" si="2"/>
        <v>176.5217391304349</v>
      </c>
      <c r="H31">
        <f t="shared" si="3"/>
        <v>28699.136544434306</v>
      </c>
      <c r="I31">
        <v>31</v>
      </c>
      <c r="K31">
        <f t="shared" si="4"/>
        <v>129.09090909090918</v>
      </c>
      <c r="L31">
        <f t="shared" si="5"/>
        <v>-904.69987199098978</v>
      </c>
      <c r="M31">
        <v>31</v>
      </c>
      <c r="O31">
        <f t="shared" si="6"/>
        <v>129.09090909090918</v>
      </c>
      <c r="P31">
        <f t="shared" si="7"/>
        <v>38311.01995908955</v>
      </c>
      <c r="Q31">
        <v>31</v>
      </c>
      <c r="S31">
        <f t="shared" si="8"/>
        <v>28627.452095808399</v>
      </c>
      <c r="T31">
        <f t="shared" si="9"/>
        <v>9197.1065267863778</v>
      </c>
      <c r="U31">
        <v>31</v>
      </c>
      <c r="W31">
        <f t="shared" si="10"/>
        <v>28559.120020827897</v>
      </c>
      <c r="X31">
        <f t="shared" si="11"/>
        <v>47987.921225102895</v>
      </c>
    </row>
    <row r="32" spans="1:24" x14ac:dyDescent="0.35">
      <c r="A32">
        <v>32</v>
      </c>
      <c r="C32">
        <f t="shared" si="0"/>
        <v>181.73913043478271</v>
      </c>
      <c r="D32">
        <f t="shared" si="1"/>
        <v>21747.630873068472</v>
      </c>
      <c r="E32">
        <v>32</v>
      </c>
      <c r="G32">
        <f t="shared" si="2"/>
        <v>181.73913043478271</v>
      </c>
      <c r="H32">
        <f t="shared" si="3"/>
        <v>29359.99474526013</v>
      </c>
      <c r="I32">
        <v>32</v>
      </c>
      <c r="K32">
        <f t="shared" si="4"/>
        <v>132.72727272727283</v>
      </c>
      <c r="L32">
        <f t="shared" si="5"/>
        <v>-404.84770061154995</v>
      </c>
      <c r="M32">
        <v>32</v>
      </c>
      <c r="O32">
        <f t="shared" si="6"/>
        <v>132.72727272727283</v>
      </c>
      <c r="P32">
        <f t="shared" si="7"/>
        <v>38757.504205783058</v>
      </c>
      <c r="Q32">
        <v>32</v>
      </c>
      <c r="S32">
        <f t="shared" si="8"/>
        <v>29353.357285429156</v>
      </c>
      <c r="T32">
        <f t="shared" si="9"/>
        <v>9904.2422160909664</v>
      </c>
      <c r="U32">
        <v>32</v>
      </c>
      <c r="W32">
        <f t="shared" si="10"/>
        <v>29286.777314935338</v>
      </c>
      <c r="X32">
        <f t="shared" si="11"/>
        <v>48733.991069394659</v>
      </c>
    </row>
    <row r="33" spans="1:24" x14ac:dyDescent="0.35">
      <c r="A33">
        <v>33</v>
      </c>
      <c r="C33">
        <f t="shared" ref="C33:C64" si="12">20+(A33-1)*5.21739130434783</f>
        <v>186.95652173913055</v>
      </c>
      <c r="D33">
        <f t="shared" ref="D33:D64" si="13">1905.68862275449+130.12125748503*C33-19021.8146804871*(0.04+(C33-184)^2/133600)^0.5</f>
        <v>22425.233320348976</v>
      </c>
      <c r="E33">
        <v>33</v>
      </c>
      <c r="G33">
        <f t="shared" ref="G33:G64" si="14">20+(E33-1)*5.21739130434783</f>
        <v>186.95652173913055</v>
      </c>
      <c r="H33">
        <f t="shared" ref="H33:H64" si="15">1905.68862275449+130.12125748503*G33+19021.8146804871*(0.04+(G33-184)^2/133600)^0.5</f>
        <v>30040.179332606029</v>
      </c>
      <c r="I33">
        <v>33</v>
      </c>
      <c r="K33">
        <f t="shared" ref="K33:K64" si="16">20+(I33-1)*3.63636363636364</f>
        <v>136.36363636363649</v>
      </c>
      <c r="L33">
        <f t="shared" ref="L33:L64" si="17">1905.68862275449+130.12125748503*K33-19021.8146804871*(1.04+(K33-184)^2/133600)^0.5</f>
        <v>93.209556252972106</v>
      </c>
      <c r="M33">
        <v>33</v>
      </c>
      <c r="O33">
        <f t="shared" ref="O33:O64" si="18">20+(M33-1)*3.63636363636364</f>
        <v>136.36363636363649</v>
      </c>
      <c r="P33">
        <f t="shared" ref="P33:P64" si="19">1905.68862275449+130.12125748503*O33+19021.8146804871*(1.04+(O33-184)^2/133600)^0.5</f>
        <v>39205.783366991491</v>
      </c>
      <c r="Q33">
        <v>33</v>
      </c>
      <c r="S33">
        <f t="shared" ref="S33:S64" si="20">6850.29640718563+(Q33-1)*725.905189620759</f>
        <v>30079.262475049916</v>
      </c>
      <c r="T33">
        <f t="shared" ref="T33:T64" si="21">0+1*S33-19021.8146804871*(1.04+(S33-25848)^2/2262053964.37126)^0.5</f>
        <v>10607.066936735093</v>
      </c>
      <c r="U33">
        <v>33</v>
      </c>
      <c r="W33">
        <f t="shared" ref="W33:W64" si="22">6729.40119760479+(U33-1)*727.657294107437</f>
        <v>30014.434609042772</v>
      </c>
      <c r="X33">
        <f t="shared" ref="X33:X64" si="23">0+1*W33+19021.8146804871*(1.04+(W33-25848)^2/2262053964.37126)^0.5</f>
        <v>49484.393987320596</v>
      </c>
    </row>
    <row r="34" spans="1:24" x14ac:dyDescent="0.35">
      <c r="A34">
        <v>34</v>
      </c>
      <c r="C34">
        <f t="shared" si="12"/>
        <v>192.17391304347839</v>
      </c>
      <c r="D34">
        <f t="shared" si="13"/>
        <v>23083.528935335551</v>
      </c>
      <c r="E34">
        <v>34</v>
      </c>
      <c r="G34">
        <f t="shared" si="14"/>
        <v>192.17391304347839</v>
      </c>
      <c r="H34">
        <f t="shared" si="15"/>
        <v>30739.670752245856</v>
      </c>
      <c r="I34">
        <v>34</v>
      </c>
      <c r="K34">
        <f t="shared" si="16"/>
        <v>140.00000000000011</v>
      </c>
      <c r="L34">
        <f t="shared" si="17"/>
        <v>589.46503740391199</v>
      </c>
      <c r="M34">
        <v>34</v>
      </c>
      <c r="O34">
        <f t="shared" si="18"/>
        <v>140.00000000000011</v>
      </c>
      <c r="P34">
        <f t="shared" si="19"/>
        <v>39655.864303913491</v>
      </c>
      <c r="Q34">
        <v>34</v>
      </c>
      <c r="S34">
        <f t="shared" si="20"/>
        <v>30805.167664670676</v>
      </c>
      <c r="T34">
        <f t="shared" si="21"/>
        <v>11305.595996614909</v>
      </c>
      <c r="U34">
        <v>34</v>
      </c>
      <c r="W34">
        <f t="shared" si="22"/>
        <v>30742.091903150213</v>
      </c>
      <c r="X34">
        <f t="shared" si="23"/>
        <v>50239.114813730877</v>
      </c>
    </row>
    <row r="35" spans="1:24" x14ac:dyDescent="0.35">
      <c r="A35">
        <v>35</v>
      </c>
      <c r="C35">
        <f t="shared" si="12"/>
        <v>197.39130434782621</v>
      </c>
      <c r="D35">
        <f t="shared" si="13"/>
        <v>23722.826170929446</v>
      </c>
      <c r="E35">
        <v>35</v>
      </c>
      <c r="G35">
        <f t="shared" si="14"/>
        <v>197.39130434782621</v>
      </c>
      <c r="H35">
        <f t="shared" si="15"/>
        <v>31458.160551278357</v>
      </c>
      <c r="I35">
        <v>35</v>
      </c>
      <c r="K35">
        <f t="shared" si="16"/>
        <v>143.63636363636374</v>
      </c>
      <c r="L35">
        <f t="shared" si="17"/>
        <v>1083.9123470444647</v>
      </c>
      <c r="M35">
        <v>35</v>
      </c>
      <c r="O35">
        <f t="shared" si="18"/>
        <v>143.63636363636374</v>
      </c>
      <c r="P35">
        <f t="shared" si="19"/>
        <v>40107.753412345875</v>
      </c>
      <c r="Q35">
        <v>35</v>
      </c>
      <c r="S35">
        <f t="shared" si="20"/>
        <v>31531.072854291433</v>
      </c>
      <c r="T35">
        <f t="shared" si="21"/>
        <v>11999.847458884607</v>
      </c>
      <c r="U35">
        <v>35</v>
      </c>
      <c r="W35">
        <f t="shared" si="22"/>
        <v>31469.749197257646</v>
      </c>
      <c r="X35">
        <f t="shared" si="23"/>
        <v>50998.13559663506</v>
      </c>
    </row>
    <row r="36" spans="1:24" x14ac:dyDescent="0.35">
      <c r="A36">
        <v>36</v>
      </c>
      <c r="C36">
        <f t="shared" si="12"/>
        <v>202.60869565217405</v>
      </c>
      <c r="D36">
        <f t="shared" si="13"/>
        <v>24343.699864177255</v>
      </c>
      <c r="E36">
        <v>36</v>
      </c>
      <c r="G36">
        <f t="shared" si="14"/>
        <v>202.60869565217405</v>
      </c>
      <c r="H36">
        <f t="shared" si="15"/>
        <v>32195.07389265695</v>
      </c>
      <c r="I36">
        <v>36</v>
      </c>
      <c r="K36">
        <f t="shared" si="16"/>
        <v>147.27272727272739</v>
      </c>
      <c r="L36">
        <f t="shared" si="17"/>
        <v>1576.5455634575046</v>
      </c>
      <c r="M36">
        <v>36</v>
      </c>
      <c r="O36">
        <f t="shared" si="18"/>
        <v>147.27272727272739</v>
      </c>
      <c r="P36">
        <f t="shared" si="19"/>
        <v>40561.456614005794</v>
      </c>
      <c r="Q36">
        <v>36</v>
      </c>
      <c r="S36">
        <f t="shared" si="20"/>
        <v>32256.978043912193</v>
      </c>
      <c r="T36">
        <f t="shared" si="21"/>
        <v>12689.842083123462</v>
      </c>
      <c r="U36">
        <v>36</v>
      </c>
      <c r="W36">
        <f t="shared" si="22"/>
        <v>32197.406491365087</v>
      </c>
      <c r="X36">
        <f t="shared" si="23"/>
        <v>51761.435656003756</v>
      </c>
    </row>
    <row r="37" spans="1:24" x14ac:dyDescent="0.35">
      <c r="A37">
        <v>37</v>
      </c>
      <c r="C37">
        <f t="shared" si="12"/>
        <v>207.82608695652186</v>
      </c>
      <c r="D37">
        <f t="shared" si="13"/>
        <v>24946.95136656777</v>
      </c>
      <c r="E37">
        <v>37</v>
      </c>
      <c r="G37">
        <f t="shared" si="14"/>
        <v>207.82608695652186</v>
      </c>
      <c r="H37">
        <f t="shared" si="15"/>
        <v>32949.609424892842</v>
      </c>
      <c r="I37">
        <v>37</v>
      </c>
      <c r="K37">
        <f t="shared" si="16"/>
        <v>150.90909090909102</v>
      </c>
      <c r="L37">
        <f t="shared" si="17"/>
        <v>2067.359247101951</v>
      </c>
      <c r="M37">
        <v>37</v>
      </c>
      <c r="O37">
        <f t="shared" si="18"/>
        <v>150.90909090909102</v>
      </c>
      <c r="P37">
        <f t="shared" si="19"/>
        <v>41016.979348434288</v>
      </c>
      <c r="Q37">
        <v>37</v>
      </c>
      <c r="S37">
        <f t="shared" si="20"/>
        <v>32982.883233532957</v>
      </c>
      <c r="T37">
        <f t="shared" si="21"/>
        <v>13375.603258404732</v>
      </c>
      <c r="U37">
        <v>37</v>
      </c>
      <c r="W37">
        <f t="shared" si="22"/>
        <v>32925.063785472521</v>
      </c>
      <c r="X37">
        <f t="shared" si="23"/>
        <v>52528.991650827433</v>
      </c>
    </row>
    <row r="38" spans="1:24" x14ac:dyDescent="0.35">
      <c r="A38">
        <v>38</v>
      </c>
      <c r="C38">
        <f t="shared" si="12"/>
        <v>213.0434782608697</v>
      </c>
      <c r="D38">
        <f t="shared" si="13"/>
        <v>25533.557432290298</v>
      </c>
      <c r="E38">
        <v>38</v>
      </c>
      <c r="G38">
        <f t="shared" si="14"/>
        <v>213.0434782608697</v>
      </c>
      <c r="H38">
        <f t="shared" si="15"/>
        <v>33720.790393796713</v>
      </c>
      <c r="I38">
        <v>38</v>
      </c>
      <c r="K38">
        <f t="shared" si="16"/>
        <v>154.54545454545467</v>
      </c>
      <c r="L38">
        <f t="shared" si="17"/>
        <v>2556.3484481024789</v>
      </c>
      <c r="M38">
        <v>38</v>
      </c>
      <c r="O38">
        <f t="shared" si="18"/>
        <v>154.54545454545467</v>
      </c>
      <c r="P38">
        <f t="shared" si="19"/>
        <v>41474.326565506708</v>
      </c>
      <c r="Q38">
        <v>38</v>
      </c>
      <c r="S38">
        <f t="shared" si="20"/>
        <v>33708.78842315371</v>
      </c>
      <c r="T38">
        <f t="shared" si="21"/>
        <v>14057.156928761116</v>
      </c>
      <c r="U38">
        <v>38</v>
      </c>
      <c r="W38">
        <f t="shared" si="22"/>
        <v>33652.721079579962</v>
      </c>
      <c r="X38">
        <f t="shared" si="23"/>
        <v>53300.777653933757</v>
      </c>
    </row>
    <row r="39" spans="1:24" x14ac:dyDescent="0.35">
      <c r="A39">
        <v>39</v>
      </c>
      <c r="C39">
        <f t="shared" si="12"/>
        <v>218.26086956521752</v>
      </c>
      <c r="D39">
        <f t="shared" si="13"/>
        <v>26104.61479949225</v>
      </c>
      <c r="E39">
        <v>39</v>
      </c>
      <c r="G39">
        <f t="shared" si="14"/>
        <v>218.26086956521752</v>
      </c>
      <c r="H39">
        <f t="shared" si="15"/>
        <v>34507.520061221156</v>
      </c>
      <c r="I39">
        <v>39</v>
      </c>
      <c r="K39">
        <f t="shared" si="16"/>
        <v>158.1818181818183</v>
      </c>
      <c r="L39">
        <f t="shared" si="17"/>
        <v>3043.5087131086511</v>
      </c>
      <c r="M39">
        <v>39</v>
      </c>
      <c r="O39">
        <f t="shared" si="18"/>
        <v>158.1818181818183</v>
      </c>
      <c r="P39">
        <f t="shared" si="19"/>
        <v>41933.50271857348</v>
      </c>
      <c r="Q39">
        <v>39</v>
      </c>
      <c r="S39">
        <f t="shared" si="20"/>
        <v>34434.69361277447</v>
      </c>
      <c r="T39">
        <f t="shared" si="21"/>
        <v>14734.531511588419</v>
      </c>
      <c r="U39">
        <v>39</v>
      </c>
      <c r="W39">
        <f t="shared" si="22"/>
        <v>34380.378373687396</v>
      </c>
      <c r="X39">
        <f t="shared" si="23"/>
        <v>54076.765234016333</v>
      </c>
    </row>
    <row r="40" spans="1:24" x14ac:dyDescent="0.35">
      <c r="A40">
        <v>40</v>
      </c>
      <c r="C40">
        <f t="shared" si="12"/>
        <v>223.47826086956536</v>
      </c>
      <c r="D40">
        <f t="shared" si="13"/>
        <v>26661.286705392922</v>
      </c>
      <c r="E40">
        <v>40</v>
      </c>
      <c r="G40">
        <f t="shared" si="14"/>
        <v>223.47826086956536</v>
      </c>
      <c r="H40">
        <f t="shared" si="15"/>
        <v>35308.635189946886</v>
      </c>
      <c r="I40">
        <v>40</v>
      </c>
      <c r="K40">
        <f t="shared" si="16"/>
        <v>161.81818181818196</v>
      </c>
      <c r="L40">
        <f t="shared" si="17"/>
        <v>3528.836091501802</v>
      </c>
      <c r="M40">
        <v>40</v>
      </c>
      <c r="O40">
        <f t="shared" si="18"/>
        <v>161.81818181818196</v>
      </c>
      <c r="P40">
        <f t="shared" si="19"/>
        <v>42394.511758253284</v>
      </c>
      <c r="Q40">
        <v>40</v>
      </c>
      <c r="S40">
        <f t="shared" si="20"/>
        <v>35160.59880239523</v>
      </c>
      <c r="T40">
        <f t="shared" si="21"/>
        <v>15407.757809568971</v>
      </c>
      <c r="U40">
        <v>40</v>
      </c>
      <c r="W40">
        <f t="shared" si="22"/>
        <v>35108.035667794829</v>
      </c>
      <c r="X40">
        <f t="shared" si="23"/>
        <v>54856.923544286299</v>
      </c>
    </row>
    <row r="41" spans="1:24" x14ac:dyDescent="0.35">
      <c r="A41">
        <v>41</v>
      </c>
      <c r="C41">
        <f t="shared" si="12"/>
        <v>228.69565217391317</v>
      </c>
      <c r="D41">
        <f t="shared" si="13"/>
        <v>27204.755887547399</v>
      </c>
      <c r="E41">
        <v>41</v>
      </c>
      <c r="G41">
        <f t="shared" si="14"/>
        <v>228.69565217391317</v>
      </c>
      <c r="H41">
        <f t="shared" si="15"/>
        <v>36122.953042418805</v>
      </c>
      <c r="I41">
        <v>41</v>
      </c>
      <c r="K41">
        <f t="shared" si="16"/>
        <v>165.45454545454558</v>
      </c>
      <c r="L41">
        <f t="shared" si="17"/>
        <v>4012.3271409294612</v>
      </c>
      <c r="M41">
        <v>41</v>
      </c>
      <c r="O41">
        <f t="shared" si="18"/>
        <v>165.45454545454558</v>
      </c>
      <c r="P41">
        <f t="shared" si="19"/>
        <v>42857.357126898562</v>
      </c>
      <c r="Q41">
        <v>41</v>
      </c>
      <c r="S41">
        <f t="shared" si="20"/>
        <v>35886.503992015991</v>
      </c>
      <c r="T41">
        <f t="shared" si="21"/>
        <v>16076.868916729694</v>
      </c>
      <c r="U41">
        <v>41</v>
      </c>
      <c r="W41">
        <f t="shared" si="22"/>
        <v>35835.69296190227</v>
      </c>
      <c r="X41">
        <f t="shared" si="23"/>
        <v>55641.219417123997</v>
      </c>
    </row>
    <row r="42" spans="1:24" x14ac:dyDescent="0.35">
      <c r="A42">
        <v>42</v>
      </c>
      <c r="C42">
        <f t="shared" si="12"/>
        <v>233.91304347826102</v>
      </c>
      <c r="D42">
        <f t="shared" si="13"/>
        <v>27736.186605382194</v>
      </c>
      <c r="E42">
        <v>42</v>
      </c>
      <c r="G42">
        <f t="shared" si="14"/>
        <v>233.91304347826102</v>
      </c>
      <c r="H42">
        <f t="shared" si="15"/>
        <v>36949.309359210412</v>
      </c>
      <c r="I42">
        <v>42</v>
      </c>
      <c r="K42">
        <f t="shared" si="16"/>
        <v>169.09090909090924</v>
      </c>
      <c r="L42">
        <f t="shared" si="17"/>
        <v>4493.9789321496137</v>
      </c>
      <c r="M42">
        <v>42</v>
      </c>
      <c r="O42">
        <f t="shared" si="18"/>
        <v>169.09090909090924</v>
      </c>
      <c r="P42">
        <f t="shared" si="19"/>
        <v>43322.041753751364</v>
      </c>
      <c r="Q42">
        <v>42</v>
      </c>
      <c r="S42">
        <f t="shared" si="20"/>
        <v>36612.409181636751</v>
      </c>
      <c r="T42">
        <f t="shared" si="21"/>
        <v>16741.90011927464</v>
      </c>
      <c r="U42">
        <v>42</v>
      </c>
      <c r="W42">
        <f t="shared" si="22"/>
        <v>36563.350256009704</v>
      </c>
      <c r="X42">
        <f t="shared" si="23"/>
        <v>56429.617464081428</v>
      </c>
    </row>
    <row r="43" spans="1:24" x14ac:dyDescent="0.35">
      <c r="A43">
        <v>43</v>
      </c>
      <c r="C43">
        <f t="shared" si="12"/>
        <v>239.13043478260886</v>
      </c>
      <c r="D43">
        <f t="shared" si="13"/>
        <v>28256.696406400926</v>
      </c>
      <c r="E43">
        <v>43</v>
      </c>
      <c r="G43">
        <f t="shared" si="14"/>
        <v>239.13043478260886</v>
      </c>
      <c r="H43">
        <f t="shared" si="15"/>
        <v>37786.586592818101</v>
      </c>
      <c r="I43">
        <v>43</v>
      </c>
      <c r="K43">
        <f t="shared" si="16"/>
        <v>172.72727272727286</v>
      </c>
      <c r="L43">
        <f t="shared" si="17"/>
        <v>4973.7890531687372</v>
      </c>
      <c r="M43">
        <v>43</v>
      </c>
      <c r="O43">
        <f t="shared" si="18"/>
        <v>172.72727272727286</v>
      </c>
      <c r="P43">
        <f t="shared" si="19"/>
        <v>43788.568050805181</v>
      </c>
      <c r="Q43">
        <v>43</v>
      </c>
      <c r="S43">
        <f t="shared" si="20"/>
        <v>37338.314371257511</v>
      </c>
      <c r="T43">
        <f t="shared" si="21"/>
        <v>17402.888791850331</v>
      </c>
      <c r="U43">
        <v>43</v>
      </c>
      <c r="W43">
        <f t="shared" si="22"/>
        <v>37291.007550117145</v>
      </c>
      <c r="X43">
        <f t="shared" si="23"/>
        <v>57222.080180567486</v>
      </c>
    </row>
    <row r="44" spans="1:24" x14ac:dyDescent="0.35">
      <c r="A44">
        <v>44</v>
      </c>
      <c r="C44">
        <f t="shared" si="12"/>
        <v>244.34782608695667</v>
      </c>
      <c r="D44">
        <f t="shared" si="13"/>
        <v>28767.337049139904</v>
      </c>
      <c r="E44">
        <v>44</v>
      </c>
      <c r="G44">
        <f t="shared" si="14"/>
        <v>244.34782608695667</v>
      </c>
      <c r="H44">
        <f t="shared" si="15"/>
        <v>38633.732984705515</v>
      </c>
      <c r="I44">
        <v>44</v>
      </c>
      <c r="K44">
        <f t="shared" si="16"/>
        <v>176.36363636363652</v>
      </c>
      <c r="L44">
        <f t="shared" si="17"/>
        <v>5451.7556126602976</v>
      </c>
      <c r="M44">
        <v>44</v>
      </c>
      <c r="O44">
        <f t="shared" si="18"/>
        <v>176.36363636363652</v>
      </c>
      <c r="P44">
        <f t="shared" si="19"/>
        <v>44256.937909386572</v>
      </c>
      <c r="Q44">
        <v>44</v>
      </c>
      <c r="S44">
        <f t="shared" si="20"/>
        <v>38064.219560878264</v>
      </c>
      <c r="T44">
        <f t="shared" si="21"/>
        <v>18059.874289912375</v>
      </c>
      <c r="U44">
        <v>44</v>
      </c>
      <c r="W44">
        <f t="shared" si="22"/>
        <v>38018.664844224579</v>
      </c>
      <c r="X44">
        <f t="shared" si="23"/>
        <v>58018.56805453611</v>
      </c>
    </row>
    <row r="45" spans="1:24" x14ac:dyDescent="0.35">
      <c r="A45">
        <v>45</v>
      </c>
      <c r="C45">
        <f t="shared" si="12"/>
        <v>249.56521739130451</v>
      </c>
      <c r="D45">
        <f t="shared" si="13"/>
        <v>29269.08323637116</v>
      </c>
      <c r="E45">
        <v>45</v>
      </c>
      <c r="G45">
        <f t="shared" si="14"/>
        <v>249.56521739130451</v>
      </c>
      <c r="H45">
        <f t="shared" si="15"/>
        <v>39489.773832100655</v>
      </c>
      <c r="I45">
        <v>45</v>
      </c>
      <c r="K45">
        <f t="shared" si="16"/>
        <v>180.00000000000014</v>
      </c>
      <c r="L45">
        <f t="shared" si="17"/>
        <v>5927.87724265215</v>
      </c>
      <c r="M45">
        <v>45</v>
      </c>
      <c r="O45">
        <f t="shared" si="18"/>
        <v>180.00000000000014</v>
      </c>
      <c r="P45">
        <f t="shared" si="19"/>
        <v>44727.152697467667</v>
      </c>
      <c r="Q45">
        <v>45</v>
      </c>
      <c r="S45">
        <f t="shared" si="20"/>
        <v>38790.124750499024</v>
      </c>
      <c r="T45">
        <f t="shared" si="21"/>
        <v>18712.89783886568</v>
      </c>
      <c r="U45">
        <v>45</v>
      </c>
      <c r="W45">
        <f t="shared" si="22"/>
        <v>38746.32213833202</v>
      </c>
      <c r="X45">
        <f t="shared" si="23"/>
        <v>58819.03967849422</v>
      </c>
    </row>
    <row r="46" spans="1:24" x14ac:dyDescent="0.35">
      <c r="A46">
        <v>46</v>
      </c>
      <c r="C46">
        <f t="shared" si="12"/>
        <v>254.78260869565233</v>
      </c>
      <c r="D46">
        <f t="shared" si="13"/>
        <v>29762.827517182341</v>
      </c>
      <c r="E46">
        <v>46</v>
      </c>
      <c r="G46">
        <f t="shared" si="14"/>
        <v>254.78260869565233</v>
      </c>
      <c r="H46">
        <f t="shared" si="15"/>
        <v>40353.816585915869</v>
      </c>
      <c r="I46">
        <v>46</v>
      </c>
      <c r="K46">
        <f t="shared" si="16"/>
        <v>183.6363636363638</v>
      </c>
      <c r="L46">
        <f t="shared" si="17"/>
        <v>6402.1531004742246</v>
      </c>
      <c r="M46">
        <v>46</v>
      </c>
      <c r="O46">
        <f t="shared" si="18"/>
        <v>183.6363636363638</v>
      </c>
      <c r="P46">
        <f t="shared" si="19"/>
        <v>45199.21325771854</v>
      </c>
      <c r="Q46">
        <v>46</v>
      </c>
      <c r="S46">
        <f t="shared" si="20"/>
        <v>39516.029940119784</v>
      </c>
      <c r="T46">
        <f t="shared" si="21"/>
        <v>19362.002420646695</v>
      </c>
      <c r="U46">
        <v>46</v>
      </c>
      <c r="W46">
        <f t="shared" si="22"/>
        <v>39473.979432439453</v>
      </c>
      <c r="X46">
        <f t="shared" si="23"/>
        <v>59623.451864148505</v>
      </c>
    </row>
    <row r="47" spans="1:24" x14ac:dyDescent="0.35">
      <c r="A47">
        <v>47</v>
      </c>
      <c r="C47">
        <f t="shared" si="12"/>
        <v>260.00000000000017</v>
      </c>
      <c r="D47">
        <f t="shared" si="13"/>
        <v>30249.379739536122</v>
      </c>
      <c r="E47">
        <v>47</v>
      </c>
      <c r="G47">
        <f t="shared" si="14"/>
        <v>260.00000000000017</v>
      </c>
      <c r="H47">
        <f t="shared" si="15"/>
        <v>41225.051398188501</v>
      </c>
      <c r="I47">
        <v>47</v>
      </c>
      <c r="K47">
        <f t="shared" si="16"/>
        <v>187.27272727272742</v>
      </c>
      <c r="L47">
        <f t="shared" si="17"/>
        <v>6874.5828699598569</v>
      </c>
      <c r="M47">
        <v>47</v>
      </c>
      <c r="O47">
        <f t="shared" si="18"/>
        <v>187.27272727272742</v>
      </c>
      <c r="P47">
        <f t="shared" si="19"/>
        <v>45673.119906305845</v>
      </c>
      <c r="Q47">
        <v>47</v>
      </c>
      <c r="S47">
        <f t="shared" si="20"/>
        <v>40241.935129740545</v>
      </c>
      <c r="T47">
        <f t="shared" si="21"/>
        <v>20007.232658406574</v>
      </c>
      <c r="U47">
        <v>47</v>
      </c>
      <c r="W47">
        <f t="shared" si="22"/>
        <v>40201.636726546894</v>
      </c>
      <c r="X47">
        <f t="shared" si="23"/>
        <v>60431.759759020853</v>
      </c>
    </row>
    <row r="48" spans="1:24" x14ac:dyDescent="0.35">
      <c r="A48">
        <v>48</v>
      </c>
      <c r="C48">
        <f t="shared" si="12"/>
        <v>265.21739130434798</v>
      </c>
      <c r="D48">
        <f t="shared" si="13"/>
        <v>30729.46963551642</v>
      </c>
      <c r="E48">
        <v>48</v>
      </c>
      <c r="G48">
        <f t="shared" si="14"/>
        <v>265.21739130434798</v>
      </c>
      <c r="H48">
        <f t="shared" si="15"/>
        <v>42102.748536834595</v>
      </c>
      <c r="I48">
        <v>48</v>
      </c>
      <c r="K48">
        <f t="shared" si="16"/>
        <v>190.90909090909108</v>
      </c>
      <c r="L48">
        <f t="shared" si="17"/>
        <v>7345.166761896864</v>
      </c>
      <c r="M48">
        <v>48</v>
      </c>
      <c r="O48">
        <f t="shared" si="18"/>
        <v>190.90909090909108</v>
      </c>
      <c r="P48">
        <f t="shared" si="19"/>
        <v>46148.872432441793</v>
      </c>
      <c r="Q48">
        <v>48</v>
      </c>
      <c r="S48">
        <f t="shared" si="20"/>
        <v>40967.840319361305</v>
      </c>
      <c r="T48">
        <f t="shared" si="21"/>
        <v>20648.63469993796</v>
      </c>
      <c r="U48">
        <v>48</v>
      </c>
      <c r="W48">
        <f t="shared" si="22"/>
        <v>40929.294020654328</v>
      </c>
      <c r="X48">
        <f t="shared" si="23"/>
        <v>61243.916964377058</v>
      </c>
    </row>
    <row r="49" spans="1:24" x14ac:dyDescent="0.35">
      <c r="A49">
        <v>49</v>
      </c>
      <c r="C49">
        <f t="shared" si="12"/>
        <v>270.43478260869585</v>
      </c>
      <c r="D49">
        <f t="shared" si="13"/>
        <v>31203.751393433547</v>
      </c>
      <c r="E49">
        <v>49</v>
      </c>
      <c r="G49">
        <f t="shared" si="14"/>
        <v>270.43478260869585</v>
      </c>
      <c r="H49">
        <f t="shared" si="15"/>
        <v>42986.253813543881</v>
      </c>
      <c r="I49">
        <v>49</v>
      </c>
      <c r="K49">
        <f t="shared" si="16"/>
        <v>194.5454545454547</v>
      </c>
      <c r="L49">
        <f t="shared" si="17"/>
        <v>7813.9055137267533</v>
      </c>
      <c r="M49">
        <v>49</v>
      </c>
      <c r="O49">
        <f t="shared" si="18"/>
        <v>194.5454545454547</v>
      </c>
      <c r="P49">
        <f t="shared" si="19"/>
        <v>46626.470098684847</v>
      </c>
      <c r="Q49">
        <v>49</v>
      </c>
      <c r="S49">
        <f t="shared" si="20"/>
        <v>41693.745508982065</v>
      </c>
      <c r="T49">
        <f t="shared" si="21"/>
        <v>21286.256100466693</v>
      </c>
      <c r="U49">
        <v>49</v>
      </c>
      <c r="W49">
        <f t="shared" si="22"/>
        <v>41656.951314761769</v>
      </c>
      <c r="X49">
        <f t="shared" si="23"/>
        <v>62059.875653835843</v>
      </c>
    </row>
    <row r="50" spans="1:24" x14ac:dyDescent="0.35">
      <c r="A50">
        <v>50</v>
      </c>
      <c r="C50">
        <f t="shared" si="12"/>
        <v>275.65217391304367</v>
      </c>
      <c r="D50">
        <f t="shared" si="13"/>
        <v>31672.80934677643</v>
      </c>
      <c r="E50">
        <v>50</v>
      </c>
      <c r="G50">
        <f t="shared" si="14"/>
        <v>275.65217391304367</v>
      </c>
      <c r="H50">
        <f t="shared" si="15"/>
        <v>43874.982894827386</v>
      </c>
      <c r="I50">
        <v>50</v>
      </c>
      <c r="K50">
        <f t="shared" si="16"/>
        <v>198.18181818181836</v>
      </c>
      <c r="L50">
        <f t="shared" si="17"/>
        <v>8280.8003884932659</v>
      </c>
      <c r="M50">
        <v>50</v>
      </c>
      <c r="O50">
        <f t="shared" si="18"/>
        <v>198.18181818181836</v>
      </c>
      <c r="P50">
        <f t="shared" si="19"/>
        <v>47105.911641991275</v>
      </c>
      <c r="Q50">
        <v>50</v>
      </c>
      <c r="S50">
        <f t="shared" si="20"/>
        <v>42419.650698602825</v>
      </c>
      <c r="T50">
        <f t="shared" si="21"/>
        <v>21920.145705403724</v>
      </c>
      <c r="U50">
        <v>50</v>
      </c>
      <c r="W50">
        <f t="shared" si="22"/>
        <v>42384.608608869203</v>
      </c>
      <c r="X50">
        <f t="shared" si="23"/>
        <v>62879.586692050914</v>
      </c>
    </row>
    <row r="51" spans="1:24" x14ac:dyDescent="0.35">
      <c r="A51">
        <v>51</v>
      </c>
      <c r="C51">
        <f t="shared" si="12"/>
        <v>280.86956521739148</v>
      </c>
      <c r="D51">
        <f t="shared" si="13"/>
        <v>32137.16415409305</v>
      </c>
      <c r="E51">
        <v>51</v>
      </c>
      <c r="G51">
        <f t="shared" si="14"/>
        <v>280.86956521739148</v>
      </c>
      <c r="H51">
        <f t="shared" si="15"/>
        <v>44768.415122137165</v>
      </c>
      <c r="I51">
        <v>51</v>
      </c>
      <c r="K51">
        <f t="shared" si="16"/>
        <v>201.81818181818198</v>
      </c>
      <c r="L51">
        <f t="shared" si="17"/>
        <v>8745.8531730434988</v>
      </c>
      <c r="M51">
        <v>51</v>
      </c>
      <c r="O51">
        <f t="shared" si="18"/>
        <v>201.81818181818198</v>
      </c>
      <c r="P51">
        <f t="shared" si="19"/>
        <v>47587.195275513986</v>
      </c>
      <c r="Q51">
        <v>51</v>
      </c>
      <c r="S51">
        <f t="shared" si="20"/>
        <v>43145.555888223578</v>
      </c>
      <c r="T51">
        <f t="shared" si="21"/>
        <v>22550.353533621957</v>
      </c>
      <c r="U51">
        <v>51</v>
      </c>
      <c r="W51">
        <f t="shared" si="22"/>
        <v>43112.265902976644</v>
      </c>
      <c r="X51">
        <f t="shared" si="23"/>
        <v>63702.999752890268</v>
      </c>
    </row>
    <row r="52" spans="1:24" x14ac:dyDescent="0.35">
      <c r="A52">
        <v>52</v>
      </c>
      <c r="C52">
        <f t="shared" si="12"/>
        <v>286.0869565217393</v>
      </c>
      <c r="D52">
        <f t="shared" si="13"/>
        <v>32597.279042527334</v>
      </c>
      <c r="E52">
        <v>52</v>
      </c>
      <c r="G52">
        <f t="shared" si="14"/>
        <v>286.0869565217393</v>
      </c>
      <c r="H52">
        <f t="shared" si="15"/>
        <v>45666.087268329276</v>
      </c>
      <c r="I52">
        <v>52</v>
      </c>
      <c r="K52">
        <f t="shared" si="16"/>
        <v>205.45454545454564</v>
      </c>
      <c r="L52">
        <f t="shared" si="17"/>
        <v>9209.0661754878165</v>
      </c>
      <c r="M52">
        <v>52</v>
      </c>
      <c r="O52">
        <f t="shared" si="18"/>
        <v>205.45454545454564</v>
      </c>
      <c r="P52">
        <f t="shared" si="19"/>
        <v>48070.318691142624</v>
      </c>
      <c r="Q52">
        <v>52</v>
      </c>
      <c r="S52">
        <f t="shared" si="20"/>
        <v>43871.461077844338</v>
      </c>
      <c r="T52">
        <f t="shared" si="21"/>
        <v>23176.930661788814</v>
      </c>
      <c r="U52">
        <v>52</v>
      </c>
      <c r="W52">
        <f t="shared" si="22"/>
        <v>43839.923197084077</v>
      </c>
      <c r="X52">
        <f t="shared" si="23"/>
        <v>64530.063436570636</v>
      </c>
    </row>
    <row r="53" spans="1:24" x14ac:dyDescent="0.35">
      <c r="A53">
        <v>53</v>
      </c>
      <c r="C53">
        <f t="shared" si="12"/>
        <v>291.30434782608717</v>
      </c>
      <c r="D53">
        <f t="shared" si="13"/>
        <v>33053.565840058654</v>
      </c>
      <c r="E53">
        <v>53</v>
      </c>
      <c r="G53">
        <f t="shared" si="14"/>
        <v>291.30434782608717</v>
      </c>
      <c r="H53">
        <f t="shared" si="15"/>
        <v>46567.587505424366</v>
      </c>
      <c r="I53">
        <v>53</v>
      </c>
      <c r="K53">
        <f t="shared" si="16"/>
        <v>209.09090909090926</v>
      </c>
      <c r="L53">
        <f t="shared" si="17"/>
        <v>9670.4422219267253</v>
      </c>
      <c r="M53">
        <v>53</v>
      </c>
      <c r="O53">
        <f t="shared" si="18"/>
        <v>209.09090909090926</v>
      </c>
      <c r="P53">
        <f t="shared" si="19"/>
        <v>48555.279062776652</v>
      </c>
      <c r="Q53">
        <v>53</v>
      </c>
      <c r="S53">
        <f t="shared" si="20"/>
        <v>44597.366267465099</v>
      </c>
      <c r="T53">
        <f t="shared" si="21"/>
        <v>23799.929110248533</v>
      </c>
      <c r="U53">
        <v>53</v>
      </c>
      <c r="W53">
        <f t="shared" si="22"/>
        <v>44567.580491191518</v>
      </c>
      <c r="X53">
        <f t="shared" si="23"/>
        <v>65360.72538524316</v>
      </c>
    </row>
    <row r="54" spans="1:24" x14ac:dyDescent="0.35">
      <c r="A54">
        <v>54</v>
      </c>
      <c r="C54">
        <f t="shared" si="12"/>
        <v>296.52173913043498</v>
      </c>
      <c r="D54">
        <f t="shared" si="13"/>
        <v>33506.390632916766</v>
      </c>
      <c r="E54">
        <v>54</v>
      </c>
      <c r="G54">
        <f t="shared" si="14"/>
        <v>296.52173913043498</v>
      </c>
      <c r="H54">
        <f t="shared" si="15"/>
        <v>47472.54974719265</v>
      </c>
      <c r="I54">
        <v>54</v>
      </c>
      <c r="K54">
        <f t="shared" si="16"/>
        <v>212.72727272727292</v>
      </c>
      <c r="L54">
        <f t="shared" si="17"/>
        <v>10129.984652455751</v>
      </c>
      <c r="M54">
        <v>54</v>
      </c>
      <c r="O54">
        <f t="shared" si="18"/>
        <v>212.72727272727292</v>
      </c>
      <c r="P54">
        <f t="shared" si="19"/>
        <v>49042.073050320578</v>
      </c>
      <c r="Q54">
        <v>54</v>
      </c>
      <c r="S54">
        <f t="shared" si="20"/>
        <v>45323.271457085859</v>
      </c>
      <c r="T54">
        <f t="shared" si="21"/>
        <v>24419.401730909252</v>
      </c>
      <c r="U54">
        <v>54</v>
      </c>
      <c r="W54">
        <f t="shared" si="22"/>
        <v>45295.237785298952</v>
      </c>
      <c r="X54">
        <f t="shared" si="23"/>
        <v>66194.932396565244</v>
      </c>
    </row>
    <row r="55" spans="1:24" x14ac:dyDescent="0.35">
      <c r="A55">
        <v>55</v>
      </c>
      <c r="C55">
        <f t="shared" si="12"/>
        <v>301.73913043478279</v>
      </c>
      <c r="D55">
        <f t="shared" si="13"/>
        <v>33956.078962873253</v>
      </c>
      <c r="E55">
        <v>55</v>
      </c>
      <c r="G55">
        <f t="shared" si="14"/>
        <v>301.73913043478279</v>
      </c>
      <c r="H55">
        <f t="shared" si="15"/>
        <v>48380.648451862558</v>
      </c>
      <c r="I55">
        <v>55</v>
      </c>
      <c r="K55">
        <f t="shared" si="16"/>
        <v>216.36363636363654</v>
      </c>
      <c r="L55">
        <f t="shared" si="17"/>
        <v>10587.697316461246</v>
      </c>
      <c r="M55">
        <v>55</v>
      </c>
      <c r="O55">
        <f t="shared" si="18"/>
        <v>216.36363636363654</v>
      </c>
      <c r="P55">
        <f t="shared" si="19"/>
        <v>49530.696804388033</v>
      </c>
      <c r="Q55">
        <v>55</v>
      </c>
      <c r="S55">
        <f t="shared" si="20"/>
        <v>46049.176646706619</v>
      </c>
      <c r="T55">
        <f t="shared" si="21"/>
        <v>25035.402097549126</v>
      </c>
      <c r="U55">
        <v>55</v>
      </c>
      <c r="W55">
        <f t="shared" si="22"/>
        <v>46022.895079406386</v>
      </c>
      <c r="X55">
        <f t="shared" si="23"/>
        <v>67032.630534835684</v>
      </c>
    </row>
    <row r="56" spans="1:24" x14ac:dyDescent="0.35">
      <c r="A56">
        <v>56</v>
      </c>
      <c r="C56">
        <f t="shared" si="12"/>
        <v>306.95652173913061</v>
      </c>
      <c r="D56">
        <f t="shared" si="13"/>
        <v>34402.920531862146</v>
      </c>
      <c r="E56">
        <v>56</v>
      </c>
      <c r="G56">
        <f t="shared" si="14"/>
        <v>306.95652173913061</v>
      </c>
      <c r="H56">
        <f t="shared" si="15"/>
        <v>49291.593917500075</v>
      </c>
      <c r="I56">
        <v>56</v>
      </c>
      <c r="K56">
        <f t="shared" si="16"/>
        <v>220.0000000000002</v>
      </c>
      <c r="L56">
        <f t="shared" si="17"/>
        <v>11043.584567222599</v>
      </c>
      <c r="M56">
        <v>56</v>
      </c>
      <c r="O56">
        <f t="shared" si="18"/>
        <v>220.0000000000002</v>
      </c>
      <c r="P56">
        <f t="shared" si="19"/>
        <v>50021.145971699625</v>
      </c>
      <c r="Q56">
        <v>56</v>
      </c>
      <c r="S56">
        <f t="shared" si="20"/>
        <v>46775.081836327379</v>
      </c>
      <c r="T56">
        <f t="shared" si="21"/>
        <v>25647.984398914414</v>
      </c>
      <c r="U56">
        <v>56</v>
      </c>
      <c r="W56">
        <f t="shared" si="22"/>
        <v>46750.552373513827</v>
      </c>
      <c r="X56">
        <f t="shared" si="23"/>
        <v>67873.765239311833</v>
      </c>
    </row>
    <row r="57" spans="1:24" x14ac:dyDescent="0.35">
      <c r="A57">
        <v>57</v>
      </c>
      <c r="C57">
        <f t="shared" si="12"/>
        <v>312.17391304347848</v>
      </c>
      <c r="D57">
        <f t="shared" si="13"/>
        <v>34847.173415392848</v>
      </c>
      <c r="E57">
        <v>57</v>
      </c>
      <c r="G57">
        <f t="shared" si="14"/>
        <v>312.17391304347848</v>
      </c>
      <c r="H57">
        <f t="shared" si="15"/>
        <v>50205.128068595783</v>
      </c>
      <c r="I57">
        <v>57</v>
      </c>
      <c r="K57">
        <f t="shared" si="16"/>
        <v>223.63636363636382</v>
      </c>
      <c r="L57">
        <f t="shared" si="17"/>
        <v>11497.651255838322</v>
      </c>
      <c r="M57">
        <v>57</v>
      </c>
      <c r="O57">
        <f t="shared" si="18"/>
        <v>223.63636363636382</v>
      </c>
      <c r="P57">
        <f t="shared" si="19"/>
        <v>50513.415701156846</v>
      </c>
      <c r="Q57">
        <v>57</v>
      </c>
      <c r="S57">
        <f t="shared" si="20"/>
        <v>47500.987025948132</v>
      </c>
      <c r="T57">
        <f t="shared" si="21"/>
        <v>26257.203334940325</v>
      </c>
      <c r="U57">
        <v>57</v>
      </c>
      <c r="W57">
        <f t="shared" si="22"/>
        <v>47478.20966762126</v>
      </c>
      <c r="X57">
        <f t="shared" si="23"/>
        <v>68718.281429370778</v>
      </c>
    </row>
    <row r="58" spans="1:24" x14ac:dyDescent="0.35">
      <c r="A58">
        <v>58</v>
      </c>
      <c r="C58">
        <f t="shared" si="12"/>
        <v>317.39130434782629</v>
      </c>
      <c r="D58">
        <f t="shared" si="13"/>
        <v>35289.067806911</v>
      </c>
      <c r="E58">
        <v>58</v>
      </c>
      <c r="G58">
        <f t="shared" si="14"/>
        <v>317.39130434782629</v>
      </c>
      <c r="H58">
        <f t="shared" si="15"/>
        <v>51121.020711704026</v>
      </c>
      <c r="I58">
        <v>58</v>
      </c>
      <c r="K58">
        <f t="shared" si="16"/>
        <v>227.27272727272748</v>
      </c>
      <c r="L58">
        <f t="shared" si="17"/>
        <v>11949.902724495663</v>
      </c>
      <c r="M58">
        <v>58</v>
      </c>
      <c r="O58">
        <f t="shared" si="18"/>
        <v>227.27272727272748</v>
      </c>
      <c r="P58">
        <f t="shared" si="19"/>
        <v>51007.50065057246</v>
      </c>
      <c r="Q58">
        <v>58</v>
      </c>
      <c r="S58">
        <f t="shared" si="20"/>
        <v>48226.892215568892</v>
      </c>
      <c r="T58">
        <f t="shared" si="21"/>
        <v>26863.114016383639</v>
      </c>
      <c r="U58">
        <v>58</v>
      </c>
      <c r="W58">
        <f t="shared" si="22"/>
        <v>48205.866961728701</v>
      </c>
      <c r="X58">
        <f t="shared" si="23"/>
        <v>69566.123606218855</v>
      </c>
    </row>
    <row r="59" spans="1:24" x14ac:dyDescent="0.35">
      <c r="A59">
        <v>59</v>
      </c>
      <c r="C59">
        <f t="shared" si="12"/>
        <v>322.60869565217411</v>
      </c>
      <c r="D59">
        <f t="shared" si="13"/>
        <v>35728.809326782488</v>
      </c>
      <c r="E59">
        <v>59</v>
      </c>
      <c r="G59">
        <f t="shared" si="14"/>
        <v>322.60869565217411</v>
      </c>
      <c r="H59">
        <f t="shared" si="15"/>
        <v>52039.066226458934</v>
      </c>
      <c r="I59">
        <v>59</v>
      </c>
      <c r="K59">
        <f t="shared" si="16"/>
        <v>230.90909090909111</v>
      </c>
      <c r="L59">
        <f t="shared" si="17"/>
        <v>12400.344799105194</v>
      </c>
      <c r="M59">
        <v>59</v>
      </c>
      <c r="O59">
        <f t="shared" si="18"/>
        <v>230.90909090909111</v>
      </c>
      <c r="P59">
        <f t="shared" si="19"/>
        <v>51503.394994035865</v>
      </c>
      <c r="Q59">
        <v>59</v>
      </c>
      <c r="S59">
        <f t="shared" si="20"/>
        <v>48952.797405189653</v>
      </c>
      <c r="T59">
        <f t="shared" si="21"/>
        <v>27465.771868114902</v>
      </c>
      <c r="U59">
        <v>59</v>
      </c>
      <c r="W59">
        <f t="shared" si="22"/>
        <v>48933.524255836135</v>
      </c>
      <c r="X59">
        <f t="shared" si="23"/>
        <v>70417.235950896298</v>
      </c>
    </row>
    <row r="60" spans="1:24" x14ac:dyDescent="0.35">
      <c r="A60">
        <v>60</v>
      </c>
      <c r="C60">
        <f t="shared" si="12"/>
        <v>327.82608695652198</v>
      </c>
      <c r="D60">
        <f t="shared" si="13"/>
        <v>36166.581934972884</v>
      </c>
      <c r="E60">
        <v>60</v>
      </c>
      <c r="G60">
        <f t="shared" si="14"/>
        <v>327.82608695652198</v>
      </c>
      <c r="H60">
        <f t="shared" si="15"/>
        <v>52959.080652894947</v>
      </c>
      <c r="I60">
        <v>60</v>
      </c>
      <c r="K60">
        <f t="shared" si="16"/>
        <v>234.54545454545476</v>
      </c>
      <c r="L60">
        <f t="shared" si="17"/>
        <v>12848.983781323786</v>
      </c>
      <c r="M60">
        <v>60</v>
      </c>
      <c r="O60">
        <f t="shared" si="18"/>
        <v>234.54545454545476</v>
      </c>
      <c r="P60">
        <f t="shared" si="19"/>
        <v>52001.092429890225</v>
      </c>
      <c r="Q60">
        <v>60</v>
      </c>
      <c r="S60">
        <f t="shared" si="20"/>
        <v>49678.702594810413</v>
      </c>
      <c r="T60">
        <f t="shared" si="21"/>
        <v>28065.232536277756</v>
      </c>
      <c r="U60">
        <v>60</v>
      </c>
      <c r="W60">
        <f t="shared" si="22"/>
        <v>49661.181549943576</v>
      </c>
      <c r="X60">
        <f t="shared" si="23"/>
        <v>71271.562418364352</v>
      </c>
    </row>
    <row r="61" spans="1:24" x14ac:dyDescent="0.35">
      <c r="A61">
        <v>61</v>
      </c>
      <c r="C61">
        <f t="shared" si="12"/>
        <v>333.04347826086979</v>
      </c>
      <c r="D61">
        <f t="shared" si="13"/>
        <v>36602.550487946639</v>
      </c>
      <c r="E61">
        <v>61</v>
      </c>
      <c r="G61">
        <f t="shared" si="14"/>
        <v>333.04347826086979</v>
      </c>
      <c r="H61">
        <f t="shared" si="15"/>
        <v>53880.899134547588</v>
      </c>
      <c r="I61">
        <v>61</v>
      </c>
      <c r="K61">
        <f t="shared" si="16"/>
        <v>238.18181818181839</v>
      </c>
      <c r="L61">
        <f t="shared" si="17"/>
        <v>13295.826439990982</v>
      </c>
      <c r="M61">
        <v>61</v>
      </c>
      <c r="O61">
        <f t="shared" si="18"/>
        <v>238.18181818181839</v>
      </c>
      <c r="P61">
        <f t="shared" si="19"/>
        <v>52500.58618929598</v>
      </c>
      <c r="Q61">
        <v>61</v>
      </c>
      <c r="S61">
        <f t="shared" si="20"/>
        <v>50404.607784431173</v>
      </c>
      <c r="T61">
        <f t="shared" si="21"/>
        <v>28661.551799484194</v>
      </c>
      <c r="U61">
        <v>61</v>
      </c>
      <c r="W61">
        <f t="shared" si="22"/>
        <v>50388.83884405101</v>
      </c>
      <c r="X61">
        <f t="shared" si="23"/>
        <v>72129.046827502112</v>
      </c>
    </row>
    <row r="62" spans="1:24" x14ac:dyDescent="0.35">
      <c r="A62">
        <v>62</v>
      </c>
      <c r="C62">
        <f t="shared" si="12"/>
        <v>338.2608695652176</v>
      </c>
      <c r="D62">
        <f t="shared" si="13"/>
        <v>37036.862979333098</v>
      </c>
      <c r="E62">
        <v>62</v>
      </c>
      <c r="G62">
        <f t="shared" si="14"/>
        <v>338.2608695652176</v>
      </c>
      <c r="H62">
        <f t="shared" si="15"/>
        <v>54804.373677787524</v>
      </c>
      <c r="I62">
        <v>62</v>
      </c>
      <c r="K62">
        <f t="shared" si="16"/>
        <v>241.81818181818204</v>
      </c>
      <c r="L62">
        <f t="shared" si="17"/>
        <v>13740.880002005302</v>
      </c>
      <c r="M62">
        <v>62</v>
      </c>
      <c r="O62">
        <f t="shared" si="18"/>
        <v>241.81818181818204</v>
      </c>
      <c r="P62">
        <f t="shared" si="19"/>
        <v>53001.869045354601</v>
      </c>
      <c r="Q62">
        <v>62</v>
      </c>
      <c r="S62">
        <f t="shared" si="20"/>
        <v>51130.512974051933</v>
      </c>
      <c r="T62">
        <f t="shared" si="21"/>
        <v>29254.78548417733</v>
      </c>
      <c r="U62">
        <v>62</v>
      </c>
      <c r="W62">
        <f t="shared" si="22"/>
        <v>51116.496138158451</v>
      </c>
      <c r="X62">
        <f t="shared" si="23"/>
        <v>72989.632946878352</v>
      </c>
    </row>
    <row r="63" spans="1:24" x14ac:dyDescent="0.35">
      <c r="A63">
        <v>63</v>
      </c>
      <c r="C63">
        <f t="shared" si="12"/>
        <v>343.47826086956542</v>
      </c>
      <c r="D63">
        <f t="shared" si="13"/>
        <v>37469.65250152981</v>
      </c>
      <c r="E63">
        <v>63</v>
      </c>
      <c r="G63">
        <f t="shared" si="14"/>
        <v>343.47826086956542</v>
      </c>
      <c r="H63">
        <f t="shared" si="15"/>
        <v>55729.371190217207</v>
      </c>
      <c r="I63">
        <v>63</v>
      </c>
      <c r="K63">
        <f t="shared" si="16"/>
        <v>245.45454545454567</v>
      </c>
      <c r="L63">
        <f t="shared" si="17"/>
        <v>14184.15214266866</v>
      </c>
      <c r="M63">
        <v>63</v>
      </c>
      <c r="O63">
        <f t="shared" si="18"/>
        <v>245.45454545454567</v>
      </c>
      <c r="P63">
        <f t="shared" si="19"/>
        <v>53504.933322764184</v>
      </c>
      <c r="Q63">
        <v>63</v>
      </c>
      <c r="S63">
        <f t="shared" si="20"/>
        <v>51856.418163672686</v>
      </c>
      <c r="T63">
        <f t="shared" si="21"/>
        <v>29844.989384258166</v>
      </c>
      <c r="U63">
        <v>63</v>
      </c>
      <c r="W63">
        <f t="shared" si="22"/>
        <v>51844.153432265884</v>
      </c>
      <c r="X63">
        <f t="shared" si="23"/>
        <v>73853.264576199115</v>
      </c>
    </row>
    <row r="64" spans="1:24" x14ac:dyDescent="0.35">
      <c r="A64">
        <v>64</v>
      </c>
      <c r="C64">
        <f t="shared" si="12"/>
        <v>348.69565217391329</v>
      </c>
      <c r="D64">
        <f t="shared" si="13"/>
        <v>37901.038962319944</v>
      </c>
      <c r="E64">
        <v>64</v>
      </c>
      <c r="G64">
        <f t="shared" si="14"/>
        <v>348.69565217391329</v>
      </c>
      <c r="H64">
        <f t="shared" si="15"/>
        <v>56655.771764053483</v>
      </c>
      <c r="I64">
        <v>64</v>
      </c>
      <c r="K64">
        <f t="shared" si="16"/>
        <v>249.09090909090932</v>
      </c>
      <c r="L64">
        <f t="shared" si="17"/>
        <v>14625.650975527886</v>
      </c>
      <c r="M64">
        <v>64</v>
      </c>
      <c r="O64">
        <f t="shared" si="18"/>
        <v>249.09090909090932</v>
      </c>
      <c r="P64">
        <f t="shared" si="19"/>
        <v>54009.770907977916</v>
      </c>
      <c r="Q64">
        <v>64</v>
      </c>
      <c r="S64">
        <f t="shared" si="20"/>
        <v>52582.323353293446</v>
      </c>
      <c r="T64">
        <f t="shared" si="21"/>
        <v>30432.219185039834</v>
      </c>
      <c r="U64">
        <v>64</v>
      </c>
      <c r="W64">
        <f t="shared" si="22"/>
        <v>52571.810726373325</v>
      </c>
      <c r="X64">
        <f t="shared" si="23"/>
        <v>74719.885623366004</v>
      </c>
    </row>
    <row r="65" spans="1:24" x14ac:dyDescent="0.35">
      <c r="A65">
        <v>65</v>
      </c>
      <c r="C65">
        <f t="shared" ref="C65:C70" si="24">20+(A65-1)*5.21739130434783</f>
        <v>353.9130434782611</v>
      </c>
      <c r="D65">
        <f t="shared" ref="D65:D70" si="25">1905.68862275449+130.12125748503*C65-19021.8146804871*(0.04+(C65-184)^2/133600)^0.5</f>
        <v>38331.1305872101</v>
      </c>
      <c r="E65">
        <v>65</v>
      </c>
      <c r="G65">
        <f t="shared" ref="G65:G70" si="26">20+(E65-1)*5.21739130434783</f>
        <v>353.9130434782611</v>
      </c>
      <c r="H65">
        <f t="shared" ref="H65:H70" si="27">1905.68862275449+130.12125748503*G65+19021.8146804871*(0.04+(G65-184)^2/133600)^0.5</f>
        <v>57583.467173789722</v>
      </c>
      <c r="I65">
        <v>65</v>
      </c>
      <c r="K65">
        <f t="shared" ref="K65:K100" si="28">20+(I65-1)*3.63636363636364</f>
        <v>252.72727272727295</v>
      </c>
      <c r="L65">
        <f t="shared" ref="L65:L96" si="29">1905.68862275449+130.12125748503*K65-19021.8146804871*(1.04+(K65-184)^2/133600)^0.5</f>
        <v>15065.385041743881</v>
      </c>
      <c r="M65">
        <v>65</v>
      </c>
      <c r="O65">
        <f t="shared" ref="O65:O100" si="30">20+(M65-1)*3.63636363636364</f>
        <v>252.72727272727295</v>
      </c>
      <c r="P65">
        <f t="shared" ref="P65:P96" si="31">1905.68862275449+130.12125748503*O65+19021.8146804871*(1.04+(O65-184)^2/133600)^0.5</f>
        <v>54516.373259834858</v>
      </c>
      <c r="Q65">
        <v>65</v>
      </c>
      <c r="S65">
        <f t="shared" ref="S65:S70" si="32">6850.29640718563+(Q65-1)*725.905189620759</f>
        <v>53308.228542914207</v>
      </c>
      <c r="T65">
        <f t="shared" ref="T65:T70" si="33">0+1*S65-19021.8146804871*(1.04+(S65-25848)^2/2262053964.37126)^0.5</f>
        <v>31016.530391561984</v>
      </c>
      <c r="U65">
        <v>65</v>
      </c>
      <c r="W65">
        <f t="shared" ref="W65:W70" si="34">6729.40119760479+(U65-1)*727.657294107437</f>
        <v>53299.468020480759</v>
      </c>
      <c r="X65">
        <f t="shared" ref="X65:X70" si="35">0+1*W65+19021.8146804871*(1.04+(W65-25848)^2/2262053964.37126)^0.5</f>
        <v>75589.440177110984</v>
      </c>
    </row>
    <row r="66" spans="1:24" x14ac:dyDescent="0.35">
      <c r="A66">
        <v>66</v>
      </c>
      <c r="C66">
        <f t="shared" si="24"/>
        <v>359.13043478260892</v>
      </c>
      <c r="D66">
        <f t="shared" si="25"/>
        <v>38760.025234819215</v>
      </c>
      <c r="E66">
        <v>66</v>
      </c>
      <c r="G66">
        <f t="shared" si="26"/>
        <v>359.13043478260892</v>
      </c>
      <c r="H66">
        <f t="shared" si="27"/>
        <v>58512.359560807017</v>
      </c>
      <c r="I66">
        <v>66</v>
      </c>
      <c r="K66">
        <f t="shared" si="28"/>
        <v>256.3636363636366</v>
      </c>
      <c r="L66">
        <f t="shared" si="29"/>
        <v>15503.363299019704</v>
      </c>
      <c r="M66">
        <v>66</v>
      </c>
      <c r="O66">
        <f t="shared" si="30"/>
        <v>256.3636363636366</v>
      </c>
      <c r="P66">
        <f t="shared" si="31"/>
        <v>55024.731420631986</v>
      </c>
      <c r="Q66">
        <v>66</v>
      </c>
      <c r="S66">
        <f t="shared" si="32"/>
        <v>54034.133732534967</v>
      </c>
      <c r="T66">
        <f t="shared" si="33"/>
        <v>31597.978261269851</v>
      </c>
      <c r="U66">
        <v>66</v>
      </c>
      <c r="W66">
        <f t="shared" si="34"/>
        <v>54027.125314588193</v>
      </c>
      <c r="X66">
        <f t="shared" si="35"/>
        <v>76461.872575203073</v>
      </c>
    </row>
    <row r="67" spans="1:24" x14ac:dyDescent="0.35">
      <c r="A67">
        <v>67</v>
      </c>
      <c r="C67">
        <f t="shared" si="24"/>
        <v>364.34782608695679</v>
      </c>
      <c r="D67">
        <f t="shared" si="25"/>
        <v>39187.81154943008</v>
      </c>
      <c r="E67">
        <v>67</v>
      </c>
      <c r="G67">
        <f t="shared" si="26"/>
        <v>364.34782608695679</v>
      </c>
      <c r="H67">
        <f t="shared" si="27"/>
        <v>59442.360280822562</v>
      </c>
      <c r="I67">
        <v>67</v>
      </c>
      <c r="K67">
        <f t="shared" si="28"/>
        <v>260.00000000000023</v>
      </c>
      <c r="L67">
        <f t="shared" si="29"/>
        <v>15939.595110119531</v>
      </c>
      <c r="M67">
        <v>67</v>
      </c>
      <c r="O67">
        <f t="shared" si="30"/>
        <v>260.00000000000023</v>
      </c>
      <c r="P67">
        <f t="shared" si="31"/>
        <v>55534.836027605103</v>
      </c>
      <c r="Q67">
        <v>67</v>
      </c>
      <c r="S67">
        <f t="shared" si="32"/>
        <v>54760.038922155727</v>
      </c>
      <c r="T67">
        <f t="shared" si="33"/>
        <v>32176.617741036487</v>
      </c>
      <c r="U67">
        <v>67</v>
      </c>
      <c r="W67">
        <f t="shared" si="34"/>
        <v>54754.782608695634</v>
      </c>
      <c r="X67">
        <f t="shared" si="35"/>
        <v>77337.127468247869</v>
      </c>
    </row>
    <row r="68" spans="1:24" x14ac:dyDescent="0.35">
      <c r="A68">
        <v>68</v>
      </c>
      <c r="C68">
        <f t="shared" si="24"/>
        <v>369.5652173913046</v>
      </c>
      <c r="D68">
        <f t="shared" si="25"/>
        <v>39614.569971838908</v>
      </c>
      <c r="E68">
        <v>68</v>
      </c>
      <c r="G68">
        <f t="shared" si="26"/>
        <v>369.5652173913046</v>
      </c>
      <c r="H68">
        <f t="shared" si="27"/>
        <v>60373.38889304013</v>
      </c>
      <c r="I68">
        <v>68</v>
      </c>
      <c r="K68">
        <f t="shared" si="28"/>
        <v>263.63636363636385</v>
      </c>
      <c r="L68">
        <f t="shared" si="29"/>
        <v>16374.090231011385</v>
      </c>
      <c r="M68">
        <v>68</v>
      </c>
      <c r="O68">
        <f t="shared" si="30"/>
        <v>263.63636363636385</v>
      </c>
      <c r="P68">
        <f t="shared" si="31"/>
        <v>56046.677324786186</v>
      </c>
      <c r="Q68">
        <v>68</v>
      </c>
      <c r="S68">
        <f t="shared" si="32"/>
        <v>55485.94411177648</v>
      </c>
      <c r="T68">
        <f t="shared" si="33"/>
        <v>32752.503408483535</v>
      </c>
      <c r="U68">
        <v>68</v>
      </c>
      <c r="W68">
        <f t="shared" si="34"/>
        <v>55482.439902803068</v>
      </c>
      <c r="X68">
        <f t="shared" si="35"/>
        <v>78215.149879125442</v>
      </c>
    </row>
    <row r="69" spans="1:24" x14ac:dyDescent="0.35">
      <c r="A69">
        <v>69</v>
      </c>
      <c r="C69">
        <f t="shared" si="24"/>
        <v>374.78260869565241</v>
      </c>
      <c r="D69">
        <f t="shared" si="25"/>
        <v>40040.373626942921</v>
      </c>
      <c r="E69">
        <v>69</v>
      </c>
      <c r="G69">
        <f t="shared" si="26"/>
        <v>374.78260869565241</v>
      </c>
      <c r="H69">
        <f t="shared" si="27"/>
        <v>61305.372272562512</v>
      </c>
      <c r="I69">
        <v>69</v>
      </c>
      <c r="K69">
        <f t="shared" si="28"/>
        <v>267.27272727272748</v>
      </c>
      <c r="L69">
        <f t="shared" si="29"/>
        <v>16806.858798666592</v>
      </c>
      <c r="M69">
        <v>69</v>
      </c>
      <c r="O69">
        <f t="shared" si="30"/>
        <v>267.27272727272748</v>
      </c>
      <c r="P69">
        <f t="shared" si="31"/>
        <v>56560.24517520392</v>
      </c>
      <c r="Q69">
        <v>69</v>
      </c>
      <c r="S69">
        <f t="shared" si="32"/>
        <v>56211.84930139724</v>
      </c>
      <c r="T69">
        <f t="shared" si="33"/>
        <v>33325.689417534828</v>
      </c>
      <c r="U69">
        <v>69</v>
      </c>
      <c r="W69">
        <f t="shared" si="34"/>
        <v>56210.097196910509</v>
      </c>
      <c r="X69">
        <f t="shared" si="35"/>
        <v>79095.885258132912</v>
      </c>
    </row>
    <row r="70" spans="1:24" x14ac:dyDescent="0.35">
      <c r="A70">
        <v>70</v>
      </c>
      <c r="C70">
        <f t="shared" si="24"/>
        <v>380.00000000000023</v>
      </c>
      <c r="D70">
        <f t="shared" si="25"/>
        <v>40465.289104102078</v>
      </c>
      <c r="E70">
        <v>70</v>
      </c>
      <c r="G70">
        <f t="shared" si="26"/>
        <v>380.00000000000023</v>
      </c>
      <c r="H70">
        <f t="shared" si="27"/>
        <v>62238.243830029751</v>
      </c>
      <c r="I70">
        <v>70</v>
      </c>
      <c r="K70">
        <f t="shared" si="28"/>
        <v>270.90909090909111</v>
      </c>
      <c r="L70">
        <f t="shared" si="29"/>
        <v>17237.911318549654</v>
      </c>
      <c r="M70">
        <v>70</v>
      </c>
      <c r="O70">
        <f t="shared" si="30"/>
        <v>270.90909090909111</v>
      </c>
      <c r="P70">
        <f t="shared" si="31"/>
        <v>57075.529073393802</v>
      </c>
      <c r="Q70">
        <v>70</v>
      </c>
      <c r="S70">
        <f t="shared" si="32"/>
        <v>56937.754491018</v>
      </c>
      <c r="T70">
        <f t="shared" si="33"/>
        <v>33896.229448118684</v>
      </c>
      <c r="U70">
        <v>70</v>
      </c>
      <c r="W70">
        <f t="shared" si="34"/>
        <v>56937.754491017942</v>
      </c>
      <c r="X70">
        <f t="shared" si="35"/>
        <v>79979.279533917244</v>
      </c>
    </row>
    <row r="71" spans="1:24" x14ac:dyDescent="0.35">
      <c r="I71">
        <v>71</v>
      </c>
      <c r="K71">
        <f t="shared" si="28"/>
        <v>274.54545454545479</v>
      </c>
      <c r="L71">
        <f t="shared" si="29"/>
        <v>17667.258651832046</v>
      </c>
      <c r="M71">
        <v>71</v>
      </c>
      <c r="O71">
        <f t="shared" si="30"/>
        <v>274.54545454545479</v>
      </c>
      <c r="P71">
        <f t="shared" si="31"/>
        <v>57592.518158184364</v>
      </c>
    </row>
    <row r="72" spans="1:24" x14ac:dyDescent="0.35">
      <c r="I72">
        <v>72</v>
      </c>
      <c r="K72">
        <f t="shared" si="28"/>
        <v>278.18181818181841</v>
      </c>
      <c r="L72">
        <f t="shared" si="29"/>
        <v>18094.912002363599</v>
      </c>
      <c r="M72">
        <v>72</v>
      </c>
      <c r="O72">
        <f t="shared" si="30"/>
        <v>278.18181818181841</v>
      </c>
      <c r="P72">
        <f t="shared" si="31"/>
        <v>58111.201225725767</v>
      </c>
    </row>
    <row r="73" spans="1:24" x14ac:dyDescent="0.35">
      <c r="I73">
        <v>73</v>
      </c>
      <c r="K73">
        <f t="shared" si="28"/>
        <v>281.81818181818204</v>
      </c>
      <c r="L73">
        <f t="shared" si="29"/>
        <v>18520.882903435038</v>
      </c>
      <c r="M73">
        <v>73</v>
      </c>
      <c r="O73">
        <f t="shared" si="30"/>
        <v>281.81818181818204</v>
      </c>
      <c r="P73">
        <f t="shared" si="31"/>
        <v>58631.566742727271</v>
      </c>
    </row>
    <row r="74" spans="1:24" x14ac:dyDescent="0.35">
      <c r="I74">
        <v>74</v>
      </c>
      <c r="K74">
        <f t="shared" si="28"/>
        <v>285.45454545454572</v>
      </c>
      <c r="L74">
        <f t="shared" si="29"/>
        <v>18945.183204364886</v>
      </c>
      <c r="M74">
        <v>74</v>
      </c>
      <c r="O74">
        <f t="shared" si="30"/>
        <v>285.45454545454572</v>
      </c>
      <c r="P74">
        <f t="shared" si="31"/>
        <v>59153.602859870371</v>
      </c>
    </row>
    <row r="75" spans="1:24" x14ac:dyDescent="0.35">
      <c r="I75">
        <v>75</v>
      </c>
      <c r="K75">
        <f t="shared" si="28"/>
        <v>289.09090909090935</v>
      </c>
      <c r="L75">
        <f t="shared" si="29"/>
        <v>19367.8250569435</v>
      </c>
      <c r="M75">
        <v>75</v>
      </c>
      <c r="O75">
        <f t="shared" si="30"/>
        <v>289.09090909090935</v>
      </c>
      <c r="P75">
        <f t="shared" si="31"/>
        <v>59677.297425364697</v>
      </c>
    </row>
    <row r="76" spans="1:24" x14ac:dyDescent="0.35">
      <c r="I76">
        <v>76</v>
      </c>
      <c r="K76">
        <f t="shared" si="28"/>
        <v>292.72727272727298</v>
      </c>
      <c r="L76">
        <f t="shared" si="29"/>
        <v>19788.820901766605</v>
      </c>
      <c r="M76">
        <v>76</v>
      </c>
      <c r="O76">
        <f t="shared" si="30"/>
        <v>292.72727272727298</v>
      </c>
      <c r="P76">
        <f t="shared" si="31"/>
        <v>60202.637998614533</v>
      </c>
    </row>
    <row r="77" spans="1:24" x14ac:dyDescent="0.35">
      <c r="I77">
        <v>77</v>
      </c>
      <c r="K77">
        <f t="shared" si="28"/>
        <v>296.3636363636366</v>
      </c>
      <c r="L77">
        <f t="shared" si="29"/>
        <v>20208.183454489976</v>
      </c>
      <c r="M77">
        <v>77</v>
      </c>
      <c r="O77">
        <f t="shared" si="30"/>
        <v>296.3636363636366</v>
      </c>
      <c r="P77">
        <f t="shared" si="31"/>
        <v>60729.611863964106</v>
      </c>
    </row>
    <row r="78" spans="1:24" x14ac:dyDescent="0.35">
      <c r="I78">
        <v>78</v>
      </c>
      <c r="K78">
        <f t="shared" si="28"/>
        <v>300.00000000000028</v>
      </c>
      <c r="L78">
        <f t="shared" si="29"/>
        <v>20625.925692036093</v>
      </c>
      <c r="M78">
        <v>78</v>
      </c>
      <c r="O78">
        <f t="shared" si="30"/>
        <v>300.00000000000028</v>
      </c>
      <c r="P78">
        <f t="shared" si="31"/>
        <v>61258.206044490944</v>
      </c>
    </row>
    <row r="79" spans="1:24" x14ac:dyDescent="0.35">
      <c r="I79">
        <v>79</v>
      </c>
      <c r="K79">
        <f t="shared" si="28"/>
        <v>303.63636363636391</v>
      </c>
      <c r="L79">
        <f t="shared" si="29"/>
        <v>21042.060838782803</v>
      </c>
      <c r="M79">
        <v>79</v>
      </c>
      <c r="O79">
        <f t="shared" si="30"/>
        <v>303.63636363636391</v>
      </c>
      <c r="P79">
        <f t="shared" si="31"/>
        <v>61788.407315817189</v>
      </c>
    </row>
    <row r="80" spans="1:24" x14ac:dyDescent="0.35">
      <c r="I80">
        <v>80</v>
      </c>
      <c r="K80">
        <f t="shared" si="28"/>
        <v>307.27272727272754</v>
      </c>
      <c r="L80">
        <f t="shared" si="29"/>
        <v>21456.602352763133</v>
      </c>
      <c r="M80">
        <v>80</v>
      </c>
      <c r="O80">
        <f t="shared" si="30"/>
        <v>307.27272727272754</v>
      </c>
      <c r="P80">
        <f t="shared" si="31"/>
        <v>62320.202219909799</v>
      </c>
    </row>
    <row r="81" spans="9:16" x14ac:dyDescent="0.35">
      <c r="I81">
        <v>81</v>
      </c>
      <c r="K81">
        <f t="shared" si="28"/>
        <v>310.90909090909116</v>
      </c>
      <c r="L81">
        <f t="shared" si="29"/>
        <v>21869.563911904235</v>
      </c>
      <c r="M81">
        <v>81</v>
      </c>
      <c r="O81">
        <f t="shared" si="30"/>
        <v>310.90909090909116</v>
      </c>
      <c r="P81">
        <f t="shared" si="31"/>
        <v>62853.577078841641</v>
      </c>
    </row>
    <row r="82" spans="9:16" x14ac:dyDescent="0.35">
      <c r="I82">
        <v>82</v>
      </c>
      <c r="K82">
        <f t="shared" si="28"/>
        <v>314.54545454545485</v>
      </c>
      <c r="L82">
        <f t="shared" si="29"/>
        <v>22280.959400332384</v>
      </c>
      <c r="M82">
        <v>82</v>
      </c>
      <c r="O82">
        <f t="shared" si="30"/>
        <v>314.54545454545485</v>
      </c>
      <c r="P82">
        <f t="shared" si="31"/>
        <v>63388.518008486441</v>
      </c>
    </row>
    <row r="83" spans="9:16" x14ac:dyDescent="0.35">
      <c r="I83">
        <v>83</v>
      </c>
      <c r="K83">
        <f t="shared" si="28"/>
        <v>318.18181818181847</v>
      </c>
      <c r="L83">
        <f t="shared" si="29"/>
        <v>22690.802894769819</v>
      </c>
      <c r="M83">
        <v>83</v>
      </c>
      <c r="O83">
        <f t="shared" si="30"/>
        <v>318.18181818181847</v>
      </c>
      <c r="P83">
        <f t="shared" si="31"/>
        <v>63925.01093212195</v>
      </c>
    </row>
    <row r="84" spans="9:16" x14ac:dyDescent="0.35">
      <c r="I84">
        <v>84</v>
      </c>
      <c r="K84">
        <f t="shared" si="28"/>
        <v>321.8181818181821</v>
      </c>
      <c r="L84">
        <f t="shared" si="29"/>
        <v>23099.108651047976</v>
      </c>
      <c r="M84">
        <v>84</v>
      </c>
      <c r="O84">
        <f t="shared" si="30"/>
        <v>321.8181818181821</v>
      </c>
      <c r="P84">
        <f t="shared" si="31"/>
        <v>64463.041593916729</v>
      </c>
    </row>
    <row r="85" spans="9:16" x14ac:dyDescent="0.35">
      <c r="I85">
        <v>85</v>
      </c>
      <c r="K85">
        <f t="shared" si="28"/>
        <v>325.45454545454572</v>
      </c>
      <c r="L85">
        <f t="shared" si="29"/>
        <v>23505.891090760389</v>
      </c>
      <c r="M85">
        <v>85</v>
      </c>
      <c r="O85">
        <f t="shared" si="30"/>
        <v>325.45454545454572</v>
      </c>
      <c r="P85">
        <f t="shared" si="31"/>
        <v>65002.595572277278</v>
      </c>
    </row>
    <row r="86" spans="9:16" x14ac:dyDescent="0.35">
      <c r="I86">
        <v>86</v>
      </c>
      <c r="K86">
        <f t="shared" si="28"/>
        <v>329.09090909090941</v>
      </c>
      <c r="L86">
        <f t="shared" si="29"/>
        <v>23911.164788077112</v>
      </c>
      <c r="M86">
        <v>86</v>
      </c>
      <c r="O86">
        <f t="shared" si="30"/>
        <v>329.09090909090941</v>
      </c>
      <c r="P86">
        <f t="shared" si="31"/>
        <v>65543.658293033513</v>
      </c>
    </row>
    <row r="87" spans="9:16" x14ac:dyDescent="0.35">
      <c r="I87">
        <v>87</v>
      </c>
      <c r="K87">
        <f t="shared" si="28"/>
        <v>332.72727272727303</v>
      </c>
      <c r="L87">
        <f t="shared" si="29"/>
        <v>24314.944456741443</v>
      </c>
      <c r="M87">
        <v>87</v>
      </c>
      <c r="O87">
        <f t="shared" si="30"/>
        <v>332.72727272727303</v>
      </c>
      <c r="P87">
        <f t="shared" si="31"/>
        <v>66086.215042442112</v>
      </c>
    </row>
    <row r="88" spans="9:16" x14ac:dyDescent="0.35">
      <c r="I88">
        <v>88</v>
      </c>
      <c r="K88">
        <f t="shared" si="28"/>
        <v>336.36363636363666</v>
      </c>
      <c r="L88">
        <f t="shared" si="29"/>
        <v>24717.244937268144</v>
      </c>
      <c r="M88">
        <v>88</v>
      </c>
      <c r="O88">
        <f t="shared" si="30"/>
        <v>336.36363636363666</v>
      </c>
      <c r="P88">
        <f t="shared" si="31"/>
        <v>66630.250979988356</v>
      </c>
    </row>
    <row r="89" spans="9:16" x14ac:dyDescent="0.35">
      <c r="I89">
        <v>89</v>
      </c>
      <c r="K89">
        <f t="shared" si="28"/>
        <v>340.00000000000028</v>
      </c>
      <c r="L89">
        <f t="shared" si="29"/>
        <v>25118.08118436101</v>
      </c>
      <c r="M89">
        <v>89</v>
      </c>
      <c r="O89">
        <f t="shared" si="30"/>
        <v>340.00000000000028</v>
      </c>
      <c r="P89">
        <f t="shared" si="31"/>
        <v>67175.751150968426</v>
      </c>
    </row>
    <row r="90" spans="9:16" x14ac:dyDescent="0.35">
      <c r="I90">
        <v>90</v>
      </c>
      <c r="K90">
        <f t="shared" si="28"/>
        <v>343.63636363636397</v>
      </c>
      <c r="L90">
        <f t="shared" si="29"/>
        <v>25517.468254566385</v>
      </c>
      <c r="M90">
        <v>90</v>
      </c>
      <c r="O90">
        <f t="shared" si="30"/>
        <v>343.63636363636397</v>
      </c>
      <c r="P90">
        <f t="shared" si="31"/>
        <v>67722.700498836013</v>
      </c>
    </row>
    <row r="91" spans="9:16" x14ac:dyDescent="0.35">
      <c r="I91">
        <v>91</v>
      </c>
      <c r="K91">
        <f t="shared" si="28"/>
        <v>347.27272727272759</v>
      </c>
      <c r="L91">
        <f t="shared" si="29"/>
        <v>25915.421294177788</v>
      </c>
      <c r="M91">
        <v>91</v>
      </c>
      <c r="O91">
        <f t="shared" si="30"/>
        <v>347.27272727272759</v>
      </c>
      <c r="P91">
        <f t="shared" si="31"/>
        <v>68271.083877297555</v>
      </c>
    </row>
    <row r="92" spans="9:16" x14ac:dyDescent="0.35">
      <c r="I92">
        <v>92</v>
      </c>
      <c r="K92">
        <f t="shared" si="28"/>
        <v>350.90909090909122</v>
      </c>
      <c r="L92">
        <f t="shared" si="29"/>
        <v>26311.955527405371</v>
      </c>
      <c r="M92">
        <v>92</v>
      </c>
      <c r="O92">
        <f t="shared" si="30"/>
        <v>350.90909090909122</v>
      </c>
      <c r="P92">
        <f t="shared" si="31"/>
        <v>68820.886062142919</v>
      </c>
    </row>
    <row r="93" spans="9:16" x14ac:dyDescent="0.35">
      <c r="I93">
        <v>93</v>
      </c>
      <c r="K93">
        <f t="shared" si="28"/>
        <v>354.54545454545485</v>
      </c>
      <c r="L93">
        <f t="shared" si="29"/>
        <v>26707.08624482284</v>
      </c>
      <c r="M93">
        <v>93</v>
      </c>
      <c r="O93">
        <f t="shared" si="30"/>
        <v>354.54545454545485</v>
      </c>
      <c r="P93">
        <f t="shared" si="31"/>
        <v>69372.091762798387</v>
      </c>
    </row>
    <row r="94" spans="9:16" x14ac:dyDescent="0.35">
      <c r="I94">
        <v>94</v>
      </c>
      <c r="K94">
        <f t="shared" si="28"/>
        <v>358.18181818181853</v>
      </c>
      <c r="L94">
        <f t="shared" si="29"/>
        <v>27100.82879210274</v>
      </c>
      <c r="M94">
        <v>94</v>
      </c>
      <c r="O94">
        <f t="shared" si="30"/>
        <v>358.18181818181853</v>
      </c>
      <c r="P94">
        <f t="shared" si="31"/>
        <v>69924.685633591449</v>
      </c>
    </row>
    <row r="95" spans="9:16" x14ac:dyDescent="0.35">
      <c r="I95">
        <v>95</v>
      </c>
      <c r="K95">
        <f t="shared" si="28"/>
        <v>361.81818181818215</v>
      </c>
      <c r="L95">
        <f t="shared" si="29"/>
        <v>27493.198559050135</v>
      </c>
      <c r="M95">
        <v>95</v>
      </c>
      <c r="O95">
        <f t="shared" si="30"/>
        <v>361.81818181818215</v>
      </c>
      <c r="P95">
        <f t="shared" si="31"/>
        <v>70478.652284716984</v>
      </c>
    </row>
    <row r="96" spans="9:16" x14ac:dyDescent="0.35">
      <c r="I96">
        <v>96</v>
      </c>
      <c r="K96">
        <f t="shared" si="28"/>
        <v>365.45454545454578</v>
      </c>
      <c r="L96">
        <f t="shared" si="29"/>
        <v>27884.210968943244</v>
      </c>
      <c r="M96">
        <v>96</v>
      </c>
      <c r="O96">
        <f t="shared" si="30"/>
        <v>365.45454545454578</v>
      </c>
      <c r="P96">
        <f t="shared" si="31"/>
        <v>71033.976292896827</v>
      </c>
    </row>
    <row r="97" spans="9:16" x14ac:dyDescent="0.35">
      <c r="I97">
        <v>97</v>
      </c>
      <c r="K97">
        <f t="shared" si="28"/>
        <v>369.09090909090941</v>
      </c>
      <c r="L97">
        <f>1905.68862275449+130.12125748503*K97-19021.8146804871*(1.04+(K97-184)^2/133600)^0.5</f>
        <v>28273.881468188287</v>
      </c>
      <c r="M97">
        <v>97</v>
      </c>
      <c r="O97">
        <f t="shared" si="30"/>
        <v>369.09090909090941</v>
      </c>
      <c r="P97">
        <f>1905.68862275449+130.12125748503*O97+19021.8146804871*(1.04+(O97-184)^2/133600)^0.5</f>
        <v>71590.642211724713</v>
      </c>
    </row>
    <row r="98" spans="9:16" x14ac:dyDescent="0.35">
      <c r="I98">
        <v>98</v>
      </c>
      <c r="K98">
        <f t="shared" si="28"/>
        <v>372.72727272727303</v>
      </c>
      <c r="L98">
        <f>1905.68862275449+130.12125748503*K98-19021.8146804871*(1.04+(K98-184)^2/133600)^0.5</f>
        <v>28662.225516294813</v>
      </c>
      <c r="M98">
        <v>98</v>
      </c>
      <c r="O98">
        <f t="shared" si="30"/>
        <v>372.72727272727303</v>
      </c>
      <c r="P98">
        <f>1905.68862275449+130.12125748503*O98+19021.8146804871*(1.04+(O98-184)^2/133600)^0.5</f>
        <v>72148.634581691149</v>
      </c>
    </row>
    <row r="99" spans="9:16" x14ac:dyDescent="0.35">
      <c r="I99">
        <v>99</v>
      </c>
      <c r="K99">
        <f t="shared" si="28"/>
        <v>376.36363636363672</v>
      </c>
      <c r="L99">
        <f>1905.68862275449+130.12125748503*K99-19021.8146804871*(1.04+(K99-184)^2/133600)^0.5</f>
        <v>29049.258576176486</v>
      </c>
      <c r="M99">
        <v>99</v>
      </c>
      <c r="O99">
        <f t="shared" si="30"/>
        <v>376.36363636363672</v>
      </c>
      <c r="P99">
        <f>1905.68862275449+130.12125748503*O99+19021.8146804871*(1.04+(O99-184)^2/133600)^0.5</f>
        <v>72707.937939882424</v>
      </c>
    </row>
    <row r="100" spans="9:16" x14ac:dyDescent="0.35">
      <c r="I100">
        <v>100</v>
      </c>
      <c r="K100">
        <f t="shared" si="28"/>
        <v>380.00000000000034</v>
      </c>
      <c r="L100">
        <f>1905.68862275449+130.12125748503*K100-19021.8146804871*(1.04+(K100-184)^2/133600)^0.5</f>
        <v>29434.996104781287</v>
      </c>
      <c r="M100">
        <v>100</v>
      </c>
      <c r="O100">
        <f t="shared" si="30"/>
        <v>380.00000000000034</v>
      </c>
      <c r="P100">
        <f>1905.68862275449+130.12125748503*O100+19021.8146804871*(1.04+(O100-184)^2/133600)^0.5</f>
        <v>73268.536829350574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/>
  <dimension ref="A1:XX1000"/>
  <sheetViews>
    <sheetView zoomScaleNormal="100" workbookViewId="0">
      <selection activeCell="G7" sqref="G7"/>
    </sheetView>
  </sheetViews>
  <sheetFormatPr defaultColWidth="8.83203125" defaultRowHeight="15.5" x14ac:dyDescent="0.35"/>
  <cols>
    <col min="1" max="3" width="15.6640625" style="1" customWidth="1"/>
    <col min="4" max="4" width="10.6640625" style="1" customWidth="1"/>
    <col min="5" max="5" width="65.6640625" style="1" customWidth="1"/>
    <col min="6" max="6" width="20.6640625" style="1" customWidth="1"/>
    <col min="7" max="16384" width="8.83203125" style="1"/>
  </cols>
  <sheetData>
    <row r="1" spans="1:6" ht="31" thickBot="1" x14ac:dyDescent="0.4">
      <c r="A1" s="6" t="s">
        <v>217</v>
      </c>
      <c r="B1" s="6" t="s">
        <v>218</v>
      </c>
      <c r="C1" s="7" t="s">
        <v>219</v>
      </c>
      <c r="E1" s="19" t="s">
        <v>235</v>
      </c>
    </row>
    <row r="2" spans="1:6" ht="16" thickBot="1" x14ac:dyDescent="0.4">
      <c r="A2" s="25">
        <v>1</v>
      </c>
      <c r="B2" s="10">
        <v>10.58</v>
      </c>
      <c r="C2" s="10">
        <v>18.579999999999998</v>
      </c>
      <c r="E2" s="34" t="s">
        <v>230</v>
      </c>
    </row>
    <row r="3" spans="1:6" ht="16" thickBot="1" x14ac:dyDescent="0.4">
      <c r="A3" s="25">
        <v>2</v>
      </c>
      <c r="B3" s="10">
        <v>10.58</v>
      </c>
      <c r="C3" s="10">
        <v>18.579999999999998</v>
      </c>
      <c r="E3" s="32" t="s">
        <v>237</v>
      </c>
    </row>
    <row r="4" spans="1:6" ht="16" thickBot="1" x14ac:dyDescent="0.4">
      <c r="A4" s="25">
        <v>3</v>
      </c>
      <c r="B4" s="10">
        <v>10.58</v>
      </c>
      <c r="C4" s="25">
        <v>18.579999999999998</v>
      </c>
      <c r="E4" s="33" t="s">
        <v>233</v>
      </c>
      <c r="F4" s="27" t="s">
        <v>447</v>
      </c>
    </row>
    <row r="5" spans="1:6" ht="16" thickBot="1" x14ac:dyDescent="0.4">
      <c r="A5" s="25">
        <v>4</v>
      </c>
      <c r="B5" s="10">
        <v>10.58</v>
      </c>
      <c r="C5" s="10">
        <v>18.579999999999998</v>
      </c>
      <c r="E5" s="31" t="s">
        <v>234</v>
      </c>
      <c r="F5" s="27" t="s">
        <v>469</v>
      </c>
    </row>
    <row r="6" spans="1:6" x14ac:dyDescent="0.35">
      <c r="A6" s="25">
        <v>5</v>
      </c>
      <c r="B6" s="10">
        <v>10.58</v>
      </c>
      <c r="C6" s="10">
        <v>28.58</v>
      </c>
    </row>
    <row r="7" spans="1:6" x14ac:dyDescent="0.35">
      <c r="A7" s="25">
        <v>6</v>
      </c>
      <c r="B7" s="10">
        <v>10.58</v>
      </c>
      <c r="C7" s="10">
        <v>26.58</v>
      </c>
      <c r="E7" s="42" t="s">
        <v>241</v>
      </c>
    </row>
    <row r="8" spans="1:6" x14ac:dyDescent="0.35">
      <c r="A8" s="25">
        <v>7</v>
      </c>
      <c r="B8" s="10">
        <v>10.58</v>
      </c>
      <c r="C8" s="10">
        <v>17.579999999999998</v>
      </c>
    </row>
    <row r="9" spans="1:6" x14ac:dyDescent="0.35">
      <c r="A9" s="25">
        <v>8</v>
      </c>
      <c r="B9" s="10">
        <v>10.58</v>
      </c>
      <c r="C9" s="10">
        <v>27.58</v>
      </c>
    </row>
    <row r="10" spans="1:6" x14ac:dyDescent="0.35">
      <c r="A10" s="25">
        <v>9</v>
      </c>
      <c r="B10" s="10">
        <v>10.58</v>
      </c>
      <c r="C10" s="10">
        <v>27.58</v>
      </c>
    </row>
    <row r="11" spans="1:6" x14ac:dyDescent="0.35">
      <c r="A11" s="25">
        <v>10</v>
      </c>
      <c r="B11" s="10">
        <v>10.58</v>
      </c>
      <c r="C11" s="10">
        <v>37.58</v>
      </c>
    </row>
    <row r="12" spans="1:6" x14ac:dyDescent="0.35">
      <c r="A12" s="25">
        <v>11</v>
      </c>
      <c r="B12" s="10">
        <v>10.58</v>
      </c>
      <c r="C12" s="10">
        <v>28.58</v>
      </c>
    </row>
    <row r="13" spans="1:6" x14ac:dyDescent="0.35">
      <c r="A13" s="25">
        <v>12</v>
      </c>
      <c r="B13" s="10">
        <v>5.83</v>
      </c>
      <c r="C13" s="10">
        <v>1.83</v>
      </c>
    </row>
    <row r="14" spans="1:6" x14ac:dyDescent="0.35">
      <c r="A14" s="25">
        <v>13</v>
      </c>
      <c r="B14" s="10">
        <v>5.83</v>
      </c>
      <c r="C14" s="10">
        <v>8.83</v>
      </c>
    </row>
    <row r="15" spans="1:6" x14ac:dyDescent="0.35">
      <c r="A15" s="25">
        <v>14</v>
      </c>
      <c r="B15" s="10">
        <v>5.83</v>
      </c>
      <c r="C15" s="10">
        <v>8.83</v>
      </c>
    </row>
    <row r="16" spans="1:6" x14ac:dyDescent="0.35">
      <c r="A16" s="25">
        <v>15</v>
      </c>
      <c r="B16" s="10">
        <v>5.83</v>
      </c>
      <c r="C16" s="10">
        <v>8.83</v>
      </c>
    </row>
    <row r="17" spans="1:10" x14ac:dyDescent="0.35">
      <c r="A17" s="25">
        <v>16</v>
      </c>
      <c r="B17" s="10">
        <v>10.83</v>
      </c>
      <c r="C17" s="10">
        <v>16.829999999999998</v>
      </c>
    </row>
    <row r="18" spans="1:10" x14ac:dyDescent="0.35">
      <c r="A18" s="25">
        <v>17</v>
      </c>
      <c r="B18" s="10">
        <v>10.83</v>
      </c>
      <c r="C18" s="10">
        <v>19.829999999999998</v>
      </c>
    </row>
    <row r="19" spans="1:10" x14ac:dyDescent="0.35">
      <c r="A19" s="25">
        <v>18</v>
      </c>
      <c r="B19" s="10">
        <v>10.83</v>
      </c>
      <c r="C19" s="10">
        <v>18.329999999999998</v>
      </c>
    </row>
    <row r="20" spans="1:10" x14ac:dyDescent="0.35">
      <c r="A20" s="25">
        <v>19</v>
      </c>
      <c r="B20" s="10">
        <v>10.83</v>
      </c>
      <c r="C20" s="10">
        <v>14.83</v>
      </c>
      <c r="E20"/>
      <c r="F20"/>
      <c r="G20"/>
      <c r="H20"/>
      <c r="I20"/>
      <c r="J20"/>
    </row>
    <row r="21" spans="1:10" x14ac:dyDescent="0.35">
      <c r="A21" s="25">
        <v>20</v>
      </c>
      <c r="B21" s="10">
        <v>21.33</v>
      </c>
      <c r="C21" s="25">
        <v>12</v>
      </c>
    </row>
    <row r="22" spans="1:10" x14ac:dyDescent="0.35">
      <c r="A22" s="25">
        <v>21</v>
      </c>
      <c r="B22" s="10">
        <v>16.329999999999998</v>
      </c>
      <c r="C22" s="25">
        <v>27</v>
      </c>
      <c r="F22"/>
      <c r="G22"/>
      <c r="H22"/>
      <c r="I22"/>
    </row>
    <row r="23" spans="1:10" x14ac:dyDescent="0.35">
      <c r="A23" s="25">
        <v>22</v>
      </c>
      <c r="B23" s="10">
        <v>21.33</v>
      </c>
      <c r="C23" s="25">
        <v>42</v>
      </c>
    </row>
    <row r="24" spans="1:10" x14ac:dyDescent="0.35">
      <c r="A24" s="25">
        <v>23</v>
      </c>
      <c r="B24" s="10">
        <v>21.33</v>
      </c>
      <c r="C24" s="25">
        <v>46</v>
      </c>
    </row>
    <row r="25" spans="1:10" x14ac:dyDescent="0.35">
      <c r="A25" s="25">
        <v>24</v>
      </c>
      <c r="B25" s="10">
        <v>21.33</v>
      </c>
      <c r="C25" s="25">
        <v>46</v>
      </c>
    </row>
    <row r="26" spans="1:10" x14ac:dyDescent="0.35">
      <c r="A26" s="25">
        <v>25</v>
      </c>
      <c r="B26" s="10">
        <v>31.33</v>
      </c>
      <c r="C26" s="25">
        <v>57</v>
      </c>
    </row>
    <row r="27" spans="1:10" x14ac:dyDescent="0.35">
      <c r="A27" s="25">
        <v>26</v>
      </c>
      <c r="B27" s="10">
        <v>41.08</v>
      </c>
      <c r="C27" s="10">
        <v>55.75</v>
      </c>
    </row>
    <row r="28" spans="1:10" x14ac:dyDescent="0.35">
      <c r="A28" s="25">
        <v>27</v>
      </c>
      <c r="B28" s="10">
        <v>41.08</v>
      </c>
      <c r="C28" s="10">
        <v>55.75</v>
      </c>
    </row>
    <row r="29" spans="1:10" x14ac:dyDescent="0.35">
      <c r="A29" s="25">
        <v>28</v>
      </c>
      <c r="B29" s="10">
        <v>41.08</v>
      </c>
      <c r="C29" s="10">
        <v>55.75</v>
      </c>
    </row>
    <row r="30" spans="1:10" x14ac:dyDescent="0.35">
      <c r="A30" s="25">
        <v>29</v>
      </c>
      <c r="B30" s="10">
        <v>46.33</v>
      </c>
      <c r="C30" s="25">
        <v>57</v>
      </c>
    </row>
    <row r="31" spans="1:10" x14ac:dyDescent="0.35">
      <c r="A31" s="25">
        <v>30</v>
      </c>
      <c r="B31" s="10">
        <v>61.33</v>
      </c>
      <c r="C31" s="25">
        <v>77</v>
      </c>
    </row>
    <row r="32" spans="1:10" x14ac:dyDescent="0.35">
      <c r="A32" s="25">
        <v>31</v>
      </c>
      <c r="B32" s="10">
        <v>61.33</v>
      </c>
      <c r="C32" s="25">
        <v>76</v>
      </c>
    </row>
    <row r="33" spans="1:3" x14ac:dyDescent="0.35">
      <c r="A33" s="25">
        <v>32</v>
      </c>
      <c r="B33" s="10">
        <v>61.33</v>
      </c>
      <c r="C33" s="25">
        <v>75</v>
      </c>
    </row>
    <row r="34" spans="1:3" x14ac:dyDescent="0.35">
      <c r="A34" s="25">
        <v>33</v>
      </c>
      <c r="B34" s="10">
        <v>61.33</v>
      </c>
      <c r="C34" s="25">
        <v>75</v>
      </c>
    </row>
    <row r="35" spans="1:3" x14ac:dyDescent="0.35">
      <c r="A35" s="25">
        <v>34</v>
      </c>
      <c r="B35" s="10">
        <v>61.33</v>
      </c>
      <c r="C35" s="25">
        <v>36</v>
      </c>
    </row>
    <row r="36" spans="1:3" x14ac:dyDescent="0.35">
      <c r="A36" s="25">
        <v>35</v>
      </c>
      <c r="B36" s="10">
        <v>61.33</v>
      </c>
      <c r="C36" s="10">
        <v>56.42</v>
      </c>
    </row>
    <row r="37" spans="1:3" x14ac:dyDescent="0.35">
      <c r="A37" s="25">
        <v>36</v>
      </c>
      <c r="B37" s="10">
        <v>61.33</v>
      </c>
      <c r="C37" s="25">
        <v>45</v>
      </c>
    </row>
    <row r="38" spans="1:3" x14ac:dyDescent="0.35">
      <c r="A38" s="25">
        <v>37</v>
      </c>
      <c r="B38" s="10">
        <v>61.33</v>
      </c>
      <c r="C38" s="10">
        <v>45.42</v>
      </c>
    </row>
    <row r="39" spans="1:3" x14ac:dyDescent="0.35">
      <c r="A39" s="25">
        <v>38</v>
      </c>
      <c r="B39" s="10">
        <v>61.33</v>
      </c>
      <c r="C39" s="25">
        <v>37</v>
      </c>
    </row>
    <row r="40" spans="1:3" x14ac:dyDescent="0.35">
      <c r="A40" s="25">
        <v>39</v>
      </c>
      <c r="B40" s="10">
        <v>11.33</v>
      </c>
      <c r="C40" s="25">
        <v>8</v>
      </c>
    </row>
    <row r="41" spans="1:3" x14ac:dyDescent="0.35">
      <c r="A41" s="25">
        <v>40</v>
      </c>
      <c r="B41" s="10">
        <v>5.83</v>
      </c>
      <c r="C41" s="10">
        <v>2.83</v>
      </c>
    </row>
    <row r="42" spans="1:3" x14ac:dyDescent="0.35">
      <c r="A42" s="25">
        <v>41</v>
      </c>
      <c r="B42" s="10">
        <v>5.83</v>
      </c>
      <c r="C42" s="10">
        <v>2.83</v>
      </c>
    </row>
    <row r="43" spans="1:3" x14ac:dyDescent="0.35">
      <c r="A43" s="25">
        <v>42</v>
      </c>
      <c r="B43" s="10">
        <v>5.83</v>
      </c>
      <c r="C43" s="10">
        <v>2.83</v>
      </c>
    </row>
    <row r="44" spans="1:3" x14ac:dyDescent="0.35">
      <c r="A44" s="25">
        <v>43</v>
      </c>
      <c r="B44" s="10">
        <v>5.83</v>
      </c>
      <c r="C44" s="10">
        <v>2.83</v>
      </c>
    </row>
    <row r="45" spans="1:3" x14ac:dyDescent="0.35">
      <c r="A45" s="25">
        <v>44</v>
      </c>
      <c r="B45" s="10">
        <v>15.83</v>
      </c>
      <c r="C45" s="10">
        <v>14.83</v>
      </c>
    </row>
    <row r="46" spans="1:3" x14ac:dyDescent="0.35">
      <c r="A46" s="25">
        <v>45</v>
      </c>
      <c r="B46" s="10">
        <v>15.83</v>
      </c>
      <c r="C46" s="10">
        <v>16.829999999999998</v>
      </c>
    </row>
    <row r="47" spans="1:3" x14ac:dyDescent="0.35">
      <c r="A47" s="25">
        <v>46</v>
      </c>
      <c r="B47" s="10">
        <v>15.83</v>
      </c>
      <c r="C47" s="10">
        <v>16.829999999999998</v>
      </c>
    </row>
    <row r="48" spans="1:3" x14ac:dyDescent="0.35">
      <c r="A48" s="25">
        <v>47</v>
      </c>
      <c r="B48" s="10">
        <v>15.83</v>
      </c>
      <c r="C48" s="10">
        <v>16.829999999999998</v>
      </c>
    </row>
    <row r="49" spans="1:3" x14ac:dyDescent="0.35">
      <c r="A49" s="25">
        <v>48</v>
      </c>
      <c r="B49" s="10">
        <v>11.33</v>
      </c>
      <c r="C49" s="25">
        <v>11</v>
      </c>
    </row>
    <row r="50" spans="1:3" x14ac:dyDescent="0.35">
      <c r="A50" s="25">
        <v>49</v>
      </c>
      <c r="B50" s="10">
        <v>21.08</v>
      </c>
      <c r="C50" s="10">
        <v>42.75</v>
      </c>
    </row>
    <row r="51" spans="1:3" x14ac:dyDescent="0.35">
      <c r="A51" s="25">
        <v>50</v>
      </c>
      <c r="B51" s="10">
        <v>21.08</v>
      </c>
      <c r="C51" s="10">
        <v>43.17</v>
      </c>
    </row>
    <row r="52" spans="1:3" x14ac:dyDescent="0.35">
      <c r="A52" s="25">
        <v>51</v>
      </c>
      <c r="B52" s="10">
        <v>21.08</v>
      </c>
      <c r="C52" s="10">
        <v>43.17</v>
      </c>
    </row>
    <row r="53" spans="1:3" x14ac:dyDescent="0.35">
      <c r="A53" s="25">
        <v>52</v>
      </c>
      <c r="B53" s="10">
        <v>21.08</v>
      </c>
      <c r="C53" s="10">
        <v>42.75</v>
      </c>
    </row>
    <row r="54" spans="1:3" x14ac:dyDescent="0.35">
      <c r="A54" s="25">
        <v>53</v>
      </c>
      <c r="B54" s="25">
        <v>21.08</v>
      </c>
      <c r="C54" s="25">
        <v>42.75</v>
      </c>
    </row>
    <row r="55" spans="1:3" x14ac:dyDescent="0.35">
      <c r="A55" s="25">
        <v>54</v>
      </c>
      <c r="B55" s="10">
        <v>41.08</v>
      </c>
      <c r="C55" s="10">
        <v>31.75</v>
      </c>
    </row>
    <row r="56" spans="1:3" x14ac:dyDescent="0.35">
      <c r="A56" s="25">
        <v>55</v>
      </c>
      <c r="B56" s="10">
        <v>41.08</v>
      </c>
      <c r="C56" s="10">
        <v>31.75</v>
      </c>
    </row>
    <row r="57" spans="1:3" x14ac:dyDescent="0.35">
      <c r="A57" s="25">
        <v>56</v>
      </c>
      <c r="B57" s="10">
        <v>41.08</v>
      </c>
      <c r="C57" s="10">
        <v>31.75</v>
      </c>
    </row>
    <row r="58" spans="1:3" x14ac:dyDescent="0.35">
      <c r="A58" s="25">
        <v>57</v>
      </c>
      <c r="B58" s="10">
        <v>41.08</v>
      </c>
      <c r="C58" s="10">
        <v>36.75</v>
      </c>
    </row>
    <row r="59" spans="1:3" x14ac:dyDescent="0.35">
      <c r="A59" s="25">
        <v>58</v>
      </c>
      <c r="B59" s="10">
        <v>41.08</v>
      </c>
      <c r="C59" s="10">
        <v>44.75</v>
      </c>
    </row>
    <row r="60" spans="1:3" x14ac:dyDescent="0.35">
      <c r="A60" s="25">
        <v>59</v>
      </c>
      <c r="B60" s="10">
        <v>61.08</v>
      </c>
      <c r="C60" s="10">
        <v>36.75</v>
      </c>
    </row>
    <row r="61" spans="1:3" x14ac:dyDescent="0.35">
      <c r="A61" s="25">
        <v>60</v>
      </c>
      <c r="B61" s="10">
        <v>61.08</v>
      </c>
      <c r="C61" s="10">
        <v>55.75</v>
      </c>
    </row>
    <row r="62" spans="1:3" x14ac:dyDescent="0.35">
      <c r="A62" s="25">
        <v>61</v>
      </c>
      <c r="B62" s="10">
        <v>61.08</v>
      </c>
      <c r="C62" s="10">
        <v>40.17</v>
      </c>
    </row>
    <row r="63" spans="1:3" x14ac:dyDescent="0.35">
      <c r="A63" s="25">
        <v>62</v>
      </c>
      <c r="B63" s="10">
        <v>61.08</v>
      </c>
      <c r="C63" s="10">
        <v>56.75</v>
      </c>
    </row>
    <row r="64" spans="1:3" x14ac:dyDescent="0.35">
      <c r="A64" s="25">
        <v>63</v>
      </c>
      <c r="B64" s="10">
        <v>61.33</v>
      </c>
      <c r="C64" s="10">
        <v>26.42</v>
      </c>
    </row>
    <row r="65" spans="1:3" x14ac:dyDescent="0.35">
      <c r="A65" s="25">
        <v>64</v>
      </c>
      <c r="B65" s="10">
        <v>61.33</v>
      </c>
      <c r="C65" s="10">
        <v>66</v>
      </c>
    </row>
    <row r="66" spans="1:3" x14ac:dyDescent="0.35">
      <c r="A66" s="25">
        <v>65</v>
      </c>
      <c r="B66" s="10">
        <v>11.33</v>
      </c>
      <c r="C66" s="10">
        <v>13.33</v>
      </c>
    </row>
    <row r="67" spans="1:3" x14ac:dyDescent="0.35">
      <c r="A67" s="25">
        <v>66</v>
      </c>
      <c r="B67" s="10">
        <v>20.079999999999998</v>
      </c>
      <c r="C67" s="10">
        <v>38.75</v>
      </c>
    </row>
    <row r="68" spans="1:3" x14ac:dyDescent="0.35">
      <c r="A68" s="25">
        <v>67</v>
      </c>
      <c r="B68" s="10">
        <v>20.079999999999998</v>
      </c>
      <c r="C68" s="10">
        <v>38.75</v>
      </c>
    </row>
    <row r="69" spans="1:3" x14ac:dyDescent="0.35">
      <c r="A69" s="25">
        <v>68</v>
      </c>
      <c r="B69" s="10">
        <v>20.079999999999998</v>
      </c>
      <c r="C69" s="10">
        <v>38.75</v>
      </c>
    </row>
    <row r="70" spans="1:3" x14ac:dyDescent="0.35">
      <c r="A70" s="25">
        <v>69</v>
      </c>
      <c r="B70" s="10">
        <v>20.079999999999998</v>
      </c>
      <c r="C70" s="10">
        <v>38.75</v>
      </c>
    </row>
    <row r="71" spans="1:3" x14ac:dyDescent="0.35">
      <c r="A71" s="25">
        <v>70</v>
      </c>
      <c r="B71" s="10">
        <v>20.079999999999998</v>
      </c>
      <c r="C71" s="10">
        <v>38.75</v>
      </c>
    </row>
    <row r="72" spans="1:3" x14ac:dyDescent="0.35">
      <c r="A72" s="25">
        <v>71</v>
      </c>
      <c r="B72" s="10">
        <v>20.05</v>
      </c>
      <c r="C72" s="10">
        <v>38.75</v>
      </c>
    </row>
    <row r="73" spans="1:3" x14ac:dyDescent="0.35">
      <c r="A73" s="25">
        <v>72</v>
      </c>
      <c r="B73" s="10">
        <v>40.08</v>
      </c>
      <c r="C73" s="10">
        <v>54.75</v>
      </c>
    </row>
    <row r="74" spans="1:3" x14ac:dyDescent="0.35">
      <c r="A74" s="25">
        <v>73</v>
      </c>
      <c r="B74" s="10">
        <v>40.08</v>
      </c>
      <c r="C74" s="10">
        <v>25.75</v>
      </c>
    </row>
    <row r="75" spans="1:3" x14ac:dyDescent="0.35">
      <c r="A75" s="25">
        <v>74</v>
      </c>
      <c r="B75" s="10">
        <v>40.08</v>
      </c>
      <c r="C75" s="10">
        <v>25.75</v>
      </c>
    </row>
    <row r="76" spans="1:3" x14ac:dyDescent="0.35">
      <c r="A76" s="25">
        <v>75</v>
      </c>
      <c r="B76" s="10">
        <v>40.08</v>
      </c>
      <c r="C76" s="10">
        <v>54.75</v>
      </c>
    </row>
    <row r="77" spans="1:3" x14ac:dyDescent="0.35">
      <c r="A77" s="25">
        <v>76</v>
      </c>
      <c r="B77" s="10">
        <v>40.08</v>
      </c>
      <c r="C77" s="10">
        <v>23.75</v>
      </c>
    </row>
    <row r="78" spans="1:3" x14ac:dyDescent="0.35">
      <c r="A78" s="25">
        <v>77</v>
      </c>
      <c r="B78" s="10">
        <v>40.08</v>
      </c>
      <c r="C78" s="10">
        <v>73.08</v>
      </c>
    </row>
    <row r="79" spans="1:3" x14ac:dyDescent="0.35">
      <c r="A79" s="25">
        <v>78</v>
      </c>
      <c r="B79" s="10">
        <v>60.08</v>
      </c>
      <c r="C79" s="10">
        <v>57.75</v>
      </c>
    </row>
    <row r="80" spans="1:3" x14ac:dyDescent="0.35">
      <c r="A80" s="25">
        <v>79</v>
      </c>
      <c r="B80" s="10">
        <v>60.08</v>
      </c>
      <c r="C80" s="10">
        <v>56.75</v>
      </c>
    </row>
    <row r="81" spans="1:3" x14ac:dyDescent="0.35">
      <c r="A81" s="25">
        <v>80</v>
      </c>
      <c r="B81" s="10">
        <v>60.08</v>
      </c>
      <c r="C81" s="10">
        <v>57.75</v>
      </c>
    </row>
    <row r="82" spans="1:3" x14ac:dyDescent="0.35">
      <c r="A82" s="25">
        <v>81</v>
      </c>
      <c r="B82" s="10">
        <v>60.08</v>
      </c>
      <c r="C82" s="10">
        <v>58.17</v>
      </c>
    </row>
    <row r="83" spans="1:3" x14ac:dyDescent="0.35">
      <c r="A83" s="25">
        <v>82</v>
      </c>
      <c r="B83" s="10">
        <v>61.33</v>
      </c>
      <c r="C83" s="10">
        <v>62</v>
      </c>
    </row>
    <row r="84" spans="1:3" x14ac:dyDescent="0.35">
      <c r="A84" s="25">
        <v>83</v>
      </c>
      <c r="B84" s="10">
        <v>8.42</v>
      </c>
      <c r="C84" s="10">
        <v>9.09</v>
      </c>
    </row>
    <row r="85" spans="1:3" x14ac:dyDescent="0.35">
      <c r="A85" s="25">
        <v>84</v>
      </c>
      <c r="B85" s="10">
        <v>20.58</v>
      </c>
      <c r="C85" s="10">
        <v>16.25</v>
      </c>
    </row>
    <row r="86" spans="1:3" x14ac:dyDescent="0.35">
      <c r="A86" s="25">
        <v>85</v>
      </c>
      <c r="B86" s="10">
        <v>20.58</v>
      </c>
      <c r="C86" s="10">
        <v>16.25</v>
      </c>
    </row>
    <row r="87" spans="1:3" x14ac:dyDescent="0.35">
      <c r="A87" s="25">
        <v>86</v>
      </c>
      <c r="B87" s="10">
        <v>20.55</v>
      </c>
      <c r="C87" s="10">
        <v>16.25</v>
      </c>
    </row>
    <row r="88" spans="1:3" x14ac:dyDescent="0.35">
      <c r="A88" s="25">
        <v>87</v>
      </c>
      <c r="B88" s="10">
        <v>20.58</v>
      </c>
      <c r="C88" s="10">
        <v>16.25</v>
      </c>
    </row>
    <row r="89" spans="1:3" x14ac:dyDescent="0.35">
      <c r="A89" s="25">
        <v>88</v>
      </c>
      <c r="B89" s="10">
        <v>20.58</v>
      </c>
      <c r="C89" s="10">
        <v>16.25</v>
      </c>
    </row>
    <row r="90" spans="1:3" x14ac:dyDescent="0.35">
      <c r="A90" s="25">
        <v>89</v>
      </c>
      <c r="B90" s="10">
        <v>20.55</v>
      </c>
      <c r="C90" s="10">
        <v>16.25</v>
      </c>
    </row>
    <row r="91" spans="1:3" x14ac:dyDescent="0.35">
      <c r="A91" s="25">
        <v>90</v>
      </c>
      <c r="B91" s="10">
        <v>23.5</v>
      </c>
      <c r="C91" s="10">
        <v>29.17</v>
      </c>
    </row>
    <row r="92" spans="1:3" x14ac:dyDescent="0.35">
      <c r="A92" s="25">
        <v>91</v>
      </c>
      <c r="B92" s="10">
        <v>20.52</v>
      </c>
      <c r="C92" s="10">
        <v>21.19</v>
      </c>
    </row>
    <row r="93" spans="1:3" x14ac:dyDescent="0.35">
      <c r="A93" s="25">
        <v>92</v>
      </c>
      <c r="B93" s="10">
        <v>20.52</v>
      </c>
      <c r="C93" s="10">
        <v>20.190000000000001</v>
      </c>
    </row>
    <row r="94" spans="1:3" x14ac:dyDescent="0.35">
      <c r="A94" s="25">
        <v>93</v>
      </c>
      <c r="B94" s="10">
        <v>20.52</v>
      </c>
      <c r="C94" s="10">
        <v>20.190000000000001</v>
      </c>
    </row>
    <row r="95" spans="1:3" x14ac:dyDescent="0.35">
      <c r="A95" s="25">
        <v>94</v>
      </c>
      <c r="B95" s="10">
        <v>20.52</v>
      </c>
      <c r="C95" s="10">
        <v>36.19</v>
      </c>
    </row>
    <row r="96" spans="1:3" x14ac:dyDescent="0.35">
      <c r="A96" s="25">
        <v>95</v>
      </c>
      <c r="B96" s="10">
        <v>20.52</v>
      </c>
      <c r="C96" s="10">
        <v>26.19</v>
      </c>
    </row>
    <row r="97" spans="1:3" x14ac:dyDescent="0.35">
      <c r="A97" s="25">
        <v>96</v>
      </c>
      <c r="B97" s="10">
        <v>20.52</v>
      </c>
      <c r="C97" s="10">
        <v>22.19</v>
      </c>
    </row>
    <row r="98" spans="1:3" x14ac:dyDescent="0.35">
      <c r="A98" s="25">
        <v>97</v>
      </c>
      <c r="B98" s="10">
        <v>38.42</v>
      </c>
      <c r="C98" s="10">
        <v>29.51</v>
      </c>
    </row>
    <row r="99" spans="1:3" x14ac:dyDescent="0.35">
      <c r="A99" s="25">
        <v>98</v>
      </c>
      <c r="B99" s="10">
        <v>35.83</v>
      </c>
      <c r="C99" s="10">
        <v>26.51</v>
      </c>
    </row>
    <row r="100" spans="1:3" x14ac:dyDescent="0.35">
      <c r="A100" s="25">
        <v>99</v>
      </c>
      <c r="B100" s="10">
        <v>35.83</v>
      </c>
      <c r="C100" s="10">
        <v>27.09</v>
      </c>
    </row>
    <row r="101" spans="1:3" x14ac:dyDescent="0.35">
      <c r="A101" s="25">
        <v>100</v>
      </c>
      <c r="B101" s="10">
        <v>35.83</v>
      </c>
      <c r="C101" s="10">
        <v>34.51</v>
      </c>
    </row>
    <row r="102" spans="1:3" x14ac:dyDescent="0.35">
      <c r="A102" s="25">
        <v>101</v>
      </c>
      <c r="B102" s="10">
        <v>35.83</v>
      </c>
      <c r="C102" s="10">
        <v>37.090000000000003</v>
      </c>
    </row>
    <row r="103" spans="1:3" x14ac:dyDescent="0.35">
      <c r="A103" s="25">
        <v>102</v>
      </c>
      <c r="B103" s="10">
        <v>35.83</v>
      </c>
      <c r="C103" s="10">
        <v>31.51</v>
      </c>
    </row>
    <row r="104" spans="1:3" x14ac:dyDescent="0.35">
      <c r="A104" s="25">
        <v>103</v>
      </c>
      <c r="B104" s="10">
        <v>34.75</v>
      </c>
      <c r="C104" s="10">
        <v>55.42</v>
      </c>
    </row>
    <row r="105" spans="1:3" x14ac:dyDescent="0.35">
      <c r="A105" s="25">
        <v>104</v>
      </c>
      <c r="B105" s="10">
        <v>34.75</v>
      </c>
      <c r="C105" s="10">
        <v>28.84</v>
      </c>
    </row>
    <row r="106" spans="1:3" x14ac:dyDescent="0.35">
      <c r="A106" s="25">
        <v>105</v>
      </c>
      <c r="B106" s="10">
        <v>4.75</v>
      </c>
      <c r="C106" s="10">
        <v>14.42</v>
      </c>
    </row>
    <row r="107" spans="1:3" x14ac:dyDescent="0.35">
      <c r="A107" s="25">
        <v>106</v>
      </c>
      <c r="B107" s="10">
        <v>19.75</v>
      </c>
      <c r="C107" s="10">
        <v>22.42</v>
      </c>
    </row>
    <row r="108" spans="1:3" x14ac:dyDescent="0.35">
      <c r="A108" s="25">
        <v>107</v>
      </c>
      <c r="B108" s="10">
        <v>34.75</v>
      </c>
      <c r="C108" s="10">
        <v>42.42</v>
      </c>
    </row>
    <row r="109" spans="1:3" x14ac:dyDescent="0.35">
      <c r="A109" s="25">
        <v>108</v>
      </c>
      <c r="B109" s="10">
        <v>34.75</v>
      </c>
      <c r="C109" s="10">
        <v>55.42</v>
      </c>
    </row>
    <row r="110" spans="1:3" x14ac:dyDescent="0.35">
      <c r="A110" s="25">
        <v>109</v>
      </c>
      <c r="B110" s="10">
        <v>4.75</v>
      </c>
      <c r="C110" s="10">
        <v>14.42</v>
      </c>
    </row>
    <row r="111" spans="1:3" x14ac:dyDescent="0.35">
      <c r="A111" s="25">
        <v>110</v>
      </c>
      <c r="B111" s="10">
        <v>17.25</v>
      </c>
      <c r="C111" s="10">
        <v>21.92</v>
      </c>
    </row>
    <row r="112" spans="1:3" x14ac:dyDescent="0.35">
      <c r="A112" s="25">
        <v>111</v>
      </c>
      <c r="B112" s="10">
        <v>17.25</v>
      </c>
      <c r="C112" s="10">
        <v>21.92</v>
      </c>
    </row>
    <row r="113" spans="1:3" x14ac:dyDescent="0.35">
      <c r="A113" s="25">
        <v>112</v>
      </c>
      <c r="B113" s="10">
        <v>17.25</v>
      </c>
      <c r="C113" s="10">
        <v>21.92</v>
      </c>
    </row>
    <row r="114" spans="1:3" x14ac:dyDescent="0.35">
      <c r="A114" s="25">
        <v>113</v>
      </c>
      <c r="B114" s="10">
        <v>17.25</v>
      </c>
      <c r="C114" s="10">
        <v>21.92</v>
      </c>
    </row>
    <row r="115" spans="1:3" x14ac:dyDescent="0.35">
      <c r="A115" s="25">
        <v>114</v>
      </c>
      <c r="B115" s="10">
        <v>17.25</v>
      </c>
      <c r="C115" s="10">
        <v>21.92</v>
      </c>
    </row>
    <row r="116" spans="1:3" x14ac:dyDescent="0.35">
      <c r="A116" s="25">
        <v>115</v>
      </c>
      <c r="B116" s="10">
        <v>17.25</v>
      </c>
      <c r="C116" s="10">
        <v>21.92</v>
      </c>
    </row>
    <row r="117" spans="1:3" x14ac:dyDescent="0.35">
      <c r="A117" s="25">
        <v>116</v>
      </c>
      <c r="B117" s="10">
        <v>19.75</v>
      </c>
      <c r="C117" s="10">
        <v>22.42</v>
      </c>
    </row>
    <row r="118" spans="1:3" x14ac:dyDescent="0.35">
      <c r="A118" s="25">
        <v>117</v>
      </c>
      <c r="B118" s="10">
        <v>28.42</v>
      </c>
      <c r="C118" s="10">
        <v>32.090000000000003</v>
      </c>
    </row>
    <row r="119" spans="1:3" x14ac:dyDescent="0.35">
      <c r="A119" s="25">
        <v>118</v>
      </c>
      <c r="B119" s="10">
        <v>28.42</v>
      </c>
      <c r="C119" s="10">
        <v>32.090000000000003</v>
      </c>
    </row>
    <row r="120" spans="1:3" x14ac:dyDescent="0.35">
      <c r="A120" s="25">
        <v>119</v>
      </c>
      <c r="B120" s="10">
        <v>28.42</v>
      </c>
      <c r="C120" s="10">
        <v>32.090000000000003</v>
      </c>
    </row>
    <row r="121" spans="1:3" x14ac:dyDescent="0.35">
      <c r="A121" s="25">
        <v>120</v>
      </c>
      <c r="B121" s="10">
        <v>28.42</v>
      </c>
      <c r="C121" s="10">
        <v>32.090000000000003</v>
      </c>
    </row>
    <row r="122" spans="1:3" x14ac:dyDescent="0.35">
      <c r="A122" s="25">
        <v>121</v>
      </c>
      <c r="B122" s="10">
        <v>28.42</v>
      </c>
      <c r="C122" s="10">
        <v>32.090000000000003</v>
      </c>
    </row>
    <row r="123" spans="1:3" x14ac:dyDescent="0.35">
      <c r="A123" s="25">
        <v>122</v>
      </c>
      <c r="B123" s="10">
        <v>28.42</v>
      </c>
      <c r="C123" s="10">
        <v>32.090000000000003</v>
      </c>
    </row>
    <row r="124" spans="1:3" x14ac:dyDescent="0.35">
      <c r="A124" s="25">
        <v>123</v>
      </c>
      <c r="B124" s="10">
        <v>35.92</v>
      </c>
      <c r="C124" s="10">
        <v>46.59</v>
      </c>
    </row>
    <row r="125" spans="1:3" x14ac:dyDescent="0.35">
      <c r="A125" s="25">
        <v>124</v>
      </c>
      <c r="B125" s="10">
        <v>40.53</v>
      </c>
      <c r="C125" s="10">
        <v>55.51</v>
      </c>
    </row>
    <row r="126" spans="1:3" x14ac:dyDescent="0.35">
      <c r="A126" s="25">
        <v>125</v>
      </c>
      <c r="B126" s="10">
        <v>40.83</v>
      </c>
      <c r="C126" s="10">
        <v>56.51</v>
      </c>
    </row>
    <row r="127" spans="1:3" x14ac:dyDescent="0.35">
      <c r="A127" s="25">
        <v>126</v>
      </c>
      <c r="B127" s="10">
        <v>40.83</v>
      </c>
      <c r="C127" s="10">
        <v>67.09</v>
      </c>
    </row>
    <row r="128" spans="1:3" x14ac:dyDescent="0.35">
      <c r="A128" s="25">
        <v>127</v>
      </c>
      <c r="B128" s="10">
        <v>40.83</v>
      </c>
      <c r="C128" s="10">
        <v>57.09</v>
      </c>
    </row>
    <row r="129" spans="1:3" x14ac:dyDescent="0.35">
      <c r="A129" s="25">
        <v>128</v>
      </c>
      <c r="B129" s="10">
        <v>40.83</v>
      </c>
      <c r="C129" s="10">
        <v>67.09</v>
      </c>
    </row>
    <row r="130" spans="1:3" x14ac:dyDescent="0.35">
      <c r="A130" s="25">
        <v>129</v>
      </c>
      <c r="B130" s="10">
        <v>53.42</v>
      </c>
      <c r="C130" s="10">
        <v>55.09</v>
      </c>
    </row>
    <row r="131" spans="1:3" x14ac:dyDescent="0.35">
      <c r="A131" s="25">
        <v>130</v>
      </c>
      <c r="B131" s="10">
        <v>50.83</v>
      </c>
      <c r="C131" s="10">
        <v>50.34</v>
      </c>
    </row>
    <row r="132" spans="1:3" x14ac:dyDescent="0.35">
      <c r="A132" s="25">
        <v>131</v>
      </c>
      <c r="B132" s="10">
        <v>50.83</v>
      </c>
      <c r="C132" s="10">
        <v>50.34</v>
      </c>
    </row>
    <row r="133" spans="1:3" x14ac:dyDescent="0.35">
      <c r="A133" s="25">
        <v>132</v>
      </c>
      <c r="B133" s="10">
        <v>50.83</v>
      </c>
      <c r="C133" s="10">
        <v>45.34</v>
      </c>
    </row>
    <row r="134" spans="1:3" x14ac:dyDescent="0.35">
      <c r="A134" s="25">
        <v>133</v>
      </c>
      <c r="B134" s="10">
        <v>50.83</v>
      </c>
      <c r="C134" s="10">
        <v>47.76</v>
      </c>
    </row>
    <row r="135" spans="1:3" x14ac:dyDescent="0.35">
      <c r="A135" s="25">
        <v>134</v>
      </c>
      <c r="B135" s="10">
        <v>53.42</v>
      </c>
      <c r="C135" s="10">
        <v>41.51</v>
      </c>
    </row>
    <row r="136" spans="1:3" x14ac:dyDescent="0.35">
      <c r="A136" s="25">
        <v>135</v>
      </c>
      <c r="B136" s="10">
        <v>53.42</v>
      </c>
      <c r="C136" s="10">
        <v>41.09</v>
      </c>
    </row>
    <row r="137" spans="1:3" x14ac:dyDescent="0.35">
      <c r="A137" s="25">
        <v>136</v>
      </c>
      <c r="B137" s="10">
        <v>5.58</v>
      </c>
      <c r="C137" s="10">
        <v>19.25</v>
      </c>
    </row>
    <row r="138" spans="1:3" x14ac:dyDescent="0.35">
      <c r="A138" s="25">
        <v>137</v>
      </c>
      <c r="B138" s="10">
        <v>5.58</v>
      </c>
      <c r="C138" s="10">
        <v>19.25</v>
      </c>
    </row>
    <row r="139" spans="1:3" x14ac:dyDescent="0.35">
      <c r="A139" s="25">
        <v>138</v>
      </c>
      <c r="B139" s="10">
        <v>5.58</v>
      </c>
      <c r="C139" s="10">
        <v>19.25</v>
      </c>
    </row>
    <row r="140" spans="1:3" x14ac:dyDescent="0.35">
      <c r="A140" s="25">
        <v>139</v>
      </c>
      <c r="B140" s="10">
        <v>6.58</v>
      </c>
      <c r="C140" s="10">
        <v>19.25</v>
      </c>
    </row>
    <row r="141" spans="1:3" x14ac:dyDescent="0.35">
      <c r="A141" s="25">
        <v>140</v>
      </c>
      <c r="B141" s="10">
        <v>5.58</v>
      </c>
      <c r="C141" s="10">
        <v>19.25</v>
      </c>
    </row>
    <row r="142" spans="1:3" x14ac:dyDescent="0.35">
      <c r="A142" s="25">
        <v>141</v>
      </c>
      <c r="B142" s="10">
        <v>5.58</v>
      </c>
      <c r="C142" s="10">
        <v>19.25</v>
      </c>
    </row>
    <row r="143" spans="1:3" x14ac:dyDescent="0.35">
      <c r="A143" s="25">
        <v>142</v>
      </c>
      <c r="B143" s="10">
        <v>20.58</v>
      </c>
      <c r="C143" s="10">
        <v>28.25</v>
      </c>
    </row>
    <row r="144" spans="1:3" x14ac:dyDescent="0.35">
      <c r="A144" s="25">
        <v>143</v>
      </c>
      <c r="B144" s="10">
        <v>20.58</v>
      </c>
      <c r="C144" s="10">
        <v>28.25</v>
      </c>
    </row>
    <row r="145" spans="1:3" x14ac:dyDescent="0.35">
      <c r="A145" s="25">
        <v>144</v>
      </c>
      <c r="B145" s="10">
        <v>20.55</v>
      </c>
      <c r="C145" s="10">
        <v>28.25</v>
      </c>
    </row>
    <row r="146" spans="1:3" x14ac:dyDescent="0.35">
      <c r="A146" s="25">
        <v>145</v>
      </c>
      <c r="B146" s="10">
        <v>20.58</v>
      </c>
      <c r="C146" s="10">
        <v>28.25</v>
      </c>
    </row>
    <row r="147" spans="1:3" x14ac:dyDescent="0.35">
      <c r="A147" s="25">
        <v>146</v>
      </c>
      <c r="B147" s="10">
        <v>20.58</v>
      </c>
      <c r="C147" s="10">
        <v>28.25</v>
      </c>
    </row>
    <row r="148" spans="1:3" x14ac:dyDescent="0.35">
      <c r="A148" s="25">
        <v>147</v>
      </c>
      <c r="B148" s="10">
        <v>20.58</v>
      </c>
      <c r="C148" s="10">
        <v>28.25</v>
      </c>
    </row>
    <row r="149" spans="1:3" x14ac:dyDescent="0.35">
      <c r="A149" s="25">
        <v>148</v>
      </c>
      <c r="B149" s="10">
        <v>28.75</v>
      </c>
      <c r="C149" s="10">
        <v>32.42</v>
      </c>
    </row>
    <row r="150" spans="1:3" x14ac:dyDescent="0.35">
      <c r="A150" s="25">
        <v>149</v>
      </c>
      <c r="B150" s="10">
        <v>28.75</v>
      </c>
      <c r="C150" s="10">
        <v>32.42</v>
      </c>
    </row>
    <row r="151" spans="1:3" x14ac:dyDescent="0.35">
      <c r="A151" s="25">
        <v>150</v>
      </c>
      <c r="B151" s="10">
        <v>28.75</v>
      </c>
      <c r="C151" s="10">
        <v>32.42</v>
      </c>
    </row>
    <row r="152" spans="1:3" x14ac:dyDescent="0.35">
      <c r="A152" s="25">
        <v>151</v>
      </c>
      <c r="B152" s="10">
        <v>28.75</v>
      </c>
      <c r="C152" s="10">
        <v>32.42</v>
      </c>
    </row>
    <row r="153" spans="1:3" x14ac:dyDescent="0.35">
      <c r="A153" s="25">
        <v>152</v>
      </c>
      <c r="B153" s="10">
        <v>28.75</v>
      </c>
      <c r="C153" s="10">
        <v>32.42</v>
      </c>
    </row>
    <row r="154" spans="1:3" x14ac:dyDescent="0.35">
      <c r="A154" s="25">
        <v>153</v>
      </c>
      <c r="B154" s="10">
        <v>28.75</v>
      </c>
      <c r="C154" s="10">
        <v>32.42</v>
      </c>
    </row>
    <row r="155" spans="1:3" x14ac:dyDescent="0.35">
      <c r="A155" s="25">
        <v>154</v>
      </c>
      <c r="B155" s="10">
        <v>39.25</v>
      </c>
      <c r="C155" s="10">
        <v>56.92</v>
      </c>
    </row>
    <row r="156" spans="1:3" x14ac:dyDescent="0.35">
      <c r="A156" s="25">
        <v>155</v>
      </c>
      <c r="B156" s="10">
        <v>39.25</v>
      </c>
      <c r="C156" s="10">
        <v>60.92</v>
      </c>
    </row>
    <row r="157" spans="1:3" x14ac:dyDescent="0.35">
      <c r="A157" s="25">
        <v>156</v>
      </c>
      <c r="B157" s="10">
        <v>39.25</v>
      </c>
      <c r="C157" s="10">
        <v>59.92</v>
      </c>
    </row>
    <row r="158" spans="1:3" x14ac:dyDescent="0.35">
      <c r="A158" s="25">
        <v>157</v>
      </c>
      <c r="B158" s="10">
        <v>39.25</v>
      </c>
      <c r="C158" s="10">
        <v>59.34</v>
      </c>
    </row>
    <row r="159" spans="1:3" x14ac:dyDescent="0.35">
      <c r="A159" s="25">
        <v>158</v>
      </c>
      <c r="B159" s="10">
        <v>39.25</v>
      </c>
      <c r="C159" s="10">
        <v>57.92</v>
      </c>
    </row>
    <row r="160" spans="1:3" x14ac:dyDescent="0.35">
      <c r="A160" s="25">
        <v>159</v>
      </c>
      <c r="B160" s="10">
        <v>49.75</v>
      </c>
      <c r="C160" s="10">
        <v>47.42</v>
      </c>
    </row>
    <row r="161" spans="1:3" x14ac:dyDescent="0.35">
      <c r="A161" s="25">
        <v>160</v>
      </c>
      <c r="B161" s="10">
        <v>49.75</v>
      </c>
      <c r="C161" s="10">
        <v>48.42</v>
      </c>
    </row>
    <row r="162" spans="1:3" x14ac:dyDescent="0.35">
      <c r="A162" s="25">
        <v>161</v>
      </c>
      <c r="B162" s="10">
        <v>49.75</v>
      </c>
      <c r="C162" s="10">
        <v>48.42</v>
      </c>
    </row>
    <row r="163" spans="1:3" x14ac:dyDescent="0.35">
      <c r="A163" s="25">
        <v>162</v>
      </c>
      <c r="B163" s="10">
        <v>49.75</v>
      </c>
      <c r="C163" s="10">
        <v>48.42</v>
      </c>
    </row>
    <row r="164" spans="1:3" x14ac:dyDescent="0.35">
      <c r="A164" s="25">
        <v>163</v>
      </c>
      <c r="B164" s="10">
        <v>53.42</v>
      </c>
      <c r="C164" s="10">
        <v>45.09</v>
      </c>
    </row>
    <row r="165" spans="1:3" x14ac:dyDescent="0.35">
      <c r="A165" s="25">
        <v>164</v>
      </c>
      <c r="B165" s="10">
        <v>13.42</v>
      </c>
      <c r="C165" s="10">
        <v>22.09</v>
      </c>
    </row>
    <row r="166" spans="1:3" x14ac:dyDescent="0.35">
      <c r="A166" s="25">
        <v>165</v>
      </c>
      <c r="B166" s="10">
        <v>6.97</v>
      </c>
      <c r="C166" s="10">
        <v>26.64</v>
      </c>
    </row>
    <row r="167" spans="1:3" x14ac:dyDescent="0.35">
      <c r="A167" s="25">
        <v>166</v>
      </c>
      <c r="B167" s="10">
        <v>6.97</v>
      </c>
      <c r="C167" s="10">
        <v>26.64</v>
      </c>
    </row>
    <row r="168" spans="1:3" x14ac:dyDescent="0.35">
      <c r="A168" s="25">
        <v>167</v>
      </c>
      <c r="B168" s="10">
        <v>6.97</v>
      </c>
      <c r="C168" s="10">
        <v>26.64</v>
      </c>
    </row>
    <row r="169" spans="1:3" x14ac:dyDescent="0.35">
      <c r="A169" s="25">
        <v>168</v>
      </c>
      <c r="B169" s="10">
        <v>8.42</v>
      </c>
      <c r="C169" s="10">
        <v>22.09</v>
      </c>
    </row>
    <row r="170" spans="1:3" x14ac:dyDescent="0.35">
      <c r="A170" s="25">
        <v>169</v>
      </c>
      <c r="B170" s="10">
        <v>21.67</v>
      </c>
      <c r="C170" s="10">
        <v>29.34</v>
      </c>
    </row>
    <row r="171" spans="1:3" x14ac:dyDescent="0.35">
      <c r="A171" s="25">
        <v>170</v>
      </c>
      <c r="B171" s="10">
        <v>21.67</v>
      </c>
      <c r="C171" s="10">
        <v>29.34</v>
      </c>
    </row>
    <row r="172" spans="1:3" x14ac:dyDescent="0.35">
      <c r="A172" s="25">
        <v>171</v>
      </c>
      <c r="B172" s="10">
        <v>21.67</v>
      </c>
      <c r="C172" s="10">
        <v>29.34</v>
      </c>
    </row>
    <row r="173" spans="1:3" x14ac:dyDescent="0.35">
      <c r="A173" s="25">
        <v>172</v>
      </c>
      <c r="B173" s="10">
        <v>28.42</v>
      </c>
      <c r="C173" s="10">
        <v>37.090000000000003</v>
      </c>
    </row>
    <row r="174" spans="1:3" x14ac:dyDescent="0.35">
      <c r="A174" s="25">
        <v>173</v>
      </c>
      <c r="B174" s="10">
        <v>31.67</v>
      </c>
      <c r="C174" s="10">
        <v>34.340000000000003</v>
      </c>
    </row>
    <row r="175" spans="1:3" x14ac:dyDescent="0.35">
      <c r="A175" s="25">
        <v>174</v>
      </c>
      <c r="B175" s="10">
        <v>31.67</v>
      </c>
      <c r="C175" s="10">
        <v>35.340000000000003</v>
      </c>
    </row>
    <row r="176" spans="1:3" x14ac:dyDescent="0.35">
      <c r="A176" s="25">
        <v>175</v>
      </c>
      <c r="B176" s="10">
        <v>31.67</v>
      </c>
      <c r="C176" s="10">
        <v>29.34</v>
      </c>
    </row>
    <row r="177" spans="1:3" x14ac:dyDescent="0.35">
      <c r="A177" s="25">
        <v>176</v>
      </c>
      <c r="B177" s="10">
        <v>38.42</v>
      </c>
      <c r="C177" s="10">
        <v>59.09</v>
      </c>
    </row>
    <row r="178" spans="1:3" x14ac:dyDescent="0.35">
      <c r="A178" s="25">
        <v>177</v>
      </c>
      <c r="B178" s="10">
        <v>41.67</v>
      </c>
      <c r="C178" s="25">
        <v>61.34</v>
      </c>
    </row>
    <row r="179" spans="1:3" x14ac:dyDescent="0.35">
      <c r="A179" s="25">
        <v>178</v>
      </c>
      <c r="B179" s="10">
        <v>41.67</v>
      </c>
      <c r="C179" s="10">
        <v>60.34</v>
      </c>
    </row>
    <row r="180" spans="1:3" x14ac:dyDescent="0.35">
      <c r="A180" s="25">
        <v>179</v>
      </c>
      <c r="B180" s="10">
        <v>41.67</v>
      </c>
      <c r="C180" s="10">
        <v>61.34</v>
      </c>
    </row>
    <row r="181" spans="1:3" x14ac:dyDescent="0.35">
      <c r="A181" s="25">
        <v>180</v>
      </c>
      <c r="B181" s="10">
        <v>53.42</v>
      </c>
      <c r="C181" s="10">
        <v>49.09</v>
      </c>
    </row>
    <row r="182" spans="1:3" x14ac:dyDescent="0.35">
      <c r="A182" s="25">
        <v>181</v>
      </c>
      <c r="B182" s="25">
        <v>13.42</v>
      </c>
      <c r="C182" s="26">
        <v>11.59</v>
      </c>
    </row>
    <row r="183" spans="1:3" x14ac:dyDescent="0.35">
      <c r="A183" s="25">
        <v>182</v>
      </c>
      <c r="B183" s="25">
        <v>13.42</v>
      </c>
      <c r="C183" s="10">
        <v>14.09</v>
      </c>
    </row>
    <row r="184" spans="1:3" x14ac:dyDescent="0.35">
      <c r="A184" s="25">
        <v>183</v>
      </c>
      <c r="B184" s="25">
        <v>10.83</v>
      </c>
      <c r="C184" s="10">
        <v>26.5</v>
      </c>
    </row>
    <row r="185" spans="1:3" x14ac:dyDescent="0.35">
      <c r="A185" s="25">
        <v>184</v>
      </c>
      <c r="B185" s="25">
        <v>10.83</v>
      </c>
      <c r="C185" s="10">
        <v>24.5</v>
      </c>
    </row>
    <row r="186" spans="1:3" x14ac:dyDescent="0.35">
      <c r="A186" s="25">
        <v>185</v>
      </c>
      <c r="B186" s="25">
        <v>10.83</v>
      </c>
      <c r="C186" s="10">
        <v>33.92</v>
      </c>
    </row>
    <row r="187" spans="1:3" x14ac:dyDescent="0.35">
      <c r="A187" s="25">
        <v>186</v>
      </c>
      <c r="B187" s="25">
        <v>10.83</v>
      </c>
      <c r="C187" s="10">
        <v>32.92</v>
      </c>
    </row>
    <row r="188" spans="1:3" x14ac:dyDescent="0.35">
      <c r="A188" s="25">
        <v>187</v>
      </c>
      <c r="B188" s="25">
        <v>10.83</v>
      </c>
      <c r="C188" s="10">
        <v>16.09</v>
      </c>
    </row>
    <row r="189" spans="1:3" x14ac:dyDescent="0.35">
      <c r="A189" s="25">
        <v>188</v>
      </c>
      <c r="B189" s="26">
        <v>15.42</v>
      </c>
      <c r="C189" s="10">
        <v>18.510000000000002</v>
      </c>
    </row>
    <row r="190" spans="1:3" x14ac:dyDescent="0.35">
      <c r="A190" s="25">
        <v>189</v>
      </c>
      <c r="B190" s="26">
        <v>15.42</v>
      </c>
      <c r="C190" s="10">
        <v>28.09</v>
      </c>
    </row>
    <row r="191" spans="1:3" x14ac:dyDescent="0.35">
      <c r="A191" s="25">
        <v>190</v>
      </c>
      <c r="B191" s="26">
        <v>15.42</v>
      </c>
      <c r="C191" s="10">
        <v>29.09</v>
      </c>
    </row>
    <row r="192" spans="1:3" x14ac:dyDescent="0.35">
      <c r="A192" s="25">
        <v>191</v>
      </c>
      <c r="B192" s="26">
        <v>15.42</v>
      </c>
      <c r="C192" s="10">
        <v>29.09</v>
      </c>
    </row>
    <row r="193" spans="1:3" x14ac:dyDescent="0.35">
      <c r="A193" s="25">
        <v>192</v>
      </c>
      <c r="B193" s="25">
        <v>9.42</v>
      </c>
      <c r="C193" s="10">
        <v>14.09</v>
      </c>
    </row>
    <row r="194" spans="1:3" x14ac:dyDescent="0.35">
      <c r="A194" s="25">
        <v>193</v>
      </c>
      <c r="B194" s="25">
        <v>9.42</v>
      </c>
      <c r="C194" s="10">
        <v>14.09</v>
      </c>
    </row>
    <row r="195" spans="1:3" x14ac:dyDescent="0.35">
      <c r="A195" s="25">
        <v>194</v>
      </c>
      <c r="B195" s="25">
        <v>9.42</v>
      </c>
      <c r="C195" s="10">
        <v>14.09</v>
      </c>
    </row>
    <row r="196" spans="1:3" x14ac:dyDescent="0.35">
      <c r="A196" s="25">
        <v>195</v>
      </c>
      <c r="B196" s="25">
        <v>9.42</v>
      </c>
      <c r="C196" s="10">
        <v>14.09</v>
      </c>
    </row>
    <row r="197" spans="1:3" x14ac:dyDescent="0.35">
      <c r="A197" s="25">
        <v>196</v>
      </c>
      <c r="B197" s="25">
        <v>9.42</v>
      </c>
      <c r="C197" s="10">
        <v>14.09</v>
      </c>
    </row>
    <row r="198" spans="1:3" x14ac:dyDescent="0.35">
      <c r="A198" s="25">
        <v>197</v>
      </c>
      <c r="B198" s="10">
        <v>10.58</v>
      </c>
      <c r="C198" s="10">
        <v>23.25</v>
      </c>
    </row>
    <row r="199" spans="1:3" x14ac:dyDescent="0.35">
      <c r="A199" s="25">
        <v>198</v>
      </c>
      <c r="B199" s="10">
        <v>10.58</v>
      </c>
      <c r="C199" s="10">
        <v>23.25</v>
      </c>
    </row>
    <row r="200" spans="1:3" x14ac:dyDescent="0.35">
      <c r="A200" s="25">
        <v>199</v>
      </c>
      <c r="B200" s="10">
        <v>10.55</v>
      </c>
      <c r="C200" s="10">
        <v>23.25</v>
      </c>
    </row>
    <row r="201" spans="1:3" x14ac:dyDescent="0.35">
      <c r="A201" s="25">
        <v>200</v>
      </c>
      <c r="B201" s="10">
        <v>10.58</v>
      </c>
      <c r="C201" s="10">
        <v>23.25</v>
      </c>
    </row>
    <row r="202" spans="1:3" x14ac:dyDescent="0.35">
      <c r="A202" s="25">
        <v>201</v>
      </c>
      <c r="B202" s="10">
        <v>10.58</v>
      </c>
      <c r="C202" s="10">
        <v>23.25</v>
      </c>
    </row>
    <row r="203" spans="1:3" x14ac:dyDescent="0.35">
      <c r="A203" s="25">
        <v>202</v>
      </c>
      <c r="B203" s="10">
        <v>10.55</v>
      </c>
      <c r="C203" s="10">
        <v>26.25</v>
      </c>
    </row>
    <row r="204" spans="1:3" x14ac:dyDescent="0.35">
      <c r="A204" s="25">
        <v>203</v>
      </c>
      <c r="B204" s="10">
        <v>20.55</v>
      </c>
      <c r="C204" s="10">
        <v>29.25</v>
      </c>
    </row>
    <row r="205" spans="1:3" x14ac:dyDescent="0.35">
      <c r="A205" s="25">
        <v>204</v>
      </c>
      <c r="B205" s="10">
        <v>20.55</v>
      </c>
      <c r="C205" s="10">
        <v>31.25</v>
      </c>
    </row>
    <row r="206" spans="1:3" x14ac:dyDescent="0.35">
      <c r="A206" s="25">
        <v>205</v>
      </c>
      <c r="B206" s="10">
        <v>20.58</v>
      </c>
      <c r="C206" s="10">
        <v>30.25</v>
      </c>
    </row>
    <row r="207" spans="1:3" x14ac:dyDescent="0.35">
      <c r="A207" s="25">
        <v>206</v>
      </c>
      <c r="B207" s="10">
        <v>20.55</v>
      </c>
      <c r="C207" s="10">
        <v>31.25</v>
      </c>
    </row>
    <row r="208" spans="1:3" x14ac:dyDescent="0.35">
      <c r="A208" s="25">
        <v>207</v>
      </c>
      <c r="B208" s="10">
        <v>20.58</v>
      </c>
      <c r="C208" s="10">
        <v>31.25</v>
      </c>
    </row>
    <row r="209" spans="1:3" x14ac:dyDescent="0.35">
      <c r="A209" s="25">
        <v>208</v>
      </c>
      <c r="B209" s="10">
        <v>20.55</v>
      </c>
      <c r="C209" s="10">
        <v>32.25</v>
      </c>
    </row>
    <row r="210" spans="1:3" x14ac:dyDescent="0.35">
      <c r="A210" s="25">
        <v>209</v>
      </c>
      <c r="B210" s="10">
        <v>30.58</v>
      </c>
      <c r="C210" s="10">
        <v>31.25</v>
      </c>
    </row>
    <row r="211" spans="1:3" x14ac:dyDescent="0.35">
      <c r="A211" s="25">
        <v>210</v>
      </c>
      <c r="B211" s="10">
        <v>30.55</v>
      </c>
      <c r="C211" s="10">
        <v>32.25</v>
      </c>
    </row>
    <row r="212" spans="1:3" x14ac:dyDescent="0.35">
      <c r="A212" s="25">
        <v>211</v>
      </c>
      <c r="B212" s="10">
        <v>30.58</v>
      </c>
      <c r="C212" s="10">
        <v>31.25</v>
      </c>
    </row>
    <row r="213" spans="1:3" x14ac:dyDescent="0.35">
      <c r="A213" s="25">
        <v>212</v>
      </c>
      <c r="B213" s="10">
        <v>30.58</v>
      </c>
      <c r="C213" s="10">
        <v>32.25</v>
      </c>
    </row>
    <row r="214" spans="1:3" x14ac:dyDescent="0.35">
      <c r="A214" s="25">
        <v>213</v>
      </c>
      <c r="B214" s="10">
        <v>30.58</v>
      </c>
      <c r="C214" s="10">
        <v>31.25</v>
      </c>
    </row>
    <row r="215" spans="1:3" x14ac:dyDescent="0.35">
      <c r="A215" s="25">
        <v>214</v>
      </c>
      <c r="B215" s="10">
        <v>30.55</v>
      </c>
      <c r="C215" s="10">
        <v>29.25</v>
      </c>
    </row>
    <row r="216" spans="1:3" x14ac:dyDescent="0.35">
      <c r="A216" s="25">
        <v>215</v>
      </c>
      <c r="B216" s="10">
        <v>40.83</v>
      </c>
      <c r="C216" s="10">
        <v>61.5</v>
      </c>
    </row>
    <row r="217" spans="1:3" x14ac:dyDescent="0.35">
      <c r="A217" s="25">
        <v>216</v>
      </c>
      <c r="B217" s="10">
        <v>40.83</v>
      </c>
      <c r="C217" s="10">
        <v>61.5</v>
      </c>
    </row>
    <row r="218" spans="1:3" x14ac:dyDescent="0.35">
      <c r="A218" s="25">
        <v>217</v>
      </c>
      <c r="B218" s="10">
        <v>40.83</v>
      </c>
      <c r="C218" s="10">
        <v>58.5</v>
      </c>
    </row>
    <row r="219" spans="1:3" x14ac:dyDescent="0.35">
      <c r="A219" s="25">
        <v>218</v>
      </c>
      <c r="B219" s="10">
        <v>40.83</v>
      </c>
      <c r="C219" s="10">
        <v>57.92</v>
      </c>
    </row>
    <row r="220" spans="1:3" x14ac:dyDescent="0.35">
      <c r="A220" s="25">
        <v>219</v>
      </c>
      <c r="B220" s="10">
        <v>40.83</v>
      </c>
      <c r="C220" s="10">
        <v>57.5</v>
      </c>
    </row>
    <row r="221" spans="1:3" x14ac:dyDescent="0.35">
      <c r="A221" s="25">
        <v>220</v>
      </c>
      <c r="B221" s="10">
        <v>50.83</v>
      </c>
      <c r="C221" s="10">
        <v>51.5</v>
      </c>
    </row>
    <row r="222" spans="1:3" x14ac:dyDescent="0.35">
      <c r="A222" s="25">
        <v>221</v>
      </c>
      <c r="B222" s="10">
        <v>50.83</v>
      </c>
      <c r="C222" s="10">
        <v>51.5</v>
      </c>
    </row>
    <row r="223" spans="1:3" x14ac:dyDescent="0.35">
      <c r="A223" s="25">
        <v>222</v>
      </c>
      <c r="B223" s="10">
        <v>50.83</v>
      </c>
      <c r="C223" s="10">
        <v>49.5</v>
      </c>
    </row>
    <row r="224" spans="1:3" x14ac:dyDescent="0.35">
      <c r="A224" s="25">
        <v>223</v>
      </c>
      <c r="B224" s="10">
        <v>50.83</v>
      </c>
      <c r="C224" s="10">
        <v>48.5</v>
      </c>
    </row>
    <row r="225" spans="1:3" x14ac:dyDescent="0.35">
      <c r="A225" s="25">
        <v>224</v>
      </c>
      <c r="B225" s="10">
        <v>63.42</v>
      </c>
      <c r="C225" s="10">
        <v>49.09</v>
      </c>
    </row>
    <row r="226" spans="1:3" x14ac:dyDescent="0.35">
      <c r="A226" s="25">
        <v>225</v>
      </c>
      <c r="B226" s="25">
        <v>53.42</v>
      </c>
      <c r="C226" s="10">
        <v>52.09</v>
      </c>
    </row>
    <row r="227" spans="1:3" x14ac:dyDescent="0.35">
      <c r="A227" s="25">
        <v>226</v>
      </c>
      <c r="B227" s="25">
        <v>22.58</v>
      </c>
      <c r="C227" s="10">
        <v>23.25</v>
      </c>
    </row>
    <row r="228" spans="1:3" x14ac:dyDescent="0.35">
      <c r="A228" s="25">
        <v>227</v>
      </c>
      <c r="B228" s="10">
        <v>22.58</v>
      </c>
      <c r="C228" s="10">
        <v>21.25</v>
      </c>
    </row>
    <row r="229" spans="1:3" x14ac:dyDescent="0.35">
      <c r="A229" s="25">
        <v>228</v>
      </c>
      <c r="B229" s="25">
        <v>20.83</v>
      </c>
      <c r="C229" s="10">
        <v>22.5</v>
      </c>
    </row>
    <row r="230" spans="1:3" x14ac:dyDescent="0.35">
      <c r="A230" s="25">
        <v>229</v>
      </c>
      <c r="B230" s="25">
        <v>20.83</v>
      </c>
      <c r="C230" s="10">
        <v>22.5</v>
      </c>
    </row>
    <row r="231" spans="1:3" x14ac:dyDescent="0.35">
      <c r="A231" s="25">
        <v>230</v>
      </c>
      <c r="B231" s="10">
        <v>20.83</v>
      </c>
      <c r="C231" s="10">
        <v>27.5</v>
      </c>
    </row>
    <row r="232" spans="1:3" x14ac:dyDescent="0.35">
      <c r="A232" s="25">
        <v>231</v>
      </c>
      <c r="B232" s="10">
        <v>20.83</v>
      </c>
      <c r="C232" s="10">
        <v>25.92</v>
      </c>
    </row>
    <row r="233" spans="1:3" x14ac:dyDescent="0.35">
      <c r="A233" s="25">
        <v>232</v>
      </c>
      <c r="B233" s="10">
        <v>22.68</v>
      </c>
      <c r="C233" s="10">
        <v>37.25</v>
      </c>
    </row>
    <row r="234" spans="1:3" x14ac:dyDescent="0.35">
      <c r="A234" s="25">
        <v>233</v>
      </c>
      <c r="B234" s="10">
        <v>20.83</v>
      </c>
      <c r="C234" s="10">
        <v>22.92</v>
      </c>
    </row>
    <row r="235" spans="1:3" x14ac:dyDescent="0.35">
      <c r="A235" s="25">
        <v>234</v>
      </c>
      <c r="B235" s="10">
        <v>20.83</v>
      </c>
      <c r="C235" s="10">
        <v>26.92</v>
      </c>
    </row>
    <row r="236" spans="1:3" x14ac:dyDescent="0.35">
      <c r="A236" s="25">
        <v>235</v>
      </c>
      <c r="B236" s="10">
        <v>20.83</v>
      </c>
      <c r="C236" s="10">
        <v>21.5</v>
      </c>
    </row>
    <row r="237" spans="1:3" x14ac:dyDescent="0.35">
      <c r="A237" s="25">
        <v>236</v>
      </c>
      <c r="B237" s="10">
        <v>20.83</v>
      </c>
      <c r="C237" s="10">
        <v>22.5</v>
      </c>
    </row>
    <row r="238" spans="1:3" x14ac:dyDescent="0.35">
      <c r="A238" s="25">
        <v>237</v>
      </c>
      <c r="B238" s="10">
        <v>24.83</v>
      </c>
      <c r="C238" s="10">
        <v>33.5</v>
      </c>
    </row>
    <row r="239" spans="1:3" x14ac:dyDescent="0.35">
      <c r="A239" s="25">
        <v>238</v>
      </c>
      <c r="B239" s="10">
        <v>24.83</v>
      </c>
      <c r="C239" s="10">
        <v>33.5</v>
      </c>
    </row>
    <row r="240" spans="1:3" x14ac:dyDescent="0.35">
      <c r="A240" s="25">
        <v>239</v>
      </c>
      <c r="B240" s="10">
        <v>24.83</v>
      </c>
      <c r="C240" s="10">
        <v>31.5</v>
      </c>
    </row>
    <row r="241" spans="1:3" x14ac:dyDescent="0.35">
      <c r="A241" s="25">
        <v>240</v>
      </c>
      <c r="B241" s="10">
        <v>24.83</v>
      </c>
      <c r="C241" s="10">
        <v>32.5</v>
      </c>
    </row>
    <row r="242" spans="1:3" x14ac:dyDescent="0.35">
      <c r="A242" s="25">
        <v>241</v>
      </c>
      <c r="B242" s="10">
        <v>10.83</v>
      </c>
      <c r="C242" s="10">
        <v>14.5</v>
      </c>
    </row>
    <row r="243" spans="1:3" x14ac:dyDescent="0.35">
      <c r="A243" s="25">
        <v>242</v>
      </c>
      <c r="B243" s="10">
        <v>10.83</v>
      </c>
      <c r="C243" s="10">
        <v>17.5</v>
      </c>
    </row>
    <row r="244" spans="1:3" x14ac:dyDescent="0.35">
      <c r="A244" s="25">
        <v>243</v>
      </c>
      <c r="B244" s="10">
        <v>10.83</v>
      </c>
      <c r="C244" s="10">
        <v>14.5</v>
      </c>
    </row>
    <row r="245" spans="1:3" x14ac:dyDescent="0.35">
      <c r="A245" s="25">
        <v>244</v>
      </c>
      <c r="B245" s="10">
        <v>10.83</v>
      </c>
      <c r="C245" s="10">
        <v>14.5</v>
      </c>
    </row>
    <row r="246" spans="1:3" x14ac:dyDescent="0.35">
      <c r="A246" s="25">
        <v>245</v>
      </c>
      <c r="B246" s="10">
        <v>11.67</v>
      </c>
      <c r="C246" s="10">
        <v>17.5</v>
      </c>
    </row>
    <row r="247" spans="1:3" x14ac:dyDescent="0.35">
      <c r="A247" s="25">
        <v>246</v>
      </c>
      <c r="B247" s="10">
        <v>11.67</v>
      </c>
      <c r="C247" s="10">
        <v>17.5</v>
      </c>
    </row>
    <row r="248" spans="1:3" x14ac:dyDescent="0.35">
      <c r="A248" s="25">
        <v>247</v>
      </c>
      <c r="B248" s="10">
        <v>11.67</v>
      </c>
      <c r="C248" s="10">
        <v>17.5</v>
      </c>
    </row>
    <row r="249" spans="1:3" x14ac:dyDescent="0.35">
      <c r="A249" s="25">
        <v>248</v>
      </c>
      <c r="B249" s="10">
        <v>11.67</v>
      </c>
      <c r="C249" s="10">
        <v>17.5</v>
      </c>
    </row>
    <row r="250" spans="1:3" x14ac:dyDescent="0.35">
      <c r="A250" s="25">
        <v>249</v>
      </c>
      <c r="B250" s="10">
        <v>20.83</v>
      </c>
      <c r="C250" s="10">
        <v>26.5</v>
      </c>
    </row>
    <row r="251" spans="1:3" x14ac:dyDescent="0.35">
      <c r="A251" s="25">
        <v>250</v>
      </c>
      <c r="B251" s="10">
        <v>20.83</v>
      </c>
      <c r="C251" s="10">
        <v>31.5</v>
      </c>
    </row>
    <row r="252" spans="1:3" x14ac:dyDescent="0.35">
      <c r="A252" s="25">
        <v>251</v>
      </c>
      <c r="B252" s="10">
        <v>20.83</v>
      </c>
      <c r="C252" s="10">
        <v>28.5</v>
      </c>
    </row>
    <row r="253" spans="1:3" x14ac:dyDescent="0.35">
      <c r="A253" s="25">
        <v>252</v>
      </c>
      <c r="B253" s="10">
        <v>20.83</v>
      </c>
      <c r="C253" s="10">
        <v>26.5</v>
      </c>
    </row>
    <row r="254" spans="1:3" x14ac:dyDescent="0.35">
      <c r="A254" s="25">
        <v>253</v>
      </c>
      <c r="B254" s="10">
        <v>25.83</v>
      </c>
      <c r="C254" s="10">
        <v>34.5</v>
      </c>
    </row>
    <row r="255" spans="1:3" x14ac:dyDescent="0.35">
      <c r="A255" s="25">
        <v>254</v>
      </c>
      <c r="B255" s="10">
        <v>25.83</v>
      </c>
      <c r="C255" s="10">
        <v>34.5</v>
      </c>
    </row>
    <row r="256" spans="1:3" x14ac:dyDescent="0.35">
      <c r="A256" s="25">
        <v>255</v>
      </c>
      <c r="B256" s="10">
        <v>25.83</v>
      </c>
      <c r="C256" s="10">
        <v>34.5</v>
      </c>
    </row>
    <row r="257" spans="1:3" x14ac:dyDescent="0.35">
      <c r="A257" s="25">
        <v>256</v>
      </c>
      <c r="B257" s="10">
        <v>25.83</v>
      </c>
      <c r="C257" s="10">
        <v>34.5</v>
      </c>
    </row>
    <row r="258" spans="1:3" x14ac:dyDescent="0.35">
      <c r="A258" s="25">
        <v>257</v>
      </c>
      <c r="B258" s="10">
        <v>30.83</v>
      </c>
      <c r="C258" s="10">
        <v>29.92</v>
      </c>
    </row>
    <row r="259" spans="1:3" x14ac:dyDescent="0.35">
      <c r="A259" s="25">
        <v>258</v>
      </c>
      <c r="B259" s="10">
        <v>30.83</v>
      </c>
      <c r="C259" s="10">
        <v>30.92</v>
      </c>
    </row>
    <row r="260" spans="1:3" x14ac:dyDescent="0.35">
      <c r="A260" s="25">
        <v>259</v>
      </c>
      <c r="B260" s="10">
        <v>30.83</v>
      </c>
      <c r="C260" s="10">
        <v>31.5</v>
      </c>
    </row>
    <row r="261" spans="1:3" x14ac:dyDescent="0.35">
      <c r="A261" s="25">
        <v>260</v>
      </c>
      <c r="B261" s="10">
        <v>30.83</v>
      </c>
      <c r="C261" s="10">
        <v>34.5</v>
      </c>
    </row>
    <row r="262" spans="1:3" x14ac:dyDescent="0.35">
      <c r="A262" s="25">
        <v>261</v>
      </c>
      <c r="B262" s="10">
        <v>40.83</v>
      </c>
      <c r="C262" s="10">
        <v>66.5</v>
      </c>
    </row>
    <row r="263" spans="1:3" x14ac:dyDescent="0.35">
      <c r="A263" s="25">
        <v>262</v>
      </c>
      <c r="B263" s="10">
        <v>40.83</v>
      </c>
      <c r="C263" s="10">
        <v>69.5</v>
      </c>
    </row>
    <row r="264" spans="1:3" x14ac:dyDescent="0.35">
      <c r="A264" s="25">
        <v>263</v>
      </c>
      <c r="B264" s="10">
        <v>40.83</v>
      </c>
      <c r="C264" s="10">
        <v>68.5</v>
      </c>
    </row>
    <row r="265" spans="1:3" x14ac:dyDescent="0.35">
      <c r="A265" s="25">
        <v>264</v>
      </c>
      <c r="B265" s="10">
        <v>40.53</v>
      </c>
      <c r="C265" s="10">
        <v>66.5</v>
      </c>
    </row>
    <row r="266" spans="1:3" x14ac:dyDescent="0.35">
      <c r="A266" s="25">
        <v>265</v>
      </c>
      <c r="B266" s="10">
        <v>50.83</v>
      </c>
      <c r="C266" s="10">
        <v>53.34</v>
      </c>
    </row>
    <row r="267" spans="1:3" x14ac:dyDescent="0.35">
      <c r="A267" s="25">
        <v>266</v>
      </c>
      <c r="B267" s="10">
        <v>50.83</v>
      </c>
      <c r="C267" s="10">
        <v>54.34</v>
      </c>
    </row>
    <row r="268" spans="1:3" x14ac:dyDescent="0.35">
      <c r="A268" s="25">
        <v>267</v>
      </c>
      <c r="B268" s="10">
        <v>50.83</v>
      </c>
      <c r="C268" s="10">
        <v>61.76</v>
      </c>
    </row>
    <row r="269" spans="1:3" x14ac:dyDescent="0.35">
      <c r="A269" s="25">
        <v>268</v>
      </c>
      <c r="B269" s="10">
        <v>50.83</v>
      </c>
      <c r="C269" s="10">
        <v>51.34</v>
      </c>
    </row>
    <row r="270" spans="1:3" x14ac:dyDescent="0.35">
      <c r="A270" s="25">
        <v>269</v>
      </c>
      <c r="B270" s="10">
        <v>53.42</v>
      </c>
      <c r="C270" s="10">
        <v>52.09</v>
      </c>
    </row>
    <row r="271" spans="1:3" x14ac:dyDescent="0.35">
      <c r="A271" s="25">
        <v>270</v>
      </c>
      <c r="B271" s="10">
        <v>53.42</v>
      </c>
      <c r="C271" s="10">
        <v>52.09</v>
      </c>
    </row>
    <row r="272" spans="1:3" x14ac:dyDescent="0.35">
      <c r="A272" s="25">
        <v>271</v>
      </c>
      <c r="B272" s="10">
        <v>53.42</v>
      </c>
      <c r="C272" s="10">
        <v>52.09</v>
      </c>
    </row>
    <row r="273" spans="1:3" x14ac:dyDescent="0.35">
      <c r="A273" s="25">
        <v>272</v>
      </c>
      <c r="B273" s="10">
        <v>22.58</v>
      </c>
      <c r="C273" s="10">
        <v>38.25</v>
      </c>
    </row>
    <row r="274" spans="1:3" x14ac:dyDescent="0.35">
      <c r="A274" s="25">
        <v>273</v>
      </c>
      <c r="B274" s="10">
        <v>22.58</v>
      </c>
      <c r="C274" s="10">
        <v>43.25</v>
      </c>
    </row>
    <row r="275" spans="1:3" x14ac:dyDescent="0.35">
      <c r="A275" s="25">
        <v>274</v>
      </c>
      <c r="B275" s="10">
        <v>22.58</v>
      </c>
      <c r="C275" s="10">
        <v>50.25</v>
      </c>
    </row>
    <row r="276" spans="1:3" x14ac:dyDescent="0.35">
      <c r="A276" s="25">
        <v>275</v>
      </c>
      <c r="B276" s="10">
        <v>20.83</v>
      </c>
      <c r="C276" s="10">
        <v>29.5</v>
      </c>
    </row>
    <row r="277" spans="1:3" x14ac:dyDescent="0.35">
      <c r="A277" s="25">
        <v>276</v>
      </c>
      <c r="B277" s="10">
        <v>20.83</v>
      </c>
      <c r="C277" s="10">
        <v>29.5</v>
      </c>
    </row>
    <row r="278" spans="1:3" x14ac:dyDescent="0.35">
      <c r="A278" s="25">
        <v>277</v>
      </c>
      <c r="B278" s="10">
        <v>20.83</v>
      </c>
      <c r="C278" s="25">
        <v>38</v>
      </c>
    </row>
    <row r="279" spans="1:3" x14ac:dyDescent="0.35">
      <c r="A279" s="25">
        <v>278</v>
      </c>
      <c r="B279" s="10">
        <v>25.42</v>
      </c>
      <c r="C279" s="10">
        <v>31.69</v>
      </c>
    </row>
    <row r="280" spans="1:3" x14ac:dyDescent="0.35">
      <c r="A280" s="25">
        <v>279</v>
      </c>
      <c r="B280" s="10">
        <v>26.67</v>
      </c>
      <c r="C280" s="10">
        <v>27.34</v>
      </c>
    </row>
    <row r="281" spans="1:3" x14ac:dyDescent="0.35">
      <c r="A281" s="25">
        <v>280</v>
      </c>
      <c r="B281" s="10">
        <v>26.67</v>
      </c>
      <c r="C281" s="10">
        <v>32.340000000000003</v>
      </c>
    </row>
    <row r="282" spans="1:3" x14ac:dyDescent="0.35">
      <c r="A282" s="25">
        <v>281</v>
      </c>
      <c r="B282" s="10">
        <v>26.67</v>
      </c>
      <c r="C282" s="10">
        <v>26.76</v>
      </c>
    </row>
    <row r="283" spans="1:3" x14ac:dyDescent="0.35">
      <c r="A283" s="25">
        <v>282</v>
      </c>
      <c r="B283" s="10">
        <v>23.42</v>
      </c>
      <c r="C283" s="10">
        <v>10.51</v>
      </c>
    </row>
    <row r="284" spans="1:3" x14ac:dyDescent="0.35">
      <c r="A284" s="25">
        <v>283</v>
      </c>
      <c r="B284" s="10">
        <v>11.67</v>
      </c>
      <c r="C284" s="10">
        <v>18.34</v>
      </c>
    </row>
    <row r="285" spans="1:3" x14ac:dyDescent="0.35">
      <c r="A285" s="25">
        <v>284</v>
      </c>
      <c r="B285" s="10">
        <v>11.67</v>
      </c>
      <c r="C285" s="10">
        <v>18.34</v>
      </c>
    </row>
    <row r="286" spans="1:3" x14ac:dyDescent="0.35">
      <c r="A286" s="25">
        <v>285</v>
      </c>
      <c r="B286" s="10">
        <v>11.67</v>
      </c>
      <c r="C286" s="10">
        <v>18.34</v>
      </c>
    </row>
    <row r="287" spans="1:3" x14ac:dyDescent="0.35">
      <c r="A287" s="25">
        <v>286</v>
      </c>
      <c r="B287" s="10">
        <v>13.42</v>
      </c>
      <c r="C287" s="10">
        <v>8.09</v>
      </c>
    </row>
    <row r="288" spans="1:3" x14ac:dyDescent="0.35">
      <c r="A288" s="25">
        <v>287</v>
      </c>
      <c r="B288" s="10">
        <v>11.67</v>
      </c>
      <c r="C288" s="10">
        <v>22.34</v>
      </c>
    </row>
    <row r="289" spans="1:3" x14ac:dyDescent="0.35">
      <c r="A289" s="25">
        <v>288</v>
      </c>
      <c r="B289" s="10">
        <v>11.67</v>
      </c>
      <c r="C289" s="10">
        <v>21.34</v>
      </c>
    </row>
    <row r="290" spans="1:3" x14ac:dyDescent="0.35">
      <c r="A290" s="25">
        <v>289</v>
      </c>
      <c r="B290" s="10">
        <v>11.67</v>
      </c>
      <c r="C290" s="10">
        <v>21.34</v>
      </c>
    </row>
    <row r="291" spans="1:3" x14ac:dyDescent="0.35">
      <c r="A291" s="25">
        <v>290</v>
      </c>
      <c r="B291" s="10">
        <v>13.42</v>
      </c>
      <c r="C291" s="10">
        <v>16.09</v>
      </c>
    </row>
    <row r="292" spans="1:3" x14ac:dyDescent="0.35">
      <c r="A292" s="25">
        <v>291</v>
      </c>
      <c r="B292" s="10">
        <v>21.67</v>
      </c>
      <c r="C292" s="10">
        <v>29.34</v>
      </c>
    </row>
    <row r="293" spans="1:3" x14ac:dyDescent="0.35">
      <c r="A293" s="25">
        <v>292</v>
      </c>
      <c r="B293" s="10">
        <v>21.67</v>
      </c>
      <c r="C293" s="10">
        <v>30.34</v>
      </c>
    </row>
    <row r="294" spans="1:3" x14ac:dyDescent="0.35">
      <c r="A294" s="25">
        <v>293</v>
      </c>
      <c r="B294" s="10">
        <v>21.67</v>
      </c>
      <c r="C294" s="10">
        <v>30.34</v>
      </c>
    </row>
    <row r="295" spans="1:3" x14ac:dyDescent="0.35">
      <c r="A295" s="25">
        <v>294</v>
      </c>
      <c r="B295" s="10">
        <v>28.42</v>
      </c>
      <c r="C295" s="10">
        <v>31.09</v>
      </c>
    </row>
    <row r="296" spans="1:3" x14ac:dyDescent="0.35">
      <c r="A296" s="25">
        <v>295</v>
      </c>
      <c r="B296" s="10">
        <v>26.67</v>
      </c>
      <c r="C296" s="10">
        <v>24.34</v>
      </c>
    </row>
    <row r="297" spans="1:3" x14ac:dyDescent="0.35">
      <c r="A297" s="25">
        <v>296</v>
      </c>
      <c r="B297" s="10">
        <v>26.67</v>
      </c>
      <c r="C297" s="10">
        <v>35.340000000000003</v>
      </c>
    </row>
    <row r="298" spans="1:3" x14ac:dyDescent="0.35">
      <c r="A298" s="25">
        <v>297</v>
      </c>
      <c r="B298" s="10">
        <v>26.67</v>
      </c>
      <c r="C298" s="10">
        <v>35.340000000000003</v>
      </c>
    </row>
    <row r="299" spans="1:3" x14ac:dyDescent="0.35">
      <c r="A299" s="25">
        <v>298</v>
      </c>
      <c r="B299" s="10">
        <v>28.42</v>
      </c>
      <c r="C299" s="10">
        <v>37.090000000000003</v>
      </c>
    </row>
    <row r="300" spans="1:3" x14ac:dyDescent="0.35">
      <c r="A300" s="25">
        <v>299</v>
      </c>
      <c r="B300" s="10">
        <v>31.67</v>
      </c>
      <c r="C300" s="10">
        <v>37.340000000000003</v>
      </c>
    </row>
    <row r="301" spans="1:3" x14ac:dyDescent="0.35">
      <c r="A301" s="25">
        <v>300</v>
      </c>
      <c r="B301" s="10">
        <v>31.67</v>
      </c>
      <c r="C301" s="10">
        <v>37.340000000000003</v>
      </c>
    </row>
    <row r="302" spans="1:3" x14ac:dyDescent="0.35">
      <c r="A302" s="25">
        <v>301</v>
      </c>
      <c r="B302" s="10">
        <v>31.67</v>
      </c>
      <c r="C302" s="10">
        <v>39.76</v>
      </c>
    </row>
    <row r="303" spans="1:3" x14ac:dyDescent="0.35">
      <c r="A303" s="25">
        <v>302</v>
      </c>
      <c r="B303" s="10">
        <v>38.42</v>
      </c>
      <c r="C303" s="10">
        <v>63.09</v>
      </c>
    </row>
    <row r="304" spans="1:3" x14ac:dyDescent="0.35">
      <c r="A304" s="25">
        <v>303</v>
      </c>
      <c r="B304" s="10">
        <v>41.67</v>
      </c>
      <c r="C304" s="10">
        <v>67.34</v>
      </c>
    </row>
    <row r="305" spans="1:3" x14ac:dyDescent="0.35">
      <c r="A305" s="25">
        <v>304</v>
      </c>
      <c r="B305" s="10">
        <v>41.67</v>
      </c>
      <c r="C305" s="10">
        <v>67.34</v>
      </c>
    </row>
    <row r="306" spans="1:3" x14ac:dyDescent="0.35">
      <c r="A306" s="25">
        <v>305</v>
      </c>
      <c r="B306" s="10">
        <v>41.67</v>
      </c>
      <c r="C306" s="10">
        <v>67.34</v>
      </c>
    </row>
    <row r="307" spans="1:3" x14ac:dyDescent="0.35">
      <c r="A307" s="25">
        <v>306</v>
      </c>
      <c r="B307" s="10">
        <v>53.42</v>
      </c>
      <c r="C307" s="10">
        <v>64.09</v>
      </c>
    </row>
    <row r="308" spans="1:3" x14ac:dyDescent="0.35">
      <c r="A308" s="25">
        <v>307</v>
      </c>
      <c r="B308" s="10">
        <v>51.67</v>
      </c>
      <c r="C308" s="10">
        <v>51.34</v>
      </c>
    </row>
    <row r="309" spans="1:3" x14ac:dyDescent="0.35">
      <c r="A309" s="25">
        <v>308</v>
      </c>
      <c r="B309" s="10">
        <v>51.67</v>
      </c>
      <c r="C309" s="10">
        <v>50.76</v>
      </c>
    </row>
    <row r="310" spans="1:3" x14ac:dyDescent="0.35">
      <c r="A310" s="25">
        <v>309</v>
      </c>
      <c r="B310" s="10">
        <v>51.67</v>
      </c>
      <c r="C310" s="10">
        <v>46.34</v>
      </c>
    </row>
    <row r="311" spans="1:3" x14ac:dyDescent="0.35">
      <c r="A311" s="25">
        <v>310</v>
      </c>
      <c r="B311" s="10">
        <v>53.42</v>
      </c>
      <c r="C311" s="10">
        <v>50.09</v>
      </c>
    </row>
    <row r="312" spans="1:3" x14ac:dyDescent="0.35">
      <c r="A312" s="25">
        <v>311</v>
      </c>
      <c r="B312" s="10">
        <v>53.42</v>
      </c>
      <c r="C312" s="10">
        <v>49.09</v>
      </c>
    </row>
    <row r="1000" spans="648:648" x14ac:dyDescent="0.35">
      <c r="XX1000" s="44">
        <v>166765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/>
  <dimension ref="A1:B311"/>
  <sheetViews>
    <sheetView workbookViewId="0"/>
  </sheetViews>
  <sheetFormatPr defaultRowHeight="15.5" x14ac:dyDescent="0.35"/>
  <sheetData>
    <row r="1" spans="1:2" x14ac:dyDescent="0.35">
      <c r="A1">
        <v>10.58</v>
      </c>
      <c r="B1">
        <v>18.579999999999998</v>
      </c>
    </row>
    <row r="2" spans="1:2" x14ac:dyDescent="0.35">
      <c r="A2">
        <v>10.58</v>
      </c>
      <c r="B2">
        <v>18.579999999999998</v>
      </c>
    </row>
    <row r="3" spans="1:2" x14ac:dyDescent="0.35">
      <c r="A3">
        <v>10.58</v>
      </c>
      <c r="B3">
        <v>18.579999999999998</v>
      </c>
    </row>
    <row r="4" spans="1:2" x14ac:dyDescent="0.35">
      <c r="A4">
        <v>10.58</v>
      </c>
      <c r="B4">
        <v>18.579999999999998</v>
      </c>
    </row>
    <row r="5" spans="1:2" x14ac:dyDescent="0.35">
      <c r="A5">
        <v>10.58</v>
      </c>
      <c r="B5">
        <v>28.58</v>
      </c>
    </row>
    <row r="6" spans="1:2" x14ac:dyDescent="0.35">
      <c r="A6">
        <v>10.58</v>
      </c>
      <c r="B6">
        <v>26.58</v>
      </c>
    </row>
    <row r="7" spans="1:2" x14ac:dyDescent="0.35">
      <c r="A7">
        <v>10.58</v>
      </c>
      <c r="B7">
        <v>17.579999999999998</v>
      </c>
    </row>
    <row r="8" spans="1:2" x14ac:dyDescent="0.35">
      <c r="A8">
        <v>10.58</v>
      </c>
      <c r="B8">
        <v>27.58</v>
      </c>
    </row>
    <row r="9" spans="1:2" x14ac:dyDescent="0.35">
      <c r="A9">
        <v>10.58</v>
      </c>
      <c r="B9">
        <v>27.58</v>
      </c>
    </row>
    <row r="10" spans="1:2" x14ac:dyDescent="0.35">
      <c r="A10">
        <v>10.58</v>
      </c>
      <c r="B10">
        <v>37.58</v>
      </c>
    </row>
    <row r="11" spans="1:2" x14ac:dyDescent="0.35">
      <c r="A11">
        <v>10.58</v>
      </c>
      <c r="B11">
        <v>28.58</v>
      </c>
    </row>
    <row r="12" spans="1:2" x14ac:dyDescent="0.35">
      <c r="A12">
        <v>5.83</v>
      </c>
      <c r="B12">
        <v>1.83</v>
      </c>
    </row>
    <row r="13" spans="1:2" x14ac:dyDescent="0.35">
      <c r="A13">
        <v>5.83</v>
      </c>
      <c r="B13">
        <v>8.83</v>
      </c>
    </row>
    <row r="14" spans="1:2" x14ac:dyDescent="0.35">
      <c r="A14">
        <v>5.83</v>
      </c>
      <c r="B14">
        <v>8.83</v>
      </c>
    </row>
    <row r="15" spans="1:2" x14ac:dyDescent="0.35">
      <c r="A15">
        <v>5.83</v>
      </c>
      <c r="B15">
        <v>8.83</v>
      </c>
    </row>
    <row r="16" spans="1:2" x14ac:dyDescent="0.35">
      <c r="A16">
        <v>10.83</v>
      </c>
      <c r="B16">
        <v>16.829999999999998</v>
      </c>
    </row>
    <row r="17" spans="1:2" x14ac:dyDescent="0.35">
      <c r="A17">
        <v>10.83</v>
      </c>
      <c r="B17">
        <v>19.829999999999998</v>
      </c>
    </row>
    <row r="18" spans="1:2" x14ac:dyDescent="0.35">
      <c r="A18">
        <v>10.83</v>
      </c>
      <c r="B18">
        <v>18.329999999999998</v>
      </c>
    </row>
    <row r="19" spans="1:2" x14ac:dyDescent="0.35">
      <c r="A19">
        <v>10.83</v>
      </c>
      <c r="B19">
        <v>14.83</v>
      </c>
    </row>
    <row r="20" spans="1:2" x14ac:dyDescent="0.35">
      <c r="A20">
        <v>21.33</v>
      </c>
      <c r="B20">
        <v>12</v>
      </c>
    </row>
    <row r="21" spans="1:2" x14ac:dyDescent="0.35">
      <c r="A21">
        <v>16.329999999999998</v>
      </c>
      <c r="B21">
        <v>27</v>
      </c>
    </row>
    <row r="22" spans="1:2" x14ac:dyDescent="0.35">
      <c r="A22">
        <v>21.33</v>
      </c>
      <c r="B22">
        <v>42</v>
      </c>
    </row>
    <row r="23" spans="1:2" x14ac:dyDescent="0.35">
      <c r="A23">
        <v>21.33</v>
      </c>
      <c r="B23">
        <v>46</v>
      </c>
    </row>
    <row r="24" spans="1:2" x14ac:dyDescent="0.35">
      <c r="A24">
        <v>21.33</v>
      </c>
      <c r="B24">
        <v>46</v>
      </c>
    </row>
    <row r="25" spans="1:2" x14ac:dyDescent="0.35">
      <c r="A25">
        <v>31.33</v>
      </c>
      <c r="B25">
        <v>57</v>
      </c>
    </row>
    <row r="26" spans="1:2" x14ac:dyDescent="0.35">
      <c r="A26">
        <v>41.08</v>
      </c>
      <c r="B26">
        <v>55.75</v>
      </c>
    </row>
    <row r="27" spans="1:2" x14ac:dyDescent="0.35">
      <c r="A27">
        <v>41.08</v>
      </c>
      <c r="B27">
        <v>55.75</v>
      </c>
    </row>
    <row r="28" spans="1:2" x14ac:dyDescent="0.35">
      <c r="A28">
        <v>41.08</v>
      </c>
      <c r="B28">
        <v>55.75</v>
      </c>
    </row>
    <row r="29" spans="1:2" x14ac:dyDescent="0.35">
      <c r="A29">
        <v>46.33</v>
      </c>
      <c r="B29">
        <v>57</v>
      </c>
    </row>
    <row r="30" spans="1:2" x14ac:dyDescent="0.35">
      <c r="A30">
        <v>61.33</v>
      </c>
      <c r="B30">
        <v>77</v>
      </c>
    </row>
    <row r="31" spans="1:2" x14ac:dyDescent="0.35">
      <c r="A31">
        <v>61.33</v>
      </c>
      <c r="B31">
        <v>76</v>
      </c>
    </row>
    <row r="32" spans="1:2" x14ac:dyDescent="0.35">
      <c r="A32">
        <v>61.33</v>
      </c>
      <c r="B32">
        <v>75</v>
      </c>
    </row>
    <row r="33" spans="1:2" x14ac:dyDescent="0.35">
      <c r="A33">
        <v>61.33</v>
      </c>
      <c r="B33">
        <v>75</v>
      </c>
    </row>
    <row r="34" spans="1:2" x14ac:dyDescent="0.35">
      <c r="A34">
        <v>61.33</v>
      </c>
      <c r="B34">
        <v>36</v>
      </c>
    </row>
    <row r="35" spans="1:2" x14ac:dyDescent="0.35">
      <c r="A35">
        <v>61.33</v>
      </c>
      <c r="B35">
        <v>56.42</v>
      </c>
    </row>
    <row r="36" spans="1:2" x14ac:dyDescent="0.35">
      <c r="A36">
        <v>61.33</v>
      </c>
      <c r="B36">
        <v>45</v>
      </c>
    </row>
    <row r="37" spans="1:2" x14ac:dyDescent="0.35">
      <c r="A37">
        <v>61.33</v>
      </c>
      <c r="B37">
        <v>45.42</v>
      </c>
    </row>
    <row r="38" spans="1:2" x14ac:dyDescent="0.35">
      <c r="A38">
        <v>61.33</v>
      </c>
      <c r="B38">
        <v>37</v>
      </c>
    </row>
    <row r="39" spans="1:2" x14ac:dyDescent="0.35">
      <c r="A39">
        <v>11.33</v>
      </c>
      <c r="B39">
        <v>8</v>
      </c>
    </row>
    <row r="40" spans="1:2" x14ac:dyDescent="0.35">
      <c r="A40">
        <v>5.83</v>
      </c>
      <c r="B40">
        <v>2.83</v>
      </c>
    </row>
    <row r="41" spans="1:2" x14ac:dyDescent="0.35">
      <c r="A41">
        <v>5.83</v>
      </c>
      <c r="B41">
        <v>2.83</v>
      </c>
    </row>
    <row r="42" spans="1:2" x14ac:dyDescent="0.35">
      <c r="A42">
        <v>5.83</v>
      </c>
      <c r="B42">
        <v>2.83</v>
      </c>
    </row>
    <row r="43" spans="1:2" x14ac:dyDescent="0.35">
      <c r="A43">
        <v>5.83</v>
      </c>
      <c r="B43">
        <v>2.83</v>
      </c>
    </row>
    <row r="44" spans="1:2" x14ac:dyDescent="0.35">
      <c r="A44">
        <v>15.83</v>
      </c>
      <c r="B44">
        <v>14.83</v>
      </c>
    </row>
    <row r="45" spans="1:2" x14ac:dyDescent="0.35">
      <c r="A45">
        <v>15.83</v>
      </c>
      <c r="B45">
        <v>16.829999999999998</v>
      </c>
    </row>
    <row r="46" spans="1:2" x14ac:dyDescent="0.35">
      <c r="A46">
        <v>15.83</v>
      </c>
      <c r="B46">
        <v>16.829999999999998</v>
      </c>
    </row>
    <row r="47" spans="1:2" x14ac:dyDescent="0.35">
      <c r="A47">
        <v>15.83</v>
      </c>
      <c r="B47">
        <v>16.829999999999998</v>
      </c>
    </row>
    <row r="48" spans="1:2" x14ac:dyDescent="0.35">
      <c r="A48">
        <v>11.33</v>
      </c>
      <c r="B48">
        <v>11</v>
      </c>
    </row>
    <row r="49" spans="1:2" x14ac:dyDescent="0.35">
      <c r="A49">
        <v>21.08</v>
      </c>
      <c r="B49">
        <v>42.75</v>
      </c>
    </row>
    <row r="50" spans="1:2" x14ac:dyDescent="0.35">
      <c r="A50">
        <v>21.08</v>
      </c>
      <c r="B50">
        <v>43.17</v>
      </c>
    </row>
    <row r="51" spans="1:2" x14ac:dyDescent="0.35">
      <c r="A51">
        <v>21.08</v>
      </c>
      <c r="B51">
        <v>43.17</v>
      </c>
    </row>
    <row r="52" spans="1:2" x14ac:dyDescent="0.35">
      <c r="A52">
        <v>21.08</v>
      </c>
      <c r="B52">
        <v>42.75</v>
      </c>
    </row>
    <row r="53" spans="1:2" x14ac:dyDescent="0.35">
      <c r="A53">
        <v>21.08</v>
      </c>
      <c r="B53">
        <v>42.75</v>
      </c>
    </row>
    <row r="54" spans="1:2" x14ac:dyDescent="0.35">
      <c r="A54">
        <v>41.08</v>
      </c>
      <c r="B54">
        <v>31.75</v>
      </c>
    </row>
    <row r="55" spans="1:2" x14ac:dyDescent="0.35">
      <c r="A55">
        <v>41.08</v>
      </c>
      <c r="B55">
        <v>31.75</v>
      </c>
    </row>
    <row r="56" spans="1:2" x14ac:dyDescent="0.35">
      <c r="A56">
        <v>41.08</v>
      </c>
      <c r="B56">
        <v>31.75</v>
      </c>
    </row>
    <row r="57" spans="1:2" x14ac:dyDescent="0.35">
      <c r="A57">
        <v>41.08</v>
      </c>
      <c r="B57">
        <v>36.75</v>
      </c>
    </row>
    <row r="58" spans="1:2" x14ac:dyDescent="0.35">
      <c r="A58">
        <v>41.08</v>
      </c>
      <c r="B58">
        <v>44.75</v>
      </c>
    </row>
    <row r="59" spans="1:2" x14ac:dyDescent="0.35">
      <c r="A59">
        <v>61.08</v>
      </c>
      <c r="B59">
        <v>36.75</v>
      </c>
    </row>
    <row r="60" spans="1:2" x14ac:dyDescent="0.35">
      <c r="A60">
        <v>61.08</v>
      </c>
      <c r="B60">
        <v>55.75</v>
      </c>
    </row>
    <row r="61" spans="1:2" x14ac:dyDescent="0.35">
      <c r="A61">
        <v>61.08</v>
      </c>
      <c r="B61">
        <v>40.17</v>
      </c>
    </row>
    <row r="62" spans="1:2" x14ac:dyDescent="0.35">
      <c r="A62">
        <v>61.08</v>
      </c>
      <c r="B62">
        <v>56.75</v>
      </c>
    </row>
    <row r="63" spans="1:2" x14ac:dyDescent="0.35">
      <c r="A63">
        <v>61.33</v>
      </c>
      <c r="B63">
        <v>26.42</v>
      </c>
    </row>
    <row r="64" spans="1:2" x14ac:dyDescent="0.35">
      <c r="A64">
        <v>61.33</v>
      </c>
      <c r="B64">
        <v>66</v>
      </c>
    </row>
    <row r="65" spans="1:2" x14ac:dyDescent="0.35">
      <c r="A65">
        <v>11.33</v>
      </c>
      <c r="B65">
        <v>13.33</v>
      </c>
    </row>
    <row r="66" spans="1:2" x14ac:dyDescent="0.35">
      <c r="A66">
        <v>20.079999999999998</v>
      </c>
      <c r="B66">
        <v>38.75</v>
      </c>
    </row>
    <row r="67" spans="1:2" x14ac:dyDescent="0.35">
      <c r="A67">
        <v>20.079999999999998</v>
      </c>
      <c r="B67">
        <v>38.75</v>
      </c>
    </row>
    <row r="68" spans="1:2" x14ac:dyDescent="0.35">
      <c r="A68">
        <v>20.079999999999998</v>
      </c>
      <c r="B68">
        <v>38.75</v>
      </c>
    </row>
    <row r="69" spans="1:2" x14ac:dyDescent="0.35">
      <c r="A69">
        <v>20.079999999999998</v>
      </c>
      <c r="B69">
        <v>38.75</v>
      </c>
    </row>
    <row r="70" spans="1:2" x14ac:dyDescent="0.35">
      <c r="A70">
        <v>20.079999999999998</v>
      </c>
      <c r="B70">
        <v>38.75</v>
      </c>
    </row>
    <row r="71" spans="1:2" x14ac:dyDescent="0.35">
      <c r="A71">
        <v>20.05</v>
      </c>
      <c r="B71">
        <v>38.75</v>
      </c>
    </row>
    <row r="72" spans="1:2" x14ac:dyDescent="0.35">
      <c r="A72">
        <v>40.08</v>
      </c>
      <c r="B72">
        <v>54.75</v>
      </c>
    </row>
    <row r="73" spans="1:2" x14ac:dyDescent="0.35">
      <c r="A73">
        <v>40.08</v>
      </c>
      <c r="B73">
        <v>25.75</v>
      </c>
    </row>
    <row r="74" spans="1:2" x14ac:dyDescent="0.35">
      <c r="A74">
        <v>40.08</v>
      </c>
      <c r="B74">
        <v>25.75</v>
      </c>
    </row>
    <row r="75" spans="1:2" x14ac:dyDescent="0.35">
      <c r="A75">
        <v>40.08</v>
      </c>
      <c r="B75">
        <v>54.75</v>
      </c>
    </row>
    <row r="76" spans="1:2" x14ac:dyDescent="0.35">
      <c r="A76">
        <v>40.08</v>
      </c>
      <c r="B76">
        <v>23.75</v>
      </c>
    </row>
    <row r="77" spans="1:2" x14ac:dyDescent="0.35">
      <c r="A77">
        <v>40.08</v>
      </c>
      <c r="B77">
        <v>73.08</v>
      </c>
    </row>
    <row r="78" spans="1:2" x14ac:dyDescent="0.35">
      <c r="A78">
        <v>60.08</v>
      </c>
      <c r="B78">
        <v>57.75</v>
      </c>
    </row>
    <row r="79" spans="1:2" x14ac:dyDescent="0.35">
      <c r="A79">
        <v>60.08</v>
      </c>
      <c r="B79">
        <v>56.75</v>
      </c>
    </row>
    <row r="80" spans="1:2" x14ac:dyDescent="0.35">
      <c r="A80">
        <v>60.08</v>
      </c>
      <c r="B80">
        <v>57.75</v>
      </c>
    </row>
    <row r="81" spans="1:2" x14ac:dyDescent="0.35">
      <c r="A81">
        <v>60.08</v>
      </c>
      <c r="B81">
        <v>58.17</v>
      </c>
    </row>
    <row r="82" spans="1:2" x14ac:dyDescent="0.35">
      <c r="A82">
        <v>61.33</v>
      </c>
      <c r="B82">
        <v>62</v>
      </c>
    </row>
    <row r="83" spans="1:2" x14ac:dyDescent="0.35">
      <c r="A83">
        <v>8.42</v>
      </c>
      <c r="B83">
        <v>9.09</v>
      </c>
    </row>
    <row r="84" spans="1:2" x14ac:dyDescent="0.35">
      <c r="A84">
        <v>20.58</v>
      </c>
      <c r="B84">
        <v>16.25</v>
      </c>
    </row>
    <row r="85" spans="1:2" x14ac:dyDescent="0.35">
      <c r="A85">
        <v>20.58</v>
      </c>
      <c r="B85">
        <v>16.25</v>
      </c>
    </row>
    <row r="86" spans="1:2" x14ac:dyDescent="0.35">
      <c r="A86">
        <v>20.55</v>
      </c>
      <c r="B86">
        <v>16.25</v>
      </c>
    </row>
    <row r="87" spans="1:2" x14ac:dyDescent="0.35">
      <c r="A87">
        <v>20.58</v>
      </c>
      <c r="B87">
        <v>16.25</v>
      </c>
    </row>
    <row r="88" spans="1:2" x14ac:dyDescent="0.35">
      <c r="A88">
        <v>20.58</v>
      </c>
      <c r="B88">
        <v>16.25</v>
      </c>
    </row>
    <row r="89" spans="1:2" x14ac:dyDescent="0.35">
      <c r="A89">
        <v>20.55</v>
      </c>
      <c r="B89">
        <v>16.25</v>
      </c>
    </row>
    <row r="90" spans="1:2" x14ac:dyDescent="0.35">
      <c r="A90">
        <v>23.5</v>
      </c>
      <c r="B90">
        <v>29.17</v>
      </c>
    </row>
    <row r="91" spans="1:2" x14ac:dyDescent="0.35">
      <c r="A91">
        <v>20.52</v>
      </c>
      <c r="B91">
        <v>21.19</v>
      </c>
    </row>
    <row r="92" spans="1:2" x14ac:dyDescent="0.35">
      <c r="A92">
        <v>20.52</v>
      </c>
      <c r="B92">
        <v>20.190000000000001</v>
      </c>
    </row>
    <row r="93" spans="1:2" x14ac:dyDescent="0.35">
      <c r="A93">
        <v>20.52</v>
      </c>
      <c r="B93">
        <v>20.190000000000001</v>
      </c>
    </row>
    <row r="94" spans="1:2" x14ac:dyDescent="0.35">
      <c r="A94">
        <v>20.52</v>
      </c>
      <c r="B94">
        <v>36.19</v>
      </c>
    </row>
    <row r="95" spans="1:2" x14ac:dyDescent="0.35">
      <c r="A95">
        <v>20.52</v>
      </c>
      <c r="B95">
        <v>26.19</v>
      </c>
    </row>
    <row r="96" spans="1:2" x14ac:dyDescent="0.35">
      <c r="A96">
        <v>20.52</v>
      </c>
      <c r="B96">
        <v>22.19</v>
      </c>
    </row>
    <row r="97" spans="1:2" x14ac:dyDescent="0.35">
      <c r="A97">
        <v>38.42</v>
      </c>
      <c r="B97">
        <v>29.51</v>
      </c>
    </row>
    <row r="98" spans="1:2" x14ac:dyDescent="0.35">
      <c r="A98">
        <v>35.83</v>
      </c>
      <c r="B98">
        <v>26.51</v>
      </c>
    </row>
    <row r="99" spans="1:2" x14ac:dyDescent="0.35">
      <c r="A99">
        <v>35.83</v>
      </c>
      <c r="B99">
        <v>27.09</v>
      </c>
    </row>
    <row r="100" spans="1:2" x14ac:dyDescent="0.35">
      <c r="A100">
        <v>35.83</v>
      </c>
      <c r="B100">
        <v>34.51</v>
      </c>
    </row>
    <row r="101" spans="1:2" x14ac:dyDescent="0.35">
      <c r="A101">
        <v>35.83</v>
      </c>
      <c r="B101">
        <v>37.090000000000003</v>
      </c>
    </row>
    <row r="102" spans="1:2" x14ac:dyDescent="0.35">
      <c r="A102">
        <v>35.83</v>
      </c>
      <c r="B102">
        <v>31.51</v>
      </c>
    </row>
    <row r="103" spans="1:2" x14ac:dyDescent="0.35">
      <c r="A103">
        <v>34.75</v>
      </c>
      <c r="B103">
        <v>55.42</v>
      </c>
    </row>
    <row r="104" spans="1:2" x14ac:dyDescent="0.35">
      <c r="A104">
        <v>34.75</v>
      </c>
      <c r="B104">
        <v>28.84</v>
      </c>
    </row>
    <row r="105" spans="1:2" x14ac:dyDescent="0.35">
      <c r="A105">
        <v>4.75</v>
      </c>
      <c r="B105">
        <v>14.42</v>
      </c>
    </row>
    <row r="106" spans="1:2" x14ac:dyDescent="0.35">
      <c r="A106">
        <v>19.75</v>
      </c>
      <c r="B106">
        <v>22.42</v>
      </c>
    </row>
    <row r="107" spans="1:2" x14ac:dyDescent="0.35">
      <c r="A107">
        <v>34.75</v>
      </c>
      <c r="B107">
        <v>42.42</v>
      </c>
    </row>
    <row r="108" spans="1:2" x14ac:dyDescent="0.35">
      <c r="A108">
        <v>34.75</v>
      </c>
      <c r="B108">
        <v>55.42</v>
      </c>
    </row>
    <row r="109" spans="1:2" x14ac:dyDescent="0.35">
      <c r="A109">
        <v>4.75</v>
      </c>
      <c r="B109">
        <v>14.42</v>
      </c>
    </row>
    <row r="110" spans="1:2" x14ac:dyDescent="0.35">
      <c r="A110">
        <v>17.25</v>
      </c>
      <c r="B110">
        <v>21.92</v>
      </c>
    </row>
    <row r="111" spans="1:2" x14ac:dyDescent="0.35">
      <c r="A111">
        <v>17.25</v>
      </c>
      <c r="B111">
        <v>21.92</v>
      </c>
    </row>
    <row r="112" spans="1:2" x14ac:dyDescent="0.35">
      <c r="A112">
        <v>17.25</v>
      </c>
      <c r="B112">
        <v>21.92</v>
      </c>
    </row>
    <row r="113" spans="1:2" x14ac:dyDescent="0.35">
      <c r="A113">
        <v>17.25</v>
      </c>
      <c r="B113">
        <v>21.92</v>
      </c>
    </row>
    <row r="114" spans="1:2" x14ac:dyDescent="0.35">
      <c r="A114">
        <v>17.25</v>
      </c>
      <c r="B114">
        <v>21.92</v>
      </c>
    </row>
    <row r="115" spans="1:2" x14ac:dyDescent="0.35">
      <c r="A115">
        <v>17.25</v>
      </c>
      <c r="B115">
        <v>21.92</v>
      </c>
    </row>
    <row r="116" spans="1:2" x14ac:dyDescent="0.35">
      <c r="A116">
        <v>19.75</v>
      </c>
      <c r="B116">
        <v>22.42</v>
      </c>
    </row>
    <row r="117" spans="1:2" x14ac:dyDescent="0.35">
      <c r="A117">
        <v>28.42</v>
      </c>
      <c r="B117">
        <v>32.090000000000003</v>
      </c>
    </row>
    <row r="118" spans="1:2" x14ac:dyDescent="0.35">
      <c r="A118">
        <v>28.42</v>
      </c>
      <c r="B118">
        <v>32.090000000000003</v>
      </c>
    </row>
    <row r="119" spans="1:2" x14ac:dyDescent="0.35">
      <c r="A119">
        <v>28.42</v>
      </c>
      <c r="B119">
        <v>32.090000000000003</v>
      </c>
    </row>
    <row r="120" spans="1:2" x14ac:dyDescent="0.35">
      <c r="A120">
        <v>28.42</v>
      </c>
      <c r="B120">
        <v>32.090000000000003</v>
      </c>
    </row>
    <row r="121" spans="1:2" x14ac:dyDescent="0.35">
      <c r="A121">
        <v>28.42</v>
      </c>
      <c r="B121">
        <v>32.090000000000003</v>
      </c>
    </row>
    <row r="122" spans="1:2" x14ac:dyDescent="0.35">
      <c r="A122">
        <v>28.42</v>
      </c>
      <c r="B122">
        <v>32.090000000000003</v>
      </c>
    </row>
    <row r="123" spans="1:2" x14ac:dyDescent="0.35">
      <c r="A123">
        <v>35.92</v>
      </c>
      <c r="B123">
        <v>46.59</v>
      </c>
    </row>
    <row r="124" spans="1:2" x14ac:dyDescent="0.35">
      <c r="A124">
        <v>40.53</v>
      </c>
      <c r="B124">
        <v>55.51</v>
      </c>
    </row>
    <row r="125" spans="1:2" x14ac:dyDescent="0.35">
      <c r="A125">
        <v>40.83</v>
      </c>
      <c r="B125">
        <v>56.51</v>
      </c>
    </row>
    <row r="126" spans="1:2" x14ac:dyDescent="0.35">
      <c r="A126">
        <v>40.83</v>
      </c>
      <c r="B126">
        <v>67.09</v>
      </c>
    </row>
    <row r="127" spans="1:2" x14ac:dyDescent="0.35">
      <c r="A127">
        <v>40.83</v>
      </c>
      <c r="B127">
        <v>57.09</v>
      </c>
    </row>
    <row r="128" spans="1:2" x14ac:dyDescent="0.35">
      <c r="A128">
        <v>40.83</v>
      </c>
      <c r="B128">
        <v>67.09</v>
      </c>
    </row>
    <row r="129" spans="1:2" x14ac:dyDescent="0.35">
      <c r="A129">
        <v>53.42</v>
      </c>
      <c r="B129">
        <v>55.09</v>
      </c>
    </row>
    <row r="130" spans="1:2" x14ac:dyDescent="0.35">
      <c r="A130">
        <v>50.83</v>
      </c>
      <c r="B130">
        <v>50.34</v>
      </c>
    </row>
    <row r="131" spans="1:2" x14ac:dyDescent="0.35">
      <c r="A131">
        <v>50.83</v>
      </c>
      <c r="B131">
        <v>50.34</v>
      </c>
    </row>
    <row r="132" spans="1:2" x14ac:dyDescent="0.35">
      <c r="A132">
        <v>50.83</v>
      </c>
      <c r="B132">
        <v>45.34</v>
      </c>
    </row>
    <row r="133" spans="1:2" x14ac:dyDescent="0.35">
      <c r="A133">
        <v>50.83</v>
      </c>
      <c r="B133">
        <v>47.76</v>
      </c>
    </row>
    <row r="134" spans="1:2" x14ac:dyDescent="0.35">
      <c r="A134">
        <v>53.42</v>
      </c>
      <c r="B134">
        <v>41.51</v>
      </c>
    </row>
    <row r="135" spans="1:2" x14ac:dyDescent="0.35">
      <c r="A135">
        <v>53.42</v>
      </c>
      <c r="B135">
        <v>41.09</v>
      </c>
    </row>
    <row r="136" spans="1:2" x14ac:dyDescent="0.35">
      <c r="A136">
        <v>5.58</v>
      </c>
      <c r="B136">
        <v>19.25</v>
      </c>
    </row>
    <row r="137" spans="1:2" x14ac:dyDescent="0.35">
      <c r="A137">
        <v>5.58</v>
      </c>
      <c r="B137">
        <v>19.25</v>
      </c>
    </row>
    <row r="138" spans="1:2" x14ac:dyDescent="0.35">
      <c r="A138">
        <v>5.58</v>
      </c>
      <c r="B138">
        <v>19.25</v>
      </c>
    </row>
    <row r="139" spans="1:2" x14ac:dyDescent="0.35">
      <c r="A139">
        <v>6.58</v>
      </c>
      <c r="B139">
        <v>19.25</v>
      </c>
    </row>
    <row r="140" spans="1:2" x14ac:dyDescent="0.35">
      <c r="A140">
        <v>5.58</v>
      </c>
      <c r="B140">
        <v>19.25</v>
      </c>
    </row>
    <row r="141" spans="1:2" x14ac:dyDescent="0.35">
      <c r="A141">
        <v>5.58</v>
      </c>
      <c r="B141">
        <v>19.25</v>
      </c>
    </row>
    <row r="142" spans="1:2" x14ac:dyDescent="0.35">
      <c r="A142">
        <v>20.58</v>
      </c>
      <c r="B142">
        <v>28.25</v>
      </c>
    </row>
    <row r="143" spans="1:2" x14ac:dyDescent="0.35">
      <c r="A143">
        <v>20.58</v>
      </c>
      <c r="B143">
        <v>28.25</v>
      </c>
    </row>
    <row r="144" spans="1:2" x14ac:dyDescent="0.35">
      <c r="A144">
        <v>20.55</v>
      </c>
      <c r="B144">
        <v>28.25</v>
      </c>
    </row>
    <row r="145" spans="1:2" x14ac:dyDescent="0.35">
      <c r="A145">
        <v>20.58</v>
      </c>
      <c r="B145">
        <v>28.25</v>
      </c>
    </row>
    <row r="146" spans="1:2" x14ac:dyDescent="0.35">
      <c r="A146">
        <v>20.58</v>
      </c>
      <c r="B146">
        <v>28.25</v>
      </c>
    </row>
    <row r="147" spans="1:2" x14ac:dyDescent="0.35">
      <c r="A147">
        <v>20.58</v>
      </c>
      <c r="B147">
        <v>28.25</v>
      </c>
    </row>
    <row r="148" spans="1:2" x14ac:dyDescent="0.35">
      <c r="A148">
        <v>28.75</v>
      </c>
      <c r="B148">
        <v>32.42</v>
      </c>
    </row>
    <row r="149" spans="1:2" x14ac:dyDescent="0.35">
      <c r="A149">
        <v>28.75</v>
      </c>
      <c r="B149">
        <v>32.42</v>
      </c>
    </row>
    <row r="150" spans="1:2" x14ac:dyDescent="0.35">
      <c r="A150">
        <v>28.75</v>
      </c>
      <c r="B150">
        <v>32.42</v>
      </c>
    </row>
    <row r="151" spans="1:2" x14ac:dyDescent="0.35">
      <c r="A151">
        <v>28.75</v>
      </c>
      <c r="B151">
        <v>32.42</v>
      </c>
    </row>
    <row r="152" spans="1:2" x14ac:dyDescent="0.35">
      <c r="A152">
        <v>28.75</v>
      </c>
      <c r="B152">
        <v>32.42</v>
      </c>
    </row>
    <row r="153" spans="1:2" x14ac:dyDescent="0.35">
      <c r="A153">
        <v>28.75</v>
      </c>
      <c r="B153">
        <v>32.42</v>
      </c>
    </row>
    <row r="154" spans="1:2" x14ac:dyDescent="0.35">
      <c r="A154">
        <v>39.25</v>
      </c>
      <c r="B154">
        <v>56.92</v>
      </c>
    </row>
    <row r="155" spans="1:2" x14ac:dyDescent="0.35">
      <c r="A155">
        <v>39.25</v>
      </c>
      <c r="B155">
        <v>60.92</v>
      </c>
    </row>
    <row r="156" spans="1:2" x14ac:dyDescent="0.35">
      <c r="A156">
        <v>39.25</v>
      </c>
      <c r="B156">
        <v>59.92</v>
      </c>
    </row>
    <row r="157" spans="1:2" x14ac:dyDescent="0.35">
      <c r="A157">
        <v>39.25</v>
      </c>
      <c r="B157">
        <v>59.34</v>
      </c>
    </row>
    <row r="158" spans="1:2" x14ac:dyDescent="0.35">
      <c r="A158">
        <v>39.25</v>
      </c>
      <c r="B158">
        <v>57.92</v>
      </c>
    </row>
    <row r="159" spans="1:2" x14ac:dyDescent="0.35">
      <c r="A159">
        <v>49.75</v>
      </c>
      <c r="B159">
        <v>47.42</v>
      </c>
    </row>
    <row r="160" spans="1:2" x14ac:dyDescent="0.35">
      <c r="A160">
        <v>49.75</v>
      </c>
      <c r="B160">
        <v>48.42</v>
      </c>
    </row>
    <row r="161" spans="1:2" x14ac:dyDescent="0.35">
      <c r="A161">
        <v>49.75</v>
      </c>
      <c r="B161">
        <v>48.42</v>
      </c>
    </row>
    <row r="162" spans="1:2" x14ac:dyDescent="0.35">
      <c r="A162">
        <v>49.75</v>
      </c>
      <c r="B162">
        <v>48.42</v>
      </c>
    </row>
    <row r="163" spans="1:2" x14ac:dyDescent="0.35">
      <c r="A163">
        <v>53.42</v>
      </c>
      <c r="B163">
        <v>45.09</v>
      </c>
    </row>
    <row r="164" spans="1:2" x14ac:dyDescent="0.35">
      <c r="A164">
        <v>13.42</v>
      </c>
      <c r="B164">
        <v>22.09</v>
      </c>
    </row>
    <row r="165" spans="1:2" x14ac:dyDescent="0.35">
      <c r="A165">
        <v>6.97</v>
      </c>
      <c r="B165">
        <v>26.64</v>
      </c>
    </row>
    <row r="166" spans="1:2" x14ac:dyDescent="0.35">
      <c r="A166">
        <v>6.97</v>
      </c>
      <c r="B166">
        <v>26.64</v>
      </c>
    </row>
    <row r="167" spans="1:2" x14ac:dyDescent="0.35">
      <c r="A167">
        <v>6.97</v>
      </c>
      <c r="B167">
        <v>26.64</v>
      </c>
    </row>
    <row r="168" spans="1:2" x14ac:dyDescent="0.35">
      <c r="A168">
        <v>8.42</v>
      </c>
      <c r="B168">
        <v>22.09</v>
      </c>
    </row>
    <row r="169" spans="1:2" x14ac:dyDescent="0.35">
      <c r="A169">
        <v>21.67</v>
      </c>
      <c r="B169">
        <v>29.34</v>
      </c>
    </row>
    <row r="170" spans="1:2" x14ac:dyDescent="0.35">
      <c r="A170">
        <v>21.67</v>
      </c>
      <c r="B170">
        <v>29.34</v>
      </c>
    </row>
    <row r="171" spans="1:2" x14ac:dyDescent="0.35">
      <c r="A171">
        <v>21.67</v>
      </c>
      <c r="B171">
        <v>29.34</v>
      </c>
    </row>
    <row r="172" spans="1:2" x14ac:dyDescent="0.35">
      <c r="A172">
        <v>28.42</v>
      </c>
      <c r="B172">
        <v>37.090000000000003</v>
      </c>
    </row>
    <row r="173" spans="1:2" x14ac:dyDescent="0.35">
      <c r="A173">
        <v>31.67</v>
      </c>
      <c r="B173">
        <v>34.340000000000003</v>
      </c>
    </row>
    <row r="174" spans="1:2" x14ac:dyDescent="0.35">
      <c r="A174">
        <v>31.67</v>
      </c>
      <c r="B174">
        <v>35.340000000000003</v>
      </c>
    </row>
    <row r="175" spans="1:2" x14ac:dyDescent="0.35">
      <c r="A175">
        <v>31.67</v>
      </c>
      <c r="B175">
        <v>29.34</v>
      </c>
    </row>
    <row r="176" spans="1:2" x14ac:dyDescent="0.35">
      <c r="A176">
        <v>38.42</v>
      </c>
      <c r="B176">
        <v>59.09</v>
      </c>
    </row>
    <row r="177" spans="1:2" x14ac:dyDescent="0.35">
      <c r="A177">
        <v>41.67</v>
      </c>
      <c r="B177">
        <v>61.34</v>
      </c>
    </row>
    <row r="178" spans="1:2" x14ac:dyDescent="0.35">
      <c r="A178">
        <v>41.67</v>
      </c>
      <c r="B178">
        <v>60.34</v>
      </c>
    </row>
    <row r="179" spans="1:2" x14ac:dyDescent="0.35">
      <c r="A179">
        <v>41.67</v>
      </c>
      <c r="B179">
        <v>61.34</v>
      </c>
    </row>
    <row r="180" spans="1:2" x14ac:dyDescent="0.35">
      <c r="A180">
        <v>53.42</v>
      </c>
      <c r="B180">
        <v>49.09</v>
      </c>
    </row>
    <row r="181" spans="1:2" x14ac:dyDescent="0.35">
      <c r="A181">
        <v>13.42</v>
      </c>
      <c r="B181">
        <v>11.59</v>
      </c>
    </row>
    <row r="182" spans="1:2" x14ac:dyDescent="0.35">
      <c r="A182">
        <v>13.42</v>
      </c>
      <c r="B182">
        <v>14.09</v>
      </c>
    </row>
    <row r="183" spans="1:2" x14ac:dyDescent="0.35">
      <c r="A183">
        <v>10.83</v>
      </c>
      <c r="B183">
        <v>26.5</v>
      </c>
    </row>
    <row r="184" spans="1:2" x14ac:dyDescent="0.35">
      <c r="A184">
        <v>10.83</v>
      </c>
      <c r="B184">
        <v>24.5</v>
      </c>
    </row>
    <row r="185" spans="1:2" x14ac:dyDescent="0.35">
      <c r="A185">
        <v>10.83</v>
      </c>
      <c r="B185">
        <v>33.92</v>
      </c>
    </row>
    <row r="186" spans="1:2" x14ac:dyDescent="0.35">
      <c r="A186">
        <v>10.83</v>
      </c>
      <c r="B186">
        <v>32.92</v>
      </c>
    </row>
    <row r="187" spans="1:2" x14ac:dyDescent="0.35">
      <c r="A187">
        <v>10.83</v>
      </c>
      <c r="B187">
        <v>16.09</v>
      </c>
    </row>
    <row r="188" spans="1:2" x14ac:dyDescent="0.35">
      <c r="A188">
        <v>15.42</v>
      </c>
      <c r="B188">
        <v>18.510000000000002</v>
      </c>
    </row>
    <row r="189" spans="1:2" x14ac:dyDescent="0.35">
      <c r="A189">
        <v>15.42</v>
      </c>
      <c r="B189">
        <v>28.09</v>
      </c>
    </row>
    <row r="190" spans="1:2" x14ac:dyDescent="0.35">
      <c r="A190">
        <v>15.42</v>
      </c>
      <c r="B190">
        <v>29.09</v>
      </c>
    </row>
    <row r="191" spans="1:2" x14ac:dyDescent="0.35">
      <c r="A191">
        <v>15.42</v>
      </c>
      <c r="B191">
        <v>29.09</v>
      </c>
    </row>
    <row r="192" spans="1:2" x14ac:dyDescent="0.35">
      <c r="A192">
        <v>9.42</v>
      </c>
      <c r="B192">
        <v>14.09</v>
      </c>
    </row>
    <row r="193" spans="1:2" x14ac:dyDescent="0.35">
      <c r="A193">
        <v>9.42</v>
      </c>
      <c r="B193">
        <v>14.09</v>
      </c>
    </row>
    <row r="194" spans="1:2" x14ac:dyDescent="0.35">
      <c r="A194">
        <v>9.42</v>
      </c>
      <c r="B194">
        <v>14.09</v>
      </c>
    </row>
    <row r="195" spans="1:2" x14ac:dyDescent="0.35">
      <c r="A195">
        <v>9.42</v>
      </c>
      <c r="B195">
        <v>14.09</v>
      </c>
    </row>
    <row r="196" spans="1:2" x14ac:dyDescent="0.35">
      <c r="A196">
        <v>9.42</v>
      </c>
      <c r="B196">
        <v>14.09</v>
      </c>
    </row>
    <row r="197" spans="1:2" x14ac:dyDescent="0.35">
      <c r="A197">
        <v>10.58</v>
      </c>
      <c r="B197">
        <v>23.25</v>
      </c>
    </row>
    <row r="198" spans="1:2" x14ac:dyDescent="0.35">
      <c r="A198">
        <v>10.58</v>
      </c>
      <c r="B198">
        <v>23.25</v>
      </c>
    </row>
    <row r="199" spans="1:2" x14ac:dyDescent="0.35">
      <c r="A199">
        <v>10.55</v>
      </c>
      <c r="B199">
        <v>23.25</v>
      </c>
    </row>
    <row r="200" spans="1:2" x14ac:dyDescent="0.35">
      <c r="A200">
        <v>10.58</v>
      </c>
      <c r="B200">
        <v>23.25</v>
      </c>
    </row>
    <row r="201" spans="1:2" x14ac:dyDescent="0.35">
      <c r="A201">
        <v>10.58</v>
      </c>
      <c r="B201">
        <v>23.25</v>
      </c>
    </row>
    <row r="202" spans="1:2" x14ac:dyDescent="0.35">
      <c r="A202">
        <v>10.55</v>
      </c>
      <c r="B202">
        <v>26.25</v>
      </c>
    </row>
    <row r="203" spans="1:2" x14ac:dyDescent="0.35">
      <c r="A203">
        <v>20.55</v>
      </c>
      <c r="B203">
        <v>29.25</v>
      </c>
    </row>
    <row r="204" spans="1:2" x14ac:dyDescent="0.35">
      <c r="A204">
        <v>20.55</v>
      </c>
      <c r="B204">
        <v>31.25</v>
      </c>
    </row>
    <row r="205" spans="1:2" x14ac:dyDescent="0.35">
      <c r="A205">
        <v>20.58</v>
      </c>
      <c r="B205">
        <v>30.25</v>
      </c>
    </row>
    <row r="206" spans="1:2" x14ac:dyDescent="0.35">
      <c r="A206">
        <v>20.55</v>
      </c>
      <c r="B206">
        <v>31.25</v>
      </c>
    </row>
    <row r="207" spans="1:2" x14ac:dyDescent="0.35">
      <c r="A207">
        <v>20.58</v>
      </c>
      <c r="B207">
        <v>31.25</v>
      </c>
    </row>
    <row r="208" spans="1:2" x14ac:dyDescent="0.35">
      <c r="A208">
        <v>20.55</v>
      </c>
      <c r="B208">
        <v>32.25</v>
      </c>
    </row>
    <row r="209" spans="1:2" x14ac:dyDescent="0.35">
      <c r="A209">
        <v>30.58</v>
      </c>
      <c r="B209">
        <v>31.25</v>
      </c>
    </row>
    <row r="210" spans="1:2" x14ac:dyDescent="0.35">
      <c r="A210">
        <v>30.55</v>
      </c>
      <c r="B210">
        <v>32.25</v>
      </c>
    </row>
    <row r="211" spans="1:2" x14ac:dyDescent="0.35">
      <c r="A211">
        <v>30.58</v>
      </c>
      <c r="B211">
        <v>31.25</v>
      </c>
    </row>
    <row r="212" spans="1:2" x14ac:dyDescent="0.35">
      <c r="A212">
        <v>30.58</v>
      </c>
      <c r="B212">
        <v>32.25</v>
      </c>
    </row>
    <row r="213" spans="1:2" x14ac:dyDescent="0.35">
      <c r="A213">
        <v>30.58</v>
      </c>
      <c r="B213">
        <v>31.25</v>
      </c>
    </row>
    <row r="214" spans="1:2" x14ac:dyDescent="0.35">
      <c r="A214">
        <v>30.55</v>
      </c>
      <c r="B214">
        <v>29.25</v>
      </c>
    </row>
    <row r="215" spans="1:2" x14ac:dyDescent="0.35">
      <c r="A215">
        <v>40.83</v>
      </c>
      <c r="B215">
        <v>61.5</v>
      </c>
    </row>
    <row r="216" spans="1:2" x14ac:dyDescent="0.35">
      <c r="A216">
        <v>40.83</v>
      </c>
      <c r="B216">
        <v>61.5</v>
      </c>
    </row>
    <row r="217" spans="1:2" x14ac:dyDescent="0.35">
      <c r="A217">
        <v>40.83</v>
      </c>
      <c r="B217">
        <v>58.5</v>
      </c>
    </row>
    <row r="218" spans="1:2" x14ac:dyDescent="0.35">
      <c r="A218">
        <v>40.83</v>
      </c>
      <c r="B218">
        <v>57.92</v>
      </c>
    </row>
    <row r="219" spans="1:2" x14ac:dyDescent="0.35">
      <c r="A219">
        <v>40.83</v>
      </c>
      <c r="B219">
        <v>57.5</v>
      </c>
    </row>
    <row r="220" spans="1:2" x14ac:dyDescent="0.35">
      <c r="A220">
        <v>50.83</v>
      </c>
      <c r="B220">
        <v>51.5</v>
      </c>
    </row>
    <row r="221" spans="1:2" x14ac:dyDescent="0.35">
      <c r="A221">
        <v>50.83</v>
      </c>
      <c r="B221">
        <v>51.5</v>
      </c>
    </row>
    <row r="222" spans="1:2" x14ac:dyDescent="0.35">
      <c r="A222">
        <v>50.83</v>
      </c>
      <c r="B222">
        <v>49.5</v>
      </c>
    </row>
    <row r="223" spans="1:2" x14ac:dyDescent="0.35">
      <c r="A223">
        <v>50.83</v>
      </c>
      <c r="B223">
        <v>48.5</v>
      </c>
    </row>
    <row r="224" spans="1:2" x14ac:dyDescent="0.35">
      <c r="A224">
        <v>63.42</v>
      </c>
      <c r="B224">
        <v>49.09</v>
      </c>
    </row>
    <row r="225" spans="1:2" x14ac:dyDescent="0.35">
      <c r="A225">
        <v>53.42</v>
      </c>
      <c r="B225">
        <v>52.09</v>
      </c>
    </row>
    <row r="226" spans="1:2" x14ac:dyDescent="0.35">
      <c r="A226">
        <v>22.58</v>
      </c>
      <c r="B226">
        <v>23.25</v>
      </c>
    </row>
    <row r="227" spans="1:2" x14ac:dyDescent="0.35">
      <c r="A227">
        <v>22.58</v>
      </c>
      <c r="B227">
        <v>21.25</v>
      </c>
    </row>
    <row r="228" spans="1:2" x14ac:dyDescent="0.35">
      <c r="A228">
        <v>20.83</v>
      </c>
      <c r="B228">
        <v>22.5</v>
      </c>
    </row>
    <row r="229" spans="1:2" x14ac:dyDescent="0.35">
      <c r="A229">
        <v>20.83</v>
      </c>
      <c r="B229">
        <v>22.5</v>
      </c>
    </row>
    <row r="230" spans="1:2" x14ac:dyDescent="0.35">
      <c r="A230">
        <v>20.83</v>
      </c>
      <c r="B230">
        <v>27.5</v>
      </c>
    </row>
    <row r="231" spans="1:2" x14ac:dyDescent="0.35">
      <c r="A231">
        <v>20.83</v>
      </c>
      <c r="B231">
        <v>25.92</v>
      </c>
    </row>
    <row r="232" spans="1:2" x14ac:dyDescent="0.35">
      <c r="A232">
        <v>22.68</v>
      </c>
      <c r="B232">
        <v>37.25</v>
      </c>
    </row>
    <row r="233" spans="1:2" x14ac:dyDescent="0.35">
      <c r="A233">
        <v>20.83</v>
      </c>
      <c r="B233">
        <v>22.92</v>
      </c>
    </row>
    <row r="234" spans="1:2" x14ac:dyDescent="0.35">
      <c r="A234">
        <v>20.83</v>
      </c>
      <c r="B234">
        <v>26.92</v>
      </c>
    </row>
    <row r="235" spans="1:2" x14ac:dyDescent="0.35">
      <c r="A235">
        <v>20.83</v>
      </c>
      <c r="B235">
        <v>21.5</v>
      </c>
    </row>
    <row r="236" spans="1:2" x14ac:dyDescent="0.35">
      <c r="A236">
        <v>20.83</v>
      </c>
      <c r="B236">
        <v>22.5</v>
      </c>
    </row>
    <row r="237" spans="1:2" x14ac:dyDescent="0.35">
      <c r="A237">
        <v>24.83</v>
      </c>
      <c r="B237">
        <v>33.5</v>
      </c>
    </row>
    <row r="238" spans="1:2" x14ac:dyDescent="0.35">
      <c r="A238">
        <v>24.83</v>
      </c>
      <c r="B238">
        <v>33.5</v>
      </c>
    </row>
    <row r="239" spans="1:2" x14ac:dyDescent="0.35">
      <c r="A239">
        <v>24.83</v>
      </c>
      <c r="B239">
        <v>31.5</v>
      </c>
    </row>
    <row r="240" spans="1:2" x14ac:dyDescent="0.35">
      <c r="A240">
        <v>24.83</v>
      </c>
      <c r="B240">
        <v>32.5</v>
      </c>
    </row>
    <row r="241" spans="1:2" x14ac:dyDescent="0.35">
      <c r="A241">
        <v>10.83</v>
      </c>
      <c r="B241">
        <v>14.5</v>
      </c>
    </row>
    <row r="242" spans="1:2" x14ac:dyDescent="0.35">
      <c r="A242">
        <v>10.83</v>
      </c>
      <c r="B242">
        <v>17.5</v>
      </c>
    </row>
    <row r="243" spans="1:2" x14ac:dyDescent="0.35">
      <c r="A243">
        <v>10.83</v>
      </c>
      <c r="B243">
        <v>14.5</v>
      </c>
    </row>
    <row r="244" spans="1:2" x14ac:dyDescent="0.35">
      <c r="A244">
        <v>10.83</v>
      </c>
      <c r="B244">
        <v>14.5</v>
      </c>
    </row>
    <row r="245" spans="1:2" x14ac:dyDescent="0.35">
      <c r="A245">
        <v>11.67</v>
      </c>
      <c r="B245">
        <v>17.5</v>
      </c>
    </row>
    <row r="246" spans="1:2" x14ac:dyDescent="0.35">
      <c r="A246">
        <v>11.67</v>
      </c>
      <c r="B246">
        <v>17.5</v>
      </c>
    </row>
    <row r="247" spans="1:2" x14ac:dyDescent="0.35">
      <c r="A247">
        <v>11.67</v>
      </c>
      <c r="B247">
        <v>17.5</v>
      </c>
    </row>
    <row r="248" spans="1:2" x14ac:dyDescent="0.35">
      <c r="A248">
        <v>11.67</v>
      </c>
      <c r="B248">
        <v>17.5</v>
      </c>
    </row>
    <row r="249" spans="1:2" x14ac:dyDescent="0.35">
      <c r="A249">
        <v>20.83</v>
      </c>
      <c r="B249">
        <v>26.5</v>
      </c>
    </row>
    <row r="250" spans="1:2" x14ac:dyDescent="0.35">
      <c r="A250">
        <v>20.83</v>
      </c>
      <c r="B250">
        <v>31.5</v>
      </c>
    </row>
    <row r="251" spans="1:2" x14ac:dyDescent="0.35">
      <c r="A251">
        <v>20.83</v>
      </c>
      <c r="B251">
        <v>28.5</v>
      </c>
    </row>
    <row r="252" spans="1:2" x14ac:dyDescent="0.35">
      <c r="A252">
        <v>20.83</v>
      </c>
      <c r="B252">
        <v>26.5</v>
      </c>
    </row>
    <row r="253" spans="1:2" x14ac:dyDescent="0.35">
      <c r="A253">
        <v>25.83</v>
      </c>
      <c r="B253">
        <v>34.5</v>
      </c>
    </row>
    <row r="254" spans="1:2" x14ac:dyDescent="0.35">
      <c r="A254">
        <v>25.83</v>
      </c>
      <c r="B254">
        <v>34.5</v>
      </c>
    </row>
    <row r="255" spans="1:2" x14ac:dyDescent="0.35">
      <c r="A255">
        <v>25.83</v>
      </c>
      <c r="B255">
        <v>34.5</v>
      </c>
    </row>
    <row r="256" spans="1:2" x14ac:dyDescent="0.35">
      <c r="A256">
        <v>25.83</v>
      </c>
      <c r="B256">
        <v>34.5</v>
      </c>
    </row>
    <row r="257" spans="1:2" x14ac:dyDescent="0.35">
      <c r="A257">
        <v>30.83</v>
      </c>
      <c r="B257">
        <v>29.92</v>
      </c>
    </row>
    <row r="258" spans="1:2" x14ac:dyDescent="0.35">
      <c r="A258">
        <v>30.83</v>
      </c>
      <c r="B258">
        <v>30.92</v>
      </c>
    </row>
    <row r="259" spans="1:2" x14ac:dyDescent="0.35">
      <c r="A259">
        <v>30.83</v>
      </c>
      <c r="B259">
        <v>31.5</v>
      </c>
    </row>
    <row r="260" spans="1:2" x14ac:dyDescent="0.35">
      <c r="A260">
        <v>30.83</v>
      </c>
      <c r="B260">
        <v>34.5</v>
      </c>
    </row>
    <row r="261" spans="1:2" x14ac:dyDescent="0.35">
      <c r="A261">
        <v>40.83</v>
      </c>
      <c r="B261">
        <v>66.5</v>
      </c>
    </row>
    <row r="262" spans="1:2" x14ac:dyDescent="0.35">
      <c r="A262">
        <v>40.83</v>
      </c>
      <c r="B262">
        <v>69.5</v>
      </c>
    </row>
    <row r="263" spans="1:2" x14ac:dyDescent="0.35">
      <c r="A263">
        <v>40.83</v>
      </c>
      <c r="B263">
        <v>68.5</v>
      </c>
    </row>
    <row r="264" spans="1:2" x14ac:dyDescent="0.35">
      <c r="A264">
        <v>40.53</v>
      </c>
      <c r="B264">
        <v>66.5</v>
      </c>
    </row>
    <row r="265" spans="1:2" x14ac:dyDescent="0.35">
      <c r="A265">
        <v>50.83</v>
      </c>
      <c r="B265">
        <v>53.34</v>
      </c>
    </row>
    <row r="266" spans="1:2" x14ac:dyDescent="0.35">
      <c r="A266">
        <v>50.83</v>
      </c>
      <c r="B266">
        <v>54.34</v>
      </c>
    </row>
    <row r="267" spans="1:2" x14ac:dyDescent="0.35">
      <c r="A267">
        <v>50.83</v>
      </c>
      <c r="B267">
        <v>61.76</v>
      </c>
    </row>
    <row r="268" spans="1:2" x14ac:dyDescent="0.35">
      <c r="A268">
        <v>50.83</v>
      </c>
      <c r="B268">
        <v>51.34</v>
      </c>
    </row>
    <row r="269" spans="1:2" x14ac:dyDescent="0.35">
      <c r="A269">
        <v>53.42</v>
      </c>
      <c r="B269">
        <v>52.09</v>
      </c>
    </row>
    <row r="270" spans="1:2" x14ac:dyDescent="0.35">
      <c r="A270">
        <v>53.42</v>
      </c>
      <c r="B270">
        <v>52.09</v>
      </c>
    </row>
    <row r="271" spans="1:2" x14ac:dyDescent="0.35">
      <c r="A271">
        <v>53.42</v>
      </c>
      <c r="B271">
        <v>52.09</v>
      </c>
    </row>
    <row r="272" spans="1:2" x14ac:dyDescent="0.35">
      <c r="A272">
        <v>22.58</v>
      </c>
      <c r="B272">
        <v>38.25</v>
      </c>
    </row>
    <row r="273" spans="1:2" x14ac:dyDescent="0.35">
      <c r="A273">
        <v>22.58</v>
      </c>
      <c r="B273">
        <v>43.25</v>
      </c>
    </row>
    <row r="274" spans="1:2" x14ac:dyDescent="0.35">
      <c r="A274">
        <v>22.58</v>
      </c>
      <c r="B274">
        <v>50.25</v>
      </c>
    </row>
    <row r="275" spans="1:2" x14ac:dyDescent="0.35">
      <c r="A275">
        <v>20.83</v>
      </c>
      <c r="B275">
        <v>29.5</v>
      </c>
    </row>
    <row r="276" spans="1:2" x14ac:dyDescent="0.35">
      <c r="A276">
        <v>20.83</v>
      </c>
      <c r="B276">
        <v>29.5</v>
      </c>
    </row>
    <row r="277" spans="1:2" x14ac:dyDescent="0.35">
      <c r="A277">
        <v>20.83</v>
      </c>
      <c r="B277">
        <v>38</v>
      </c>
    </row>
    <row r="278" spans="1:2" x14ac:dyDescent="0.35">
      <c r="A278">
        <v>25.42</v>
      </c>
      <c r="B278">
        <v>31.69</v>
      </c>
    </row>
    <row r="279" spans="1:2" x14ac:dyDescent="0.35">
      <c r="A279">
        <v>26.67</v>
      </c>
      <c r="B279">
        <v>27.34</v>
      </c>
    </row>
    <row r="280" spans="1:2" x14ac:dyDescent="0.35">
      <c r="A280">
        <v>26.67</v>
      </c>
      <c r="B280">
        <v>32.340000000000003</v>
      </c>
    </row>
    <row r="281" spans="1:2" x14ac:dyDescent="0.35">
      <c r="A281">
        <v>26.67</v>
      </c>
      <c r="B281">
        <v>26.76</v>
      </c>
    </row>
    <row r="282" spans="1:2" x14ac:dyDescent="0.35">
      <c r="A282">
        <v>23.42</v>
      </c>
      <c r="B282">
        <v>10.51</v>
      </c>
    </row>
    <row r="283" spans="1:2" x14ac:dyDescent="0.35">
      <c r="A283">
        <v>11.67</v>
      </c>
      <c r="B283">
        <v>18.34</v>
      </c>
    </row>
    <row r="284" spans="1:2" x14ac:dyDescent="0.35">
      <c r="A284">
        <v>11.67</v>
      </c>
      <c r="B284">
        <v>18.34</v>
      </c>
    </row>
    <row r="285" spans="1:2" x14ac:dyDescent="0.35">
      <c r="A285">
        <v>11.67</v>
      </c>
      <c r="B285">
        <v>18.34</v>
      </c>
    </row>
    <row r="286" spans="1:2" x14ac:dyDescent="0.35">
      <c r="A286">
        <v>13.42</v>
      </c>
      <c r="B286">
        <v>8.09</v>
      </c>
    </row>
    <row r="287" spans="1:2" x14ac:dyDescent="0.35">
      <c r="A287">
        <v>11.67</v>
      </c>
      <c r="B287">
        <v>22.34</v>
      </c>
    </row>
    <row r="288" spans="1:2" x14ac:dyDescent="0.35">
      <c r="A288">
        <v>11.67</v>
      </c>
      <c r="B288">
        <v>21.34</v>
      </c>
    </row>
    <row r="289" spans="1:2" x14ac:dyDescent="0.35">
      <c r="A289">
        <v>11.67</v>
      </c>
      <c r="B289">
        <v>21.34</v>
      </c>
    </row>
    <row r="290" spans="1:2" x14ac:dyDescent="0.35">
      <c r="A290">
        <v>13.42</v>
      </c>
      <c r="B290">
        <v>16.09</v>
      </c>
    </row>
    <row r="291" spans="1:2" x14ac:dyDescent="0.35">
      <c r="A291">
        <v>21.67</v>
      </c>
      <c r="B291">
        <v>29.34</v>
      </c>
    </row>
    <row r="292" spans="1:2" x14ac:dyDescent="0.35">
      <c r="A292">
        <v>21.67</v>
      </c>
      <c r="B292">
        <v>30.34</v>
      </c>
    </row>
    <row r="293" spans="1:2" x14ac:dyDescent="0.35">
      <c r="A293">
        <v>21.67</v>
      </c>
      <c r="B293">
        <v>30.34</v>
      </c>
    </row>
    <row r="294" spans="1:2" x14ac:dyDescent="0.35">
      <c r="A294">
        <v>28.42</v>
      </c>
      <c r="B294">
        <v>31.09</v>
      </c>
    </row>
    <row r="295" spans="1:2" x14ac:dyDescent="0.35">
      <c r="A295">
        <v>26.67</v>
      </c>
      <c r="B295">
        <v>24.34</v>
      </c>
    </row>
    <row r="296" spans="1:2" x14ac:dyDescent="0.35">
      <c r="A296">
        <v>26.67</v>
      </c>
      <c r="B296">
        <v>35.340000000000003</v>
      </c>
    </row>
    <row r="297" spans="1:2" x14ac:dyDescent="0.35">
      <c r="A297">
        <v>26.67</v>
      </c>
      <c r="B297">
        <v>35.340000000000003</v>
      </c>
    </row>
    <row r="298" spans="1:2" x14ac:dyDescent="0.35">
      <c r="A298">
        <v>28.42</v>
      </c>
      <c r="B298">
        <v>37.090000000000003</v>
      </c>
    </row>
    <row r="299" spans="1:2" x14ac:dyDescent="0.35">
      <c r="A299">
        <v>31.67</v>
      </c>
      <c r="B299">
        <v>37.340000000000003</v>
      </c>
    </row>
    <row r="300" spans="1:2" x14ac:dyDescent="0.35">
      <c r="A300">
        <v>31.67</v>
      </c>
      <c r="B300">
        <v>37.340000000000003</v>
      </c>
    </row>
    <row r="301" spans="1:2" x14ac:dyDescent="0.35">
      <c r="A301">
        <v>31.67</v>
      </c>
      <c r="B301">
        <v>39.76</v>
      </c>
    </row>
    <row r="302" spans="1:2" x14ac:dyDescent="0.35">
      <c r="A302">
        <v>38.42</v>
      </c>
      <c r="B302">
        <v>63.09</v>
      </c>
    </row>
    <row r="303" spans="1:2" x14ac:dyDescent="0.35">
      <c r="A303">
        <v>41.67</v>
      </c>
      <c r="B303">
        <v>67.34</v>
      </c>
    </row>
    <row r="304" spans="1:2" x14ac:dyDescent="0.35">
      <c r="A304">
        <v>41.67</v>
      </c>
      <c r="B304">
        <v>67.34</v>
      </c>
    </row>
    <row r="305" spans="1:2" x14ac:dyDescent="0.35">
      <c r="A305">
        <v>41.67</v>
      </c>
      <c r="B305">
        <v>67.34</v>
      </c>
    </row>
    <row r="306" spans="1:2" x14ac:dyDescent="0.35">
      <c r="A306">
        <v>53.42</v>
      </c>
      <c r="B306">
        <v>64.09</v>
      </c>
    </row>
    <row r="307" spans="1:2" x14ac:dyDescent="0.35">
      <c r="A307">
        <v>51.67</v>
      </c>
      <c r="B307">
        <v>51.34</v>
      </c>
    </row>
    <row r="308" spans="1:2" x14ac:dyDescent="0.35">
      <c r="A308">
        <v>51.67</v>
      </c>
      <c r="B308">
        <v>50.76</v>
      </c>
    </row>
    <row r="309" spans="1:2" x14ac:dyDescent="0.35">
      <c r="A309">
        <v>51.67</v>
      </c>
      <c r="B309">
        <v>46.34</v>
      </c>
    </row>
    <row r="310" spans="1:2" x14ac:dyDescent="0.35">
      <c r="A310">
        <v>53.42</v>
      </c>
      <c r="B310">
        <v>50.09</v>
      </c>
    </row>
    <row r="311" spans="1:2" x14ac:dyDescent="0.35">
      <c r="A311">
        <v>53.42</v>
      </c>
      <c r="B311">
        <v>49.09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/>
  <dimension ref="A1:XX997"/>
  <sheetViews>
    <sheetView zoomScaleNormal="100" workbookViewId="0">
      <selection activeCell="C4" sqref="C4"/>
    </sheetView>
  </sheetViews>
  <sheetFormatPr defaultRowHeight="15.5" x14ac:dyDescent="0.35"/>
  <cols>
    <col min="1" max="16" width="15.6640625" customWidth="1"/>
  </cols>
  <sheetData>
    <row r="1" spans="1:8" x14ac:dyDescent="0.35">
      <c r="A1" t="s">
        <v>661</v>
      </c>
    </row>
    <row r="2" spans="1:8" x14ac:dyDescent="0.35">
      <c r="A2" t="s">
        <v>244</v>
      </c>
    </row>
    <row r="3" spans="1:8" ht="17" customHeight="1" x14ac:dyDescent="0.35">
      <c r="A3" t="s">
        <v>245</v>
      </c>
    </row>
    <row r="4" spans="1:8" ht="38" customHeight="1" x14ac:dyDescent="0.35"/>
    <row r="5" spans="1:8" ht="16.25" customHeight="1" x14ac:dyDescent="0.35">
      <c r="A5" s="79"/>
    </row>
    <row r="8" spans="1:8" x14ac:dyDescent="0.35">
      <c r="A8" s="1" t="s">
        <v>246</v>
      </c>
    </row>
    <row r="9" spans="1:8" ht="16" thickBot="1" x14ac:dyDescent="0.4"/>
    <row r="10" spans="1:8" ht="31" x14ac:dyDescent="0.35">
      <c r="A10" s="46" t="s">
        <v>247</v>
      </c>
      <c r="B10" s="47" t="s">
        <v>248</v>
      </c>
      <c r="C10" s="47" t="s">
        <v>249</v>
      </c>
      <c r="D10" s="47" t="s">
        <v>250</v>
      </c>
      <c r="E10" s="47" t="s">
        <v>251</v>
      </c>
      <c r="F10" s="47" t="s">
        <v>252</v>
      </c>
      <c r="G10" s="47" t="s">
        <v>253</v>
      </c>
      <c r="H10" s="47" t="s">
        <v>254</v>
      </c>
    </row>
    <row r="11" spans="1:8" x14ac:dyDescent="0.35">
      <c r="A11" s="48" t="s">
        <v>219</v>
      </c>
      <c r="B11" s="50">
        <v>311</v>
      </c>
      <c r="C11" s="50">
        <v>0</v>
      </c>
      <c r="D11" s="50">
        <v>311</v>
      </c>
      <c r="E11" s="52">
        <v>1.83</v>
      </c>
      <c r="F11" s="52">
        <v>77</v>
      </c>
      <c r="G11" s="52">
        <v>34.556237942122195</v>
      </c>
      <c r="H11" s="52">
        <v>16.340480596477143</v>
      </c>
    </row>
    <row r="12" spans="1:8" ht="16" thickBot="1" x14ac:dyDescent="0.4">
      <c r="A12" s="49" t="s">
        <v>218</v>
      </c>
      <c r="B12" s="51">
        <v>311</v>
      </c>
      <c r="C12" s="51">
        <v>0</v>
      </c>
      <c r="D12" s="51">
        <v>311</v>
      </c>
      <c r="E12" s="53">
        <v>4.75</v>
      </c>
      <c r="F12" s="53">
        <v>63.42</v>
      </c>
      <c r="G12" s="53">
        <v>28.177556270096478</v>
      </c>
      <c r="H12" s="53">
        <v>15.994062602261161</v>
      </c>
    </row>
    <row r="15" spans="1:8" x14ac:dyDescent="0.35">
      <c r="A15" s="5" t="s">
        <v>256</v>
      </c>
    </row>
    <row r="16" spans="1:8" ht="16" thickBot="1" x14ac:dyDescent="0.4"/>
    <row r="17" spans="1:3" ht="31" x14ac:dyDescent="0.35">
      <c r="A17" s="46"/>
      <c r="B17" s="47" t="s">
        <v>218</v>
      </c>
      <c r="C17" s="54" t="s">
        <v>219</v>
      </c>
    </row>
    <row r="18" spans="1:3" x14ac:dyDescent="0.35">
      <c r="A18" s="55" t="s">
        <v>218</v>
      </c>
      <c r="B18" s="60">
        <v>1</v>
      </c>
      <c r="C18" s="58">
        <v>0.79692835975604703</v>
      </c>
    </row>
    <row r="19" spans="1:3" ht="16" thickBot="1" x14ac:dyDescent="0.4">
      <c r="A19" s="56" t="s">
        <v>219</v>
      </c>
      <c r="B19" s="59">
        <v>0.79692835975604703</v>
      </c>
      <c r="C19" s="61">
        <v>1</v>
      </c>
    </row>
    <row r="22" spans="1:3" x14ac:dyDescent="0.35">
      <c r="A22" s="5" t="s">
        <v>470</v>
      </c>
    </row>
    <row r="24" spans="1:3" x14ac:dyDescent="0.35">
      <c r="A24" s="1" t="s">
        <v>471</v>
      </c>
    </row>
    <row r="25" spans="1:3" ht="16" thickBot="1" x14ac:dyDescent="0.4"/>
    <row r="26" spans="1:3" x14ac:dyDescent="0.35">
      <c r="A26" s="62" t="s">
        <v>248</v>
      </c>
      <c r="B26" s="63">
        <v>311</v>
      </c>
    </row>
    <row r="27" spans="1:3" x14ac:dyDescent="0.35">
      <c r="A27" s="45" t="s">
        <v>259</v>
      </c>
      <c r="B27" s="64">
        <v>311</v>
      </c>
    </row>
    <row r="28" spans="1:3" x14ac:dyDescent="0.35">
      <c r="A28" s="45" t="s">
        <v>260</v>
      </c>
      <c r="B28" s="64">
        <v>309</v>
      </c>
    </row>
    <row r="29" spans="1:3" x14ac:dyDescent="0.35">
      <c r="A29" s="45" t="s">
        <v>261</v>
      </c>
      <c r="B29" s="65">
        <v>0.63509481058346351</v>
      </c>
    </row>
    <row r="30" spans="1:3" x14ac:dyDescent="0.35">
      <c r="A30" s="45" t="s">
        <v>262</v>
      </c>
      <c r="B30" s="65">
        <v>0.63391388764036793</v>
      </c>
    </row>
    <row r="31" spans="1:3" x14ac:dyDescent="0.35">
      <c r="A31" s="45" t="s">
        <v>263</v>
      </c>
      <c r="B31" s="65">
        <v>97.7491310149464</v>
      </c>
    </row>
    <row r="32" spans="1:3" x14ac:dyDescent="0.35">
      <c r="A32" s="45" t="s">
        <v>264</v>
      </c>
      <c r="B32" s="65">
        <v>9.8868160200818132</v>
      </c>
    </row>
    <row r="33" spans="1:7" x14ac:dyDescent="0.35">
      <c r="A33" s="45" t="s">
        <v>265</v>
      </c>
      <c r="B33" s="65">
        <v>33.077300263253704</v>
      </c>
    </row>
    <row r="34" spans="1:7" x14ac:dyDescent="0.35">
      <c r="A34" s="45" t="s">
        <v>266</v>
      </c>
      <c r="B34" s="65">
        <v>0.94950124996092022</v>
      </c>
    </row>
    <row r="35" spans="1:7" x14ac:dyDescent="0.35">
      <c r="A35" s="45" t="s">
        <v>267</v>
      </c>
      <c r="B35" s="65">
        <v>2</v>
      </c>
    </row>
    <row r="36" spans="1:7" x14ac:dyDescent="0.35">
      <c r="A36" s="45" t="s">
        <v>268</v>
      </c>
      <c r="B36" s="65">
        <v>1427.1212815119297</v>
      </c>
    </row>
    <row r="37" spans="1:7" x14ac:dyDescent="0.35">
      <c r="A37" s="45" t="s">
        <v>269</v>
      </c>
      <c r="B37" s="65">
        <v>1427.1602425508909</v>
      </c>
    </row>
    <row r="38" spans="1:7" x14ac:dyDescent="0.35">
      <c r="A38" s="45" t="s">
        <v>270</v>
      </c>
      <c r="B38" s="65">
        <v>1434.6008673362883</v>
      </c>
    </row>
    <row r="39" spans="1:7" ht="16" thickBot="1" x14ac:dyDescent="0.4">
      <c r="A39" s="49" t="s">
        <v>271</v>
      </c>
      <c r="B39" s="53">
        <v>0.36962888118891885</v>
      </c>
    </row>
    <row r="42" spans="1:7" x14ac:dyDescent="0.35">
      <c r="A42" s="1" t="s">
        <v>472</v>
      </c>
    </row>
    <row r="43" spans="1:7" ht="16" thickBot="1" x14ac:dyDescent="0.4"/>
    <row r="44" spans="1:7" ht="31" x14ac:dyDescent="0.35">
      <c r="A44" s="46" t="s">
        <v>273</v>
      </c>
      <c r="B44" s="47" t="s">
        <v>260</v>
      </c>
      <c r="C44" s="47" t="s">
        <v>274</v>
      </c>
      <c r="D44" s="47" t="s">
        <v>275</v>
      </c>
      <c r="E44" s="47" t="s">
        <v>276</v>
      </c>
      <c r="F44" s="47" t="s">
        <v>277</v>
      </c>
      <c r="G44" s="47" t="s">
        <v>278</v>
      </c>
    </row>
    <row r="45" spans="1:7" x14ac:dyDescent="0.35">
      <c r="A45" s="55" t="s">
        <v>279</v>
      </c>
      <c r="B45" s="57">
        <v>1</v>
      </c>
      <c r="C45" s="57">
        <v>52569.023414773823</v>
      </c>
      <c r="D45" s="57">
        <v>52569.023414773823</v>
      </c>
      <c r="E45" s="57">
        <v>537.79530179900746</v>
      </c>
      <c r="F45" s="67">
        <v>1.2918365980822662E-69</v>
      </c>
      <c r="G45" s="70" t="s">
        <v>448</v>
      </c>
    </row>
    <row r="46" spans="1:7" x14ac:dyDescent="0.35">
      <c r="A46" s="45" t="s">
        <v>280</v>
      </c>
      <c r="B46" s="65">
        <v>309</v>
      </c>
      <c r="C46" s="65">
        <v>30204.481483618438</v>
      </c>
      <c r="D46" s="65">
        <v>97.7491310149464</v>
      </c>
      <c r="E46" s="65"/>
      <c r="F46" s="68"/>
      <c r="G46" s="71" t="s">
        <v>283</v>
      </c>
    </row>
    <row r="47" spans="1:7" ht="16" thickBot="1" x14ac:dyDescent="0.4">
      <c r="A47" s="49" t="s">
        <v>281</v>
      </c>
      <c r="B47" s="53">
        <v>310</v>
      </c>
      <c r="C47" s="53">
        <v>82773.504898392261</v>
      </c>
      <c r="D47" s="53"/>
      <c r="E47" s="53"/>
      <c r="F47" s="69"/>
      <c r="G47" s="72" t="s">
        <v>283</v>
      </c>
    </row>
    <row r="48" spans="1:7" x14ac:dyDescent="0.35">
      <c r="A48" s="73" t="s">
        <v>284</v>
      </c>
    </row>
    <row r="49" spans="1:8" x14ac:dyDescent="0.35">
      <c r="A49" s="73" t="s">
        <v>285</v>
      </c>
    </row>
    <row r="52" spans="1:8" x14ac:dyDescent="0.35">
      <c r="A52" s="1" t="s">
        <v>473</v>
      </c>
    </row>
    <row r="53" spans="1:8" ht="16" thickBot="1" x14ac:dyDescent="0.4"/>
    <row r="54" spans="1:8" ht="31" x14ac:dyDescent="0.35">
      <c r="A54" s="46" t="s">
        <v>273</v>
      </c>
      <c r="B54" s="47" t="s">
        <v>287</v>
      </c>
      <c r="C54" s="47" t="s">
        <v>288</v>
      </c>
      <c r="D54" s="47" t="s">
        <v>289</v>
      </c>
      <c r="E54" s="47" t="s">
        <v>290</v>
      </c>
      <c r="F54" s="47" t="s">
        <v>291</v>
      </c>
      <c r="G54" s="47" t="s">
        <v>292</v>
      </c>
      <c r="H54" s="47" t="s">
        <v>278</v>
      </c>
    </row>
    <row r="55" spans="1:8" x14ac:dyDescent="0.35">
      <c r="A55" s="55" t="s">
        <v>293</v>
      </c>
      <c r="B55" s="57">
        <v>11.614377064225803</v>
      </c>
      <c r="C55" s="57">
        <v>1.1370949434905557</v>
      </c>
      <c r="D55" s="57">
        <v>10.214078543496985</v>
      </c>
      <c r="E55" s="67">
        <v>2.7079863918601966E-21</v>
      </c>
      <c r="F55" s="57">
        <v>9.3769484500338933</v>
      </c>
      <c r="G55" s="57">
        <v>13.851805678417712</v>
      </c>
      <c r="H55" s="70" t="s">
        <v>448</v>
      </c>
    </row>
    <row r="56" spans="1:8" ht="16" thickBot="1" x14ac:dyDescent="0.4">
      <c r="A56" s="49" t="s">
        <v>218</v>
      </c>
      <c r="B56" s="53">
        <v>0.81418916026594956</v>
      </c>
      <c r="C56" s="53">
        <v>3.510886696688973E-2</v>
      </c>
      <c r="D56" s="53">
        <v>23.190414006632295</v>
      </c>
      <c r="E56" s="69">
        <v>0</v>
      </c>
      <c r="F56" s="53">
        <v>0.7451064649173631</v>
      </c>
      <c r="G56" s="53">
        <v>0.88327185561453603</v>
      </c>
      <c r="H56" s="72" t="s">
        <v>448</v>
      </c>
    </row>
    <row r="57" spans="1:8" x14ac:dyDescent="0.35">
      <c r="A57" s="73" t="s">
        <v>285</v>
      </c>
    </row>
    <row r="60" spans="1:8" x14ac:dyDescent="0.35">
      <c r="A60" s="1" t="s">
        <v>474</v>
      </c>
    </row>
    <row r="62" spans="1:8" x14ac:dyDescent="0.35">
      <c r="A62" t="s">
        <v>475</v>
      </c>
    </row>
    <row r="65" spans="1:8" x14ac:dyDescent="0.35">
      <c r="A65" s="1" t="s">
        <v>476</v>
      </c>
    </row>
    <row r="66" spans="1:8" ht="16" thickBot="1" x14ac:dyDescent="0.4"/>
    <row r="67" spans="1:8" ht="31" x14ac:dyDescent="0.35">
      <c r="A67" s="46" t="s">
        <v>273</v>
      </c>
      <c r="B67" s="47" t="s">
        <v>287</v>
      </c>
      <c r="C67" s="47" t="s">
        <v>288</v>
      </c>
      <c r="D67" s="47" t="s">
        <v>289</v>
      </c>
      <c r="E67" s="47" t="s">
        <v>290</v>
      </c>
      <c r="F67" s="47" t="s">
        <v>291</v>
      </c>
      <c r="G67" s="47" t="s">
        <v>292</v>
      </c>
      <c r="H67" s="47" t="s">
        <v>278</v>
      </c>
    </row>
    <row r="68" spans="1:8" ht="16" thickBot="1" x14ac:dyDescent="0.4">
      <c r="A68" s="74" t="s">
        <v>218</v>
      </c>
      <c r="B68" s="75">
        <v>0.79692835975604703</v>
      </c>
      <c r="C68" s="75">
        <v>3.4364559404939085E-2</v>
      </c>
      <c r="D68" s="75">
        <v>23.190414006632299</v>
      </c>
      <c r="E68" s="76">
        <v>0</v>
      </c>
      <c r="F68" s="75">
        <v>0.72931021672686125</v>
      </c>
      <c r="G68" s="75">
        <v>0.86454650278523282</v>
      </c>
      <c r="H68" s="77" t="s">
        <v>448</v>
      </c>
    </row>
    <row r="69" spans="1:8" x14ac:dyDescent="0.35">
      <c r="A69" s="73" t="s">
        <v>285</v>
      </c>
    </row>
    <row r="88" spans="1:13" x14ac:dyDescent="0.35">
      <c r="C88" t="s">
        <v>298</v>
      </c>
    </row>
    <row r="91" spans="1:13" x14ac:dyDescent="0.35">
      <c r="A91" s="1" t="s">
        <v>477</v>
      </c>
    </row>
    <row r="92" spans="1:13" ht="16" thickBot="1" x14ac:dyDescent="0.4"/>
    <row r="93" spans="1:13" ht="46.5" x14ac:dyDescent="0.35">
      <c r="A93" s="46" t="s">
        <v>300</v>
      </c>
      <c r="B93" s="47" t="s">
        <v>301</v>
      </c>
      <c r="C93" s="47" t="s">
        <v>218</v>
      </c>
      <c r="D93" s="47" t="s">
        <v>219</v>
      </c>
      <c r="E93" s="47" t="s">
        <v>658</v>
      </c>
      <c r="F93" s="47" t="s">
        <v>434</v>
      </c>
      <c r="G93" s="47" t="s">
        <v>435</v>
      </c>
      <c r="H93" s="47" t="s">
        <v>436</v>
      </c>
      <c r="I93" s="47" t="s">
        <v>437</v>
      </c>
      <c r="J93" s="47" t="s">
        <v>438</v>
      </c>
      <c r="K93" s="47" t="s">
        <v>439</v>
      </c>
      <c r="L93" s="47" t="s">
        <v>440</v>
      </c>
      <c r="M93" s="47" t="s">
        <v>441</v>
      </c>
    </row>
    <row r="94" spans="1:13" x14ac:dyDescent="0.35">
      <c r="A94" s="55" t="s">
        <v>302</v>
      </c>
      <c r="B94" s="78">
        <v>1</v>
      </c>
      <c r="C94" s="57">
        <v>10.58</v>
      </c>
      <c r="D94" s="57">
        <v>18.579999999999998</v>
      </c>
      <c r="E94" s="57">
        <v>20.22849837983955</v>
      </c>
      <c r="F94" s="57">
        <v>-1.6484983798395518</v>
      </c>
      <c r="G94" s="57">
        <v>-0.16673703409582719</v>
      </c>
      <c r="H94" s="57">
        <v>0.83427820311147005</v>
      </c>
      <c r="I94" s="57">
        <v>18.58691344928998</v>
      </c>
      <c r="J94" s="57">
        <v>21.87008331038912</v>
      </c>
      <c r="K94" s="57">
        <v>9.9219529899679184</v>
      </c>
      <c r="L94" s="57">
        <v>0.70536035560861876</v>
      </c>
      <c r="M94" s="57">
        <v>39.751636404070481</v>
      </c>
    </row>
    <row r="95" spans="1:13" x14ac:dyDescent="0.35">
      <c r="A95" s="45" t="s">
        <v>303</v>
      </c>
      <c r="B95" s="64">
        <v>1</v>
      </c>
      <c r="C95" s="65">
        <v>10.58</v>
      </c>
      <c r="D95" s="65">
        <v>18.579999999999998</v>
      </c>
      <c r="E95" s="65">
        <v>20.22849837983955</v>
      </c>
      <c r="F95" s="65">
        <v>-1.6484983798395518</v>
      </c>
      <c r="G95" s="65">
        <v>-0.16673703409582719</v>
      </c>
      <c r="H95" s="65">
        <v>0.83427820311147005</v>
      </c>
      <c r="I95" s="65">
        <v>18.58691344928998</v>
      </c>
      <c r="J95" s="65">
        <v>21.87008331038912</v>
      </c>
      <c r="K95" s="65">
        <v>9.9219529899679184</v>
      </c>
      <c r="L95" s="65">
        <v>0.70536035560861876</v>
      </c>
      <c r="M95" s="65">
        <v>39.751636404070481</v>
      </c>
    </row>
    <row r="96" spans="1:13" x14ac:dyDescent="0.35">
      <c r="A96" s="45" t="s">
        <v>304</v>
      </c>
      <c r="B96" s="64">
        <v>1</v>
      </c>
      <c r="C96" s="65">
        <v>10.58</v>
      </c>
      <c r="D96" s="65">
        <v>18.579999999999998</v>
      </c>
      <c r="E96" s="65">
        <v>20.22849837983955</v>
      </c>
      <c r="F96" s="65">
        <v>-1.6484983798395518</v>
      </c>
      <c r="G96" s="65">
        <v>-0.16673703409582719</v>
      </c>
      <c r="H96" s="65">
        <v>0.83427820311147005</v>
      </c>
      <c r="I96" s="65">
        <v>18.58691344928998</v>
      </c>
      <c r="J96" s="65">
        <v>21.87008331038912</v>
      </c>
      <c r="K96" s="65">
        <v>9.9219529899679184</v>
      </c>
      <c r="L96" s="65">
        <v>0.70536035560861876</v>
      </c>
      <c r="M96" s="65">
        <v>39.751636404070481</v>
      </c>
    </row>
    <row r="97" spans="1:13" x14ac:dyDescent="0.35">
      <c r="A97" s="45" t="s">
        <v>305</v>
      </c>
      <c r="B97" s="64">
        <v>1</v>
      </c>
      <c r="C97" s="65">
        <v>10.58</v>
      </c>
      <c r="D97" s="65">
        <v>18.579999999999998</v>
      </c>
      <c r="E97" s="65">
        <v>20.22849837983955</v>
      </c>
      <c r="F97" s="65">
        <v>-1.6484983798395518</v>
      </c>
      <c r="G97" s="65">
        <v>-0.16673703409582719</v>
      </c>
      <c r="H97" s="65">
        <v>0.83427820311147005</v>
      </c>
      <c r="I97" s="65">
        <v>18.58691344928998</v>
      </c>
      <c r="J97" s="65">
        <v>21.87008331038912</v>
      </c>
      <c r="K97" s="65">
        <v>9.9219529899679184</v>
      </c>
      <c r="L97" s="65">
        <v>0.70536035560861876</v>
      </c>
      <c r="M97" s="65">
        <v>39.751636404070481</v>
      </c>
    </row>
    <row r="98" spans="1:13" x14ac:dyDescent="0.35">
      <c r="A98" s="45" t="s">
        <v>306</v>
      </c>
      <c r="B98" s="64">
        <v>1</v>
      </c>
      <c r="C98" s="65">
        <v>10.58</v>
      </c>
      <c r="D98" s="65">
        <v>28.58</v>
      </c>
      <c r="E98" s="65">
        <v>20.22849837983955</v>
      </c>
      <c r="F98" s="65">
        <v>8.3515016201604482</v>
      </c>
      <c r="G98" s="65">
        <v>0.84471093658434837</v>
      </c>
      <c r="H98" s="65">
        <v>0.83427820311147005</v>
      </c>
      <c r="I98" s="65">
        <v>18.58691344928998</v>
      </c>
      <c r="J98" s="65">
        <v>21.87008331038912</v>
      </c>
      <c r="K98" s="65">
        <v>9.9219529899679184</v>
      </c>
      <c r="L98" s="65">
        <v>0.70536035560861876</v>
      </c>
      <c r="M98" s="65">
        <v>39.751636404070481</v>
      </c>
    </row>
    <row r="99" spans="1:13" x14ac:dyDescent="0.35">
      <c r="A99" s="45" t="s">
        <v>307</v>
      </c>
      <c r="B99" s="64">
        <v>1</v>
      </c>
      <c r="C99" s="65">
        <v>10.58</v>
      </c>
      <c r="D99" s="65">
        <v>26.58</v>
      </c>
      <c r="E99" s="65">
        <v>20.22849837983955</v>
      </c>
      <c r="F99" s="65">
        <v>6.3515016201604482</v>
      </c>
      <c r="G99" s="65">
        <v>0.64242134244831328</v>
      </c>
      <c r="H99" s="65">
        <v>0.83427820311147005</v>
      </c>
      <c r="I99" s="65">
        <v>18.58691344928998</v>
      </c>
      <c r="J99" s="65">
        <v>21.87008331038912</v>
      </c>
      <c r="K99" s="65">
        <v>9.9219529899679184</v>
      </c>
      <c r="L99" s="65">
        <v>0.70536035560861876</v>
      </c>
      <c r="M99" s="65">
        <v>39.751636404070481</v>
      </c>
    </row>
    <row r="100" spans="1:13" x14ac:dyDescent="0.35">
      <c r="A100" s="45" t="s">
        <v>308</v>
      </c>
      <c r="B100" s="64">
        <v>1</v>
      </c>
      <c r="C100" s="65">
        <v>10.58</v>
      </c>
      <c r="D100" s="65">
        <v>17.579999999999998</v>
      </c>
      <c r="E100" s="65">
        <v>20.22849837983955</v>
      </c>
      <c r="F100" s="65">
        <v>-2.6484983798395518</v>
      </c>
      <c r="G100" s="65">
        <v>-0.26788183116384473</v>
      </c>
      <c r="H100" s="65">
        <v>0.83427820311147005</v>
      </c>
      <c r="I100" s="65">
        <v>18.58691344928998</v>
      </c>
      <c r="J100" s="65">
        <v>21.87008331038912</v>
      </c>
      <c r="K100" s="65">
        <v>9.9219529899679184</v>
      </c>
      <c r="L100" s="65">
        <v>0.70536035560861876</v>
      </c>
      <c r="M100" s="65">
        <v>39.751636404070481</v>
      </c>
    </row>
    <row r="101" spans="1:13" x14ac:dyDescent="0.35">
      <c r="A101" s="45" t="s">
        <v>309</v>
      </c>
      <c r="B101" s="64">
        <v>1</v>
      </c>
      <c r="C101" s="65">
        <v>10.58</v>
      </c>
      <c r="D101" s="65">
        <v>27.58</v>
      </c>
      <c r="E101" s="65">
        <v>20.22849837983955</v>
      </c>
      <c r="F101" s="65">
        <v>7.3515016201604482</v>
      </c>
      <c r="G101" s="65">
        <v>0.74356613951633088</v>
      </c>
      <c r="H101" s="65">
        <v>0.83427820311147005</v>
      </c>
      <c r="I101" s="65">
        <v>18.58691344928998</v>
      </c>
      <c r="J101" s="65">
        <v>21.87008331038912</v>
      </c>
      <c r="K101" s="65">
        <v>9.9219529899679184</v>
      </c>
      <c r="L101" s="65">
        <v>0.70536035560861876</v>
      </c>
      <c r="M101" s="65">
        <v>39.751636404070481</v>
      </c>
    </row>
    <row r="102" spans="1:13" x14ac:dyDescent="0.35">
      <c r="A102" s="45" t="s">
        <v>310</v>
      </c>
      <c r="B102" s="64">
        <v>1</v>
      </c>
      <c r="C102" s="65">
        <v>10.58</v>
      </c>
      <c r="D102" s="65">
        <v>27.58</v>
      </c>
      <c r="E102" s="65">
        <v>20.22849837983955</v>
      </c>
      <c r="F102" s="65">
        <v>7.3515016201604482</v>
      </c>
      <c r="G102" s="65">
        <v>0.74356613951633088</v>
      </c>
      <c r="H102" s="65">
        <v>0.83427820311147005</v>
      </c>
      <c r="I102" s="65">
        <v>18.58691344928998</v>
      </c>
      <c r="J102" s="65">
        <v>21.87008331038912</v>
      </c>
      <c r="K102" s="65">
        <v>9.9219529899679184</v>
      </c>
      <c r="L102" s="65">
        <v>0.70536035560861876</v>
      </c>
      <c r="M102" s="65">
        <v>39.751636404070481</v>
      </c>
    </row>
    <row r="103" spans="1:13" x14ac:dyDescent="0.35">
      <c r="A103" s="45" t="s">
        <v>311</v>
      </c>
      <c r="B103" s="64">
        <v>1</v>
      </c>
      <c r="C103" s="65">
        <v>10.58</v>
      </c>
      <c r="D103" s="65">
        <v>37.58</v>
      </c>
      <c r="E103" s="65">
        <v>20.22849837983955</v>
      </c>
      <c r="F103" s="65">
        <v>17.351501620160448</v>
      </c>
      <c r="G103" s="65">
        <v>1.7550141101965064</v>
      </c>
      <c r="H103" s="65">
        <v>0.83427820311147005</v>
      </c>
      <c r="I103" s="65">
        <v>18.58691344928998</v>
      </c>
      <c r="J103" s="65">
        <v>21.87008331038912</v>
      </c>
      <c r="K103" s="65">
        <v>9.9219529899679184</v>
      </c>
      <c r="L103" s="65">
        <v>0.70536035560861876</v>
      </c>
      <c r="M103" s="65">
        <v>39.751636404070481</v>
      </c>
    </row>
    <row r="104" spans="1:13" x14ac:dyDescent="0.35">
      <c r="A104" s="45" t="s">
        <v>312</v>
      </c>
      <c r="B104" s="64">
        <v>1</v>
      </c>
      <c r="C104" s="65">
        <v>10.58</v>
      </c>
      <c r="D104" s="65">
        <v>28.58</v>
      </c>
      <c r="E104" s="65">
        <v>20.22849837983955</v>
      </c>
      <c r="F104" s="65">
        <v>8.3515016201604482</v>
      </c>
      <c r="G104" s="65">
        <v>0.84471093658434837</v>
      </c>
      <c r="H104" s="65">
        <v>0.83427820311147005</v>
      </c>
      <c r="I104" s="65">
        <v>18.58691344928998</v>
      </c>
      <c r="J104" s="65">
        <v>21.87008331038912</v>
      </c>
      <c r="K104" s="65">
        <v>9.9219529899679184</v>
      </c>
      <c r="L104" s="65">
        <v>0.70536035560861876</v>
      </c>
      <c r="M104" s="65">
        <v>39.751636404070481</v>
      </c>
    </row>
    <row r="105" spans="1:13" x14ac:dyDescent="0.35">
      <c r="A105" s="45" t="s">
        <v>313</v>
      </c>
      <c r="B105" s="64">
        <v>1</v>
      </c>
      <c r="C105" s="65">
        <v>5.83</v>
      </c>
      <c r="D105" s="65">
        <v>1.83</v>
      </c>
      <c r="E105" s="65">
        <v>16.361099868576289</v>
      </c>
      <c r="F105" s="65">
        <v>-14.531099868576289</v>
      </c>
      <c r="G105" s="65">
        <v>-1.4697451473822454</v>
      </c>
      <c r="H105" s="65">
        <v>0.96431267564105716</v>
      </c>
      <c r="I105" s="65">
        <v>14.463649892337623</v>
      </c>
      <c r="J105" s="65">
        <v>18.258549844814954</v>
      </c>
      <c r="K105" s="65">
        <v>9.9337319246770708</v>
      </c>
      <c r="L105" s="65">
        <v>-3.1852152225423502</v>
      </c>
      <c r="M105" s="65">
        <v>35.907414959694933</v>
      </c>
    </row>
    <row r="106" spans="1:13" x14ac:dyDescent="0.35">
      <c r="A106" s="45" t="s">
        <v>314</v>
      </c>
      <c r="B106" s="64">
        <v>1</v>
      </c>
      <c r="C106" s="65">
        <v>5.83</v>
      </c>
      <c r="D106" s="65">
        <v>8.83</v>
      </c>
      <c r="E106" s="65">
        <v>16.361099868576289</v>
      </c>
      <c r="F106" s="65">
        <v>-7.5310998685762893</v>
      </c>
      <c r="G106" s="65">
        <v>-0.76173156790612251</v>
      </c>
      <c r="H106" s="65">
        <v>0.96431267564105716</v>
      </c>
      <c r="I106" s="65">
        <v>14.463649892337623</v>
      </c>
      <c r="J106" s="65">
        <v>18.258549844814954</v>
      </c>
      <c r="K106" s="65">
        <v>9.9337319246770708</v>
      </c>
      <c r="L106" s="65">
        <v>-3.1852152225423502</v>
      </c>
      <c r="M106" s="65">
        <v>35.907414959694933</v>
      </c>
    </row>
    <row r="107" spans="1:13" x14ac:dyDescent="0.35">
      <c r="A107" s="45" t="s">
        <v>315</v>
      </c>
      <c r="B107" s="64">
        <v>1</v>
      </c>
      <c r="C107" s="65">
        <v>5.83</v>
      </c>
      <c r="D107" s="65">
        <v>8.83</v>
      </c>
      <c r="E107" s="65">
        <v>16.361099868576289</v>
      </c>
      <c r="F107" s="65">
        <v>-7.5310998685762893</v>
      </c>
      <c r="G107" s="65">
        <v>-0.76173156790612251</v>
      </c>
      <c r="H107" s="65">
        <v>0.96431267564105716</v>
      </c>
      <c r="I107" s="65">
        <v>14.463649892337623</v>
      </c>
      <c r="J107" s="65">
        <v>18.258549844814954</v>
      </c>
      <c r="K107" s="65">
        <v>9.9337319246770708</v>
      </c>
      <c r="L107" s="65">
        <v>-3.1852152225423502</v>
      </c>
      <c r="M107" s="65">
        <v>35.907414959694933</v>
      </c>
    </row>
    <row r="108" spans="1:13" x14ac:dyDescent="0.35">
      <c r="A108" s="45" t="s">
        <v>316</v>
      </c>
      <c r="B108" s="64">
        <v>1</v>
      </c>
      <c r="C108" s="65">
        <v>5.83</v>
      </c>
      <c r="D108" s="65">
        <v>8.83</v>
      </c>
      <c r="E108" s="65">
        <v>16.361099868576289</v>
      </c>
      <c r="F108" s="65">
        <v>-7.5310998685762893</v>
      </c>
      <c r="G108" s="65">
        <v>-0.76173156790612251</v>
      </c>
      <c r="H108" s="65">
        <v>0.96431267564105716</v>
      </c>
      <c r="I108" s="65">
        <v>14.463649892337623</v>
      </c>
      <c r="J108" s="65">
        <v>18.258549844814954</v>
      </c>
      <c r="K108" s="65">
        <v>9.9337319246770708</v>
      </c>
      <c r="L108" s="65">
        <v>-3.1852152225423502</v>
      </c>
      <c r="M108" s="65">
        <v>35.907414959694933</v>
      </c>
    </row>
    <row r="109" spans="1:13" x14ac:dyDescent="0.35">
      <c r="A109" s="45" t="s">
        <v>317</v>
      </c>
      <c r="B109" s="64">
        <v>1</v>
      </c>
      <c r="C109" s="65">
        <v>10.83</v>
      </c>
      <c r="D109" s="65">
        <v>16.829999999999998</v>
      </c>
      <c r="E109" s="65">
        <v>20.432045669906039</v>
      </c>
      <c r="F109" s="65">
        <v>-3.6020456699060404</v>
      </c>
      <c r="G109" s="65">
        <v>-0.36432817831237779</v>
      </c>
      <c r="H109" s="65">
        <v>0.82779919031235105</v>
      </c>
      <c r="I109" s="65">
        <v>18.803209304207144</v>
      </c>
      <c r="J109" s="65">
        <v>22.060882035604934</v>
      </c>
      <c r="K109" s="65">
        <v>9.9214103087428143</v>
      </c>
      <c r="L109" s="65">
        <v>0.90997546372177496</v>
      </c>
      <c r="M109" s="65">
        <v>39.954115876090299</v>
      </c>
    </row>
    <row r="110" spans="1:13" x14ac:dyDescent="0.35">
      <c r="A110" s="45" t="s">
        <v>318</v>
      </c>
      <c r="B110" s="64">
        <v>1</v>
      </c>
      <c r="C110" s="65">
        <v>10.83</v>
      </c>
      <c r="D110" s="65">
        <v>19.829999999999998</v>
      </c>
      <c r="E110" s="65">
        <v>20.432045669906039</v>
      </c>
      <c r="F110" s="65">
        <v>-0.60204566990604036</v>
      </c>
      <c r="G110" s="65">
        <v>-6.0893787108325138E-2</v>
      </c>
      <c r="H110" s="65">
        <v>0.82779919031235105</v>
      </c>
      <c r="I110" s="65">
        <v>18.803209304207144</v>
      </c>
      <c r="J110" s="65">
        <v>22.060882035604934</v>
      </c>
      <c r="K110" s="65">
        <v>9.9214103087428143</v>
      </c>
      <c r="L110" s="65">
        <v>0.90997546372177496</v>
      </c>
      <c r="M110" s="65">
        <v>39.954115876090299</v>
      </c>
    </row>
    <row r="111" spans="1:13" x14ac:dyDescent="0.35">
      <c r="A111" s="45" t="s">
        <v>319</v>
      </c>
      <c r="B111" s="64">
        <v>1</v>
      </c>
      <c r="C111" s="65">
        <v>10.83</v>
      </c>
      <c r="D111" s="65">
        <v>18.329999999999998</v>
      </c>
      <c r="E111" s="65">
        <v>20.432045669906039</v>
      </c>
      <c r="F111" s="65">
        <v>-2.1020456699060404</v>
      </c>
      <c r="G111" s="65">
        <v>-0.21261098271035148</v>
      </c>
      <c r="H111" s="65">
        <v>0.82779919031235105</v>
      </c>
      <c r="I111" s="65">
        <v>18.803209304207144</v>
      </c>
      <c r="J111" s="65">
        <v>22.060882035604934</v>
      </c>
      <c r="K111" s="65">
        <v>9.9214103087428143</v>
      </c>
      <c r="L111" s="65">
        <v>0.90997546372177496</v>
      </c>
      <c r="M111" s="65">
        <v>39.954115876090299</v>
      </c>
    </row>
    <row r="112" spans="1:13" x14ac:dyDescent="0.35">
      <c r="A112" s="45" t="s">
        <v>320</v>
      </c>
      <c r="B112" s="64">
        <v>1</v>
      </c>
      <c r="C112" s="65">
        <v>10.83</v>
      </c>
      <c r="D112" s="65">
        <v>14.83</v>
      </c>
      <c r="E112" s="65">
        <v>20.432045669906039</v>
      </c>
      <c r="F112" s="65">
        <v>-5.6020456699060386</v>
      </c>
      <c r="G112" s="65">
        <v>-0.56661777244841272</v>
      </c>
      <c r="H112" s="65">
        <v>0.82779919031235105</v>
      </c>
      <c r="I112" s="65">
        <v>18.803209304207144</v>
      </c>
      <c r="J112" s="65">
        <v>22.060882035604934</v>
      </c>
      <c r="K112" s="65">
        <v>9.9214103087428143</v>
      </c>
      <c r="L112" s="65">
        <v>0.90997546372177496</v>
      </c>
      <c r="M112" s="65">
        <v>39.954115876090299</v>
      </c>
    </row>
    <row r="113" spans="1:13" x14ac:dyDescent="0.35">
      <c r="A113" s="45" t="s">
        <v>321</v>
      </c>
      <c r="B113" s="64">
        <v>1</v>
      </c>
      <c r="C113" s="65">
        <v>21.33</v>
      </c>
      <c r="D113" s="65">
        <v>12</v>
      </c>
      <c r="E113" s="65">
        <v>28.981031852698507</v>
      </c>
      <c r="F113" s="65">
        <v>-16.981031852698507</v>
      </c>
      <c r="G113" s="65">
        <v>-1.7175430207467328</v>
      </c>
      <c r="H113" s="65">
        <v>0.61000231785237724</v>
      </c>
      <c r="I113" s="65">
        <v>27.780748051860698</v>
      </c>
      <c r="J113" s="65">
        <v>30.181315653536316</v>
      </c>
      <c r="K113" s="65">
        <v>9.9056162777856311</v>
      </c>
      <c r="L113" s="65">
        <v>9.4900391013911047</v>
      </c>
      <c r="M113" s="65">
        <v>48.47202460400591</v>
      </c>
    </row>
    <row r="114" spans="1:13" x14ac:dyDescent="0.35">
      <c r="A114" s="45" t="s">
        <v>322</v>
      </c>
      <c r="B114" s="64">
        <v>1</v>
      </c>
      <c r="C114" s="65">
        <v>16.329999999999998</v>
      </c>
      <c r="D114" s="65">
        <v>27</v>
      </c>
      <c r="E114" s="65">
        <v>24.910086051368758</v>
      </c>
      <c r="F114" s="65">
        <v>2.0899139486312421</v>
      </c>
      <c r="G114" s="65">
        <v>0.21138392222392627</v>
      </c>
      <c r="H114" s="65">
        <v>0.69808584575045907</v>
      </c>
      <c r="I114" s="65">
        <v>23.536482857206451</v>
      </c>
      <c r="J114" s="65">
        <v>26.283689245531065</v>
      </c>
      <c r="K114" s="65">
        <v>9.9114305154696787</v>
      </c>
      <c r="L114" s="65">
        <v>5.4076527938499162</v>
      </c>
      <c r="M114" s="65">
        <v>44.412519308887596</v>
      </c>
    </row>
    <row r="115" spans="1:13" x14ac:dyDescent="0.35">
      <c r="A115" s="45" t="s">
        <v>323</v>
      </c>
      <c r="B115" s="64">
        <v>1</v>
      </c>
      <c r="C115" s="65">
        <v>21.33</v>
      </c>
      <c r="D115" s="65">
        <v>42</v>
      </c>
      <c r="E115" s="65">
        <v>28.981031852698507</v>
      </c>
      <c r="F115" s="65">
        <v>13.018968147301493</v>
      </c>
      <c r="G115" s="65">
        <v>1.3168008912937941</v>
      </c>
      <c r="H115" s="65">
        <v>0.61000231785237724</v>
      </c>
      <c r="I115" s="65">
        <v>27.780748051860698</v>
      </c>
      <c r="J115" s="65">
        <v>30.181315653536316</v>
      </c>
      <c r="K115" s="65">
        <v>9.9056162777856311</v>
      </c>
      <c r="L115" s="65">
        <v>9.4900391013911047</v>
      </c>
      <c r="M115" s="65">
        <v>48.47202460400591</v>
      </c>
    </row>
    <row r="116" spans="1:13" x14ac:dyDescent="0.35">
      <c r="A116" s="45" t="s">
        <v>324</v>
      </c>
      <c r="B116" s="64">
        <v>1</v>
      </c>
      <c r="C116" s="65">
        <v>21.33</v>
      </c>
      <c r="D116" s="65">
        <v>46</v>
      </c>
      <c r="E116" s="65">
        <v>28.981031852698507</v>
      </c>
      <c r="F116" s="65">
        <v>17.018968147301493</v>
      </c>
      <c r="G116" s="65">
        <v>1.7213800795658643</v>
      </c>
      <c r="H116" s="65">
        <v>0.61000231785237724</v>
      </c>
      <c r="I116" s="65">
        <v>27.780748051860698</v>
      </c>
      <c r="J116" s="65">
        <v>30.181315653536316</v>
      </c>
      <c r="K116" s="65">
        <v>9.9056162777856311</v>
      </c>
      <c r="L116" s="65">
        <v>9.4900391013911047</v>
      </c>
      <c r="M116" s="65">
        <v>48.47202460400591</v>
      </c>
    </row>
    <row r="117" spans="1:13" x14ac:dyDescent="0.35">
      <c r="A117" s="45" t="s">
        <v>325</v>
      </c>
      <c r="B117" s="64">
        <v>1</v>
      </c>
      <c r="C117" s="65">
        <v>21.33</v>
      </c>
      <c r="D117" s="65">
        <v>46</v>
      </c>
      <c r="E117" s="65">
        <v>28.981031852698507</v>
      </c>
      <c r="F117" s="65">
        <v>17.018968147301493</v>
      </c>
      <c r="G117" s="65">
        <v>1.7213800795658643</v>
      </c>
      <c r="H117" s="65">
        <v>0.61000231785237724</v>
      </c>
      <c r="I117" s="65">
        <v>27.780748051860698</v>
      </c>
      <c r="J117" s="65">
        <v>30.181315653536316</v>
      </c>
      <c r="K117" s="65">
        <v>9.9056162777856311</v>
      </c>
      <c r="L117" s="65">
        <v>9.4900391013911047</v>
      </c>
      <c r="M117" s="65">
        <v>48.47202460400591</v>
      </c>
    </row>
    <row r="118" spans="1:13" x14ac:dyDescent="0.35">
      <c r="A118" s="45" t="s">
        <v>326</v>
      </c>
      <c r="B118" s="64">
        <v>1</v>
      </c>
      <c r="C118" s="65">
        <v>31.33</v>
      </c>
      <c r="D118" s="65">
        <v>57</v>
      </c>
      <c r="E118" s="65">
        <v>37.122923455358006</v>
      </c>
      <c r="F118" s="65">
        <v>19.877076544641994</v>
      </c>
      <c r="G118" s="65">
        <v>2.0104628734132661</v>
      </c>
      <c r="H118" s="65">
        <v>0.57145049500054235</v>
      </c>
      <c r="I118" s="65">
        <v>35.998496953923159</v>
      </c>
      <c r="J118" s="65">
        <v>38.247349956792853</v>
      </c>
      <c r="K118" s="65">
        <v>9.9033169535859429</v>
      </c>
      <c r="L118" s="65">
        <v>17.636455017334324</v>
      </c>
      <c r="M118" s="65">
        <v>56.609391893381684</v>
      </c>
    </row>
    <row r="119" spans="1:13" x14ac:dyDescent="0.35">
      <c r="A119" s="45" t="s">
        <v>327</v>
      </c>
      <c r="B119" s="64">
        <v>1</v>
      </c>
      <c r="C119" s="65">
        <v>41.08</v>
      </c>
      <c r="D119" s="65">
        <v>55.75</v>
      </c>
      <c r="E119" s="65">
        <v>45.061267767951009</v>
      </c>
      <c r="F119" s="65">
        <v>10.688732232048991</v>
      </c>
      <c r="G119" s="65">
        <v>1.0811096525249737</v>
      </c>
      <c r="H119" s="65">
        <v>0.72076764016007422</v>
      </c>
      <c r="I119" s="65">
        <v>43.643034267301267</v>
      </c>
      <c r="J119" s="65">
        <v>46.47950126860075</v>
      </c>
      <c r="K119" s="65">
        <v>9.9130538688160232</v>
      </c>
      <c r="L119" s="65">
        <v>25.555640285315921</v>
      </c>
      <c r="M119" s="65">
        <v>64.5668952505861</v>
      </c>
    </row>
    <row r="120" spans="1:13" x14ac:dyDescent="0.35">
      <c r="A120" s="45" t="s">
        <v>328</v>
      </c>
      <c r="B120" s="64">
        <v>1</v>
      </c>
      <c r="C120" s="65">
        <v>41.08</v>
      </c>
      <c r="D120" s="65">
        <v>55.75</v>
      </c>
      <c r="E120" s="65">
        <v>45.061267767951009</v>
      </c>
      <c r="F120" s="65">
        <v>10.688732232048991</v>
      </c>
      <c r="G120" s="65">
        <v>1.0811096525249737</v>
      </c>
      <c r="H120" s="65">
        <v>0.72076764016007422</v>
      </c>
      <c r="I120" s="65">
        <v>43.643034267301267</v>
      </c>
      <c r="J120" s="65">
        <v>46.47950126860075</v>
      </c>
      <c r="K120" s="65">
        <v>9.9130538688160232</v>
      </c>
      <c r="L120" s="65">
        <v>25.555640285315921</v>
      </c>
      <c r="M120" s="65">
        <v>64.5668952505861</v>
      </c>
    </row>
    <row r="121" spans="1:13" x14ac:dyDescent="0.35">
      <c r="A121" s="45" t="s">
        <v>329</v>
      </c>
      <c r="B121" s="64">
        <v>1</v>
      </c>
      <c r="C121" s="65">
        <v>41.08</v>
      </c>
      <c r="D121" s="65">
        <v>55.75</v>
      </c>
      <c r="E121" s="65">
        <v>45.061267767951009</v>
      </c>
      <c r="F121" s="65">
        <v>10.688732232048991</v>
      </c>
      <c r="G121" s="65">
        <v>1.0811096525249737</v>
      </c>
      <c r="H121" s="65">
        <v>0.72076764016007422</v>
      </c>
      <c r="I121" s="65">
        <v>43.643034267301267</v>
      </c>
      <c r="J121" s="65">
        <v>46.47950126860075</v>
      </c>
      <c r="K121" s="65">
        <v>9.9130538688160232</v>
      </c>
      <c r="L121" s="65">
        <v>25.555640285315921</v>
      </c>
      <c r="M121" s="65">
        <v>64.5668952505861</v>
      </c>
    </row>
    <row r="122" spans="1:13" x14ac:dyDescent="0.35">
      <c r="A122" s="45" t="s">
        <v>330</v>
      </c>
      <c r="B122" s="64">
        <v>1</v>
      </c>
      <c r="C122" s="65">
        <v>46.33</v>
      </c>
      <c r="D122" s="65">
        <v>57</v>
      </c>
      <c r="E122" s="65">
        <v>49.335760859347246</v>
      </c>
      <c r="F122" s="65">
        <v>7.6642391406527537</v>
      </c>
      <c r="G122" s="65">
        <v>0.77519791256208004</v>
      </c>
      <c r="H122" s="65">
        <v>0.84880629786779882</v>
      </c>
      <c r="I122" s="65">
        <v>47.665589419725954</v>
      </c>
      <c r="J122" s="65">
        <v>51.005932298968538</v>
      </c>
      <c r="K122" s="65">
        <v>9.9231851311081787</v>
      </c>
      <c r="L122" s="65">
        <v>29.810198386867977</v>
      </c>
      <c r="M122" s="65">
        <v>68.861323331826512</v>
      </c>
    </row>
    <row r="123" spans="1:13" x14ac:dyDescent="0.35">
      <c r="A123" s="45" t="s">
        <v>331</v>
      </c>
      <c r="B123" s="64">
        <v>1</v>
      </c>
      <c r="C123" s="65">
        <v>61.33</v>
      </c>
      <c r="D123" s="65">
        <v>77</v>
      </c>
      <c r="E123" s="65">
        <v>61.548598263336487</v>
      </c>
      <c r="F123" s="65">
        <v>15.451401736663513</v>
      </c>
      <c r="G123" s="65">
        <v>1.5628288930712451</v>
      </c>
      <c r="H123" s="65">
        <v>1.2919261732886111</v>
      </c>
      <c r="I123" s="65">
        <v>59.006512746127079</v>
      </c>
      <c r="J123" s="65">
        <v>64.090683780545902</v>
      </c>
      <c r="K123" s="65">
        <v>9.9708677782916446</v>
      </c>
      <c r="L123" s="65">
        <v>41.92921203425761</v>
      </c>
      <c r="M123" s="65">
        <v>81.167984492415371</v>
      </c>
    </row>
    <row r="124" spans="1:13" x14ac:dyDescent="0.35">
      <c r="A124" s="45" t="s">
        <v>332</v>
      </c>
      <c r="B124" s="64">
        <v>1</v>
      </c>
      <c r="C124" s="65">
        <v>61.33</v>
      </c>
      <c r="D124" s="65">
        <v>76</v>
      </c>
      <c r="E124" s="65">
        <v>61.548598263336487</v>
      </c>
      <c r="F124" s="65">
        <v>14.451401736663513</v>
      </c>
      <c r="G124" s="65">
        <v>1.4616840960032276</v>
      </c>
      <c r="H124" s="65">
        <v>1.2919261732886111</v>
      </c>
      <c r="I124" s="65">
        <v>59.006512746127079</v>
      </c>
      <c r="J124" s="65">
        <v>64.090683780545902</v>
      </c>
      <c r="K124" s="65">
        <v>9.9708677782916446</v>
      </c>
      <c r="L124" s="65">
        <v>41.92921203425761</v>
      </c>
      <c r="M124" s="65">
        <v>81.167984492415371</v>
      </c>
    </row>
    <row r="125" spans="1:13" x14ac:dyDescent="0.35">
      <c r="A125" s="45" t="s">
        <v>333</v>
      </c>
      <c r="B125" s="64">
        <v>1</v>
      </c>
      <c r="C125" s="65">
        <v>61.33</v>
      </c>
      <c r="D125" s="65">
        <v>75</v>
      </c>
      <c r="E125" s="65">
        <v>61.548598263336487</v>
      </c>
      <c r="F125" s="65">
        <v>13.451401736663513</v>
      </c>
      <c r="G125" s="65">
        <v>1.3605392989352101</v>
      </c>
      <c r="H125" s="65">
        <v>1.2919261732886111</v>
      </c>
      <c r="I125" s="65">
        <v>59.006512746127079</v>
      </c>
      <c r="J125" s="65">
        <v>64.090683780545902</v>
      </c>
      <c r="K125" s="65">
        <v>9.9708677782916446</v>
      </c>
      <c r="L125" s="65">
        <v>41.92921203425761</v>
      </c>
      <c r="M125" s="65">
        <v>81.167984492415371</v>
      </c>
    </row>
    <row r="126" spans="1:13" x14ac:dyDescent="0.35">
      <c r="A126" s="45" t="s">
        <v>334</v>
      </c>
      <c r="B126" s="64">
        <v>1</v>
      </c>
      <c r="C126" s="65">
        <v>61.33</v>
      </c>
      <c r="D126" s="65">
        <v>75</v>
      </c>
      <c r="E126" s="65">
        <v>61.548598263336487</v>
      </c>
      <c r="F126" s="65">
        <v>13.451401736663513</v>
      </c>
      <c r="G126" s="65">
        <v>1.3605392989352101</v>
      </c>
      <c r="H126" s="65">
        <v>1.2919261732886111</v>
      </c>
      <c r="I126" s="65">
        <v>59.006512746127079</v>
      </c>
      <c r="J126" s="65">
        <v>64.090683780545902</v>
      </c>
      <c r="K126" s="65">
        <v>9.9708677782916446</v>
      </c>
      <c r="L126" s="65">
        <v>41.92921203425761</v>
      </c>
      <c r="M126" s="65">
        <v>81.167984492415371</v>
      </c>
    </row>
    <row r="127" spans="1:13" x14ac:dyDescent="0.35">
      <c r="A127" s="45" t="s">
        <v>335</v>
      </c>
      <c r="B127" s="64">
        <v>1</v>
      </c>
      <c r="C127" s="65">
        <v>61.33</v>
      </c>
      <c r="D127" s="65">
        <v>36</v>
      </c>
      <c r="E127" s="65">
        <v>61.548598263336487</v>
      </c>
      <c r="F127" s="65">
        <v>-25.548598263336487</v>
      </c>
      <c r="G127" s="65">
        <v>-2.5841077867174747</v>
      </c>
      <c r="H127" s="65">
        <v>1.2919261732886111</v>
      </c>
      <c r="I127" s="65">
        <v>59.006512746127079</v>
      </c>
      <c r="J127" s="65">
        <v>64.090683780545902</v>
      </c>
      <c r="K127" s="65">
        <v>9.9708677782916446</v>
      </c>
      <c r="L127" s="65">
        <v>41.92921203425761</v>
      </c>
      <c r="M127" s="65">
        <v>81.167984492415371</v>
      </c>
    </row>
    <row r="128" spans="1:13" x14ac:dyDescent="0.35">
      <c r="A128" s="45" t="s">
        <v>336</v>
      </c>
      <c r="B128" s="64">
        <v>1</v>
      </c>
      <c r="C128" s="65">
        <v>61.33</v>
      </c>
      <c r="D128" s="65">
        <v>56.42</v>
      </c>
      <c r="E128" s="65">
        <v>61.548598263336487</v>
      </c>
      <c r="F128" s="65">
        <v>-5.1285982633364853</v>
      </c>
      <c r="G128" s="65">
        <v>-0.51873103058855607</v>
      </c>
      <c r="H128" s="65">
        <v>1.2919261732886111</v>
      </c>
      <c r="I128" s="65">
        <v>59.006512746127079</v>
      </c>
      <c r="J128" s="65">
        <v>64.090683780545902</v>
      </c>
      <c r="K128" s="65">
        <v>9.9708677782916446</v>
      </c>
      <c r="L128" s="65">
        <v>41.92921203425761</v>
      </c>
      <c r="M128" s="65">
        <v>81.167984492415371</v>
      </c>
    </row>
    <row r="129" spans="1:13" x14ac:dyDescent="0.35">
      <c r="A129" s="45" t="s">
        <v>337</v>
      </c>
      <c r="B129" s="64">
        <v>1</v>
      </c>
      <c r="C129" s="65">
        <v>61.33</v>
      </c>
      <c r="D129" s="65">
        <v>45</v>
      </c>
      <c r="E129" s="65">
        <v>61.548598263336487</v>
      </c>
      <c r="F129" s="65">
        <v>-16.548598263336487</v>
      </c>
      <c r="G129" s="65">
        <v>-1.6738046131053168</v>
      </c>
      <c r="H129" s="65">
        <v>1.2919261732886111</v>
      </c>
      <c r="I129" s="65">
        <v>59.006512746127079</v>
      </c>
      <c r="J129" s="65">
        <v>64.090683780545902</v>
      </c>
      <c r="K129" s="65">
        <v>9.9708677782916446</v>
      </c>
      <c r="L129" s="65">
        <v>41.92921203425761</v>
      </c>
      <c r="M129" s="65">
        <v>81.167984492415371</v>
      </c>
    </row>
    <row r="130" spans="1:13" x14ac:dyDescent="0.35">
      <c r="A130" s="45" t="s">
        <v>338</v>
      </c>
      <c r="B130" s="64">
        <v>1</v>
      </c>
      <c r="C130" s="65">
        <v>61.33</v>
      </c>
      <c r="D130" s="65">
        <v>45.42</v>
      </c>
      <c r="E130" s="65">
        <v>61.548598263336487</v>
      </c>
      <c r="F130" s="65">
        <v>-16.128598263336485</v>
      </c>
      <c r="G130" s="65">
        <v>-1.6313237983367492</v>
      </c>
      <c r="H130" s="65">
        <v>1.2919261732886111</v>
      </c>
      <c r="I130" s="65">
        <v>59.006512746127079</v>
      </c>
      <c r="J130" s="65">
        <v>64.090683780545902</v>
      </c>
      <c r="K130" s="65">
        <v>9.9708677782916446</v>
      </c>
      <c r="L130" s="65">
        <v>41.92921203425761</v>
      </c>
      <c r="M130" s="65">
        <v>81.167984492415371</v>
      </c>
    </row>
    <row r="131" spans="1:13" x14ac:dyDescent="0.35">
      <c r="A131" s="45" t="s">
        <v>339</v>
      </c>
      <c r="B131" s="64">
        <v>1</v>
      </c>
      <c r="C131" s="65">
        <v>61.33</v>
      </c>
      <c r="D131" s="65">
        <v>37</v>
      </c>
      <c r="E131" s="65">
        <v>61.548598263336487</v>
      </c>
      <c r="F131" s="65">
        <v>-24.548598263336487</v>
      </c>
      <c r="G131" s="65">
        <v>-2.4829629896494572</v>
      </c>
      <c r="H131" s="65">
        <v>1.2919261732886111</v>
      </c>
      <c r="I131" s="65">
        <v>59.006512746127079</v>
      </c>
      <c r="J131" s="65">
        <v>64.090683780545902</v>
      </c>
      <c r="K131" s="65">
        <v>9.9708677782916446</v>
      </c>
      <c r="L131" s="65">
        <v>41.92921203425761</v>
      </c>
      <c r="M131" s="65">
        <v>81.167984492415371</v>
      </c>
    </row>
    <row r="132" spans="1:13" x14ac:dyDescent="0.35">
      <c r="A132" s="45" t="s">
        <v>340</v>
      </c>
      <c r="B132" s="64">
        <v>1</v>
      </c>
      <c r="C132" s="65">
        <v>11.33</v>
      </c>
      <c r="D132" s="65">
        <v>8</v>
      </c>
      <c r="E132" s="65">
        <v>20.839140250039009</v>
      </c>
      <c r="F132" s="65">
        <v>-12.839140250039009</v>
      </c>
      <c r="G132" s="65">
        <v>-1.2986122351180118</v>
      </c>
      <c r="H132" s="65">
        <v>0.81497024195606838</v>
      </c>
      <c r="I132" s="65">
        <v>19.235547032510507</v>
      </c>
      <c r="J132" s="65">
        <v>22.442733467567511</v>
      </c>
      <c r="K132" s="65">
        <v>9.920348154687936</v>
      </c>
      <c r="L132" s="65">
        <v>1.3191600134642911</v>
      </c>
      <c r="M132" s="65">
        <v>40.359120486613726</v>
      </c>
    </row>
    <row r="133" spans="1:13" x14ac:dyDescent="0.35">
      <c r="A133" s="45" t="s">
        <v>341</v>
      </c>
      <c r="B133" s="64">
        <v>1</v>
      </c>
      <c r="C133" s="65">
        <v>5.83</v>
      </c>
      <c r="D133" s="65">
        <v>2.83</v>
      </c>
      <c r="E133" s="65">
        <v>16.361099868576289</v>
      </c>
      <c r="F133" s="65">
        <v>-13.531099868576289</v>
      </c>
      <c r="G133" s="65">
        <v>-1.3686003503142279</v>
      </c>
      <c r="H133" s="65">
        <v>0.96431267564105716</v>
      </c>
      <c r="I133" s="65">
        <v>14.463649892337623</v>
      </c>
      <c r="J133" s="65">
        <v>18.258549844814954</v>
      </c>
      <c r="K133" s="65">
        <v>9.9337319246770708</v>
      </c>
      <c r="L133" s="65">
        <v>-3.1852152225423502</v>
      </c>
      <c r="M133" s="65">
        <v>35.907414959694933</v>
      </c>
    </row>
    <row r="134" spans="1:13" x14ac:dyDescent="0.35">
      <c r="A134" s="45" t="s">
        <v>342</v>
      </c>
      <c r="B134" s="64">
        <v>1</v>
      </c>
      <c r="C134" s="65">
        <v>5.83</v>
      </c>
      <c r="D134" s="65">
        <v>2.83</v>
      </c>
      <c r="E134" s="65">
        <v>16.361099868576289</v>
      </c>
      <c r="F134" s="65">
        <v>-13.531099868576289</v>
      </c>
      <c r="G134" s="65">
        <v>-1.3686003503142279</v>
      </c>
      <c r="H134" s="65">
        <v>0.96431267564105716</v>
      </c>
      <c r="I134" s="65">
        <v>14.463649892337623</v>
      </c>
      <c r="J134" s="65">
        <v>18.258549844814954</v>
      </c>
      <c r="K134" s="65">
        <v>9.9337319246770708</v>
      </c>
      <c r="L134" s="65">
        <v>-3.1852152225423502</v>
      </c>
      <c r="M134" s="65">
        <v>35.907414959694933</v>
      </c>
    </row>
    <row r="135" spans="1:13" x14ac:dyDescent="0.35">
      <c r="A135" s="45" t="s">
        <v>343</v>
      </c>
      <c r="B135" s="64">
        <v>1</v>
      </c>
      <c r="C135" s="65">
        <v>5.83</v>
      </c>
      <c r="D135" s="65">
        <v>2.83</v>
      </c>
      <c r="E135" s="65">
        <v>16.361099868576289</v>
      </c>
      <c r="F135" s="65">
        <v>-13.531099868576289</v>
      </c>
      <c r="G135" s="65">
        <v>-1.3686003503142279</v>
      </c>
      <c r="H135" s="65">
        <v>0.96431267564105716</v>
      </c>
      <c r="I135" s="65">
        <v>14.463649892337623</v>
      </c>
      <c r="J135" s="65">
        <v>18.258549844814954</v>
      </c>
      <c r="K135" s="65">
        <v>9.9337319246770708</v>
      </c>
      <c r="L135" s="65">
        <v>-3.1852152225423502</v>
      </c>
      <c r="M135" s="65">
        <v>35.907414959694933</v>
      </c>
    </row>
    <row r="136" spans="1:13" x14ac:dyDescent="0.35">
      <c r="A136" s="45" t="s">
        <v>344</v>
      </c>
      <c r="B136" s="64">
        <v>1</v>
      </c>
      <c r="C136" s="65">
        <v>5.83</v>
      </c>
      <c r="D136" s="65">
        <v>2.83</v>
      </c>
      <c r="E136" s="65">
        <v>16.361099868576289</v>
      </c>
      <c r="F136" s="65">
        <v>-13.531099868576289</v>
      </c>
      <c r="G136" s="65">
        <v>-1.3686003503142279</v>
      </c>
      <c r="H136" s="65">
        <v>0.96431267564105716</v>
      </c>
      <c r="I136" s="65">
        <v>14.463649892337623</v>
      </c>
      <c r="J136" s="65">
        <v>18.258549844814954</v>
      </c>
      <c r="K136" s="65">
        <v>9.9337319246770708</v>
      </c>
      <c r="L136" s="65">
        <v>-3.1852152225423502</v>
      </c>
      <c r="M136" s="65">
        <v>35.907414959694933</v>
      </c>
    </row>
    <row r="137" spans="1:13" x14ac:dyDescent="0.35">
      <c r="A137" s="45" t="s">
        <v>345</v>
      </c>
      <c r="B137" s="64">
        <v>1</v>
      </c>
      <c r="C137" s="65">
        <v>15.83</v>
      </c>
      <c r="D137" s="65">
        <v>14.83</v>
      </c>
      <c r="E137" s="65">
        <v>24.502991471235784</v>
      </c>
      <c r="F137" s="65">
        <v>-9.6729914712357843</v>
      </c>
      <c r="G137" s="65">
        <v>-0.97837275939880797</v>
      </c>
      <c r="H137" s="65">
        <v>0.70868588919668163</v>
      </c>
      <c r="I137" s="65">
        <v>23.108530880200835</v>
      </c>
      <c r="J137" s="65">
        <v>25.897452062270734</v>
      </c>
      <c r="K137" s="65">
        <v>9.9121827416817183</v>
      </c>
      <c r="L137" s="65">
        <v>4.9990780801003112</v>
      </c>
      <c r="M137" s="65">
        <v>44.006904862371258</v>
      </c>
    </row>
    <row r="138" spans="1:13" x14ac:dyDescent="0.35">
      <c r="A138" s="45" t="s">
        <v>346</v>
      </c>
      <c r="B138" s="64">
        <v>1</v>
      </c>
      <c r="C138" s="65">
        <v>15.83</v>
      </c>
      <c r="D138" s="65">
        <v>16.829999999999998</v>
      </c>
      <c r="E138" s="65">
        <v>24.502991471235784</v>
      </c>
      <c r="F138" s="65">
        <v>-7.6729914712357861</v>
      </c>
      <c r="G138" s="65">
        <v>-0.7760831652627731</v>
      </c>
      <c r="H138" s="65">
        <v>0.70868588919668163</v>
      </c>
      <c r="I138" s="65">
        <v>23.108530880200835</v>
      </c>
      <c r="J138" s="65">
        <v>25.897452062270734</v>
      </c>
      <c r="K138" s="65">
        <v>9.9121827416817183</v>
      </c>
      <c r="L138" s="65">
        <v>4.9990780801003112</v>
      </c>
      <c r="M138" s="65">
        <v>44.006904862371258</v>
      </c>
    </row>
    <row r="139" spans="1:13" x14ac:dyDescent="0.35">
      <c r="A139" s="45" t="s">
        <v>347</v>
      </c>
      <c r="B139" s="64">
        <v>1</v>
      </c>
      <c r="C139" s="65">
        <v>15.83</v>
      </c>
      <c r="D139" s="65">
        <v>16.829999999999998</v>
      </c>
      <c r="E139" s="65">
        <v>24.502991471235784</v>
      </c>
      <c r="F139" s="65">
        <v>-7.6729914712357861</v>
      </c>
      <c r="G139" s="65">
        <v>-0.7760831652627731</v>
      </c>
      <c r="H139" s="65">
        <v>0.70868588919668163</v>
      </c>
      <c r="I139" s="65">
        <v>23.108530880200835</v>
      </c>
      <c r="J139" s="65">
        <v>25.897452062270734</v>
      </c>
      <c r="K139" s="65">
        <v>9.9121827416817183</v>
      </c>
      <c r="L139" s="65">
        <v>4.9990780801003112</v>
      </c>
      <c r="M139" s="65">
        <v>44.006904862371258</v>
      </c>
    </row>
    <row r="140" spans="1:13" x14ac:dyDescent="0.35">
      <c r="A140" s="45" t="s">
        <v>348</v>
      </c>
      <c r="B140" s="64">
        <v>1</v>
      </c>
      <c r="C140" s="65">
        <v>15.83</v>
      </c>
      <c r="D140" s="65">
        <v>16.829999999999998</v>
      </c>
      <c r="E140" s="65">
        <v>24.502991471235784</v>
      </c>
      <c r="F140" s="65">
        <v>-7.6729914712357861</v>
      </c>
      <c r="G140" s="65">
        <v>-0.7760831652627731</v>
      </c>
      <c r="H140" s="65">
        <v>0.70868588919668163</v>
      </c>
      <c r="I140" s="65">
        <v>23.108530880200835</v>
      </c>
      <c r="J140" s="65">
        <v>25.897452062270734</v>
      </c>
      <c r="K140" s="65">
        <v>9.9121827416817183</v>
      </c>
      <c r="L140" s="65">
        <v>4.9990780801003112</v>
      </c>
      <c r="M140" s="65">
        <v>44.006904862371258</v>
      </c>
    </row>
    <row r="141" spans="1:13" x14ac:dyDescent="0.35">
      <c r="A141" s="45" t="s">
        <v>349</v>
      </c>
      <c r="B141" s="64">
        <v>1</v>
      </c>
      <c r="C141" s="65">
        <v>11.33</v>
      </c>
      <c r="D141" s="65">
        <v>11</v>
      </c>
      <c r="E141" s="65">
        <v>20.839140250039009</v>
      </c>
      <c r="F141" s="65">
        <v>-9.8391402500390086</v>
      </c>
      <c r="G141" s="65">
        <v>-0.99517784391395903</v>
      </c>
      <c r="H141" s="65">
        <v>0.81497024195606838</v>
      </c>
      <c r="I141" s="65">
        <v>19.235547032510507</v>
      </c>
      <c r="J141" s="65">
        <v>22.442733467567511</v>
      </c>
      <c r="K141" s="65">
        <v>9.920348154687936</v>
      </c>
      <c r="L141" s="65">
        <v>1.3191600134642911</v>
      </c>
      <c r="M141" s="65">
        <v>40.359120486613726</v>
      </c>
    </row>
    <row r="142" spans="1:13" x14ac:dyDescent="0.35">
      <c r="A142" s="45" t="s">
        <v>350</v>
      </c>
      <c r="B142" s="64">
        <v>1</v>
      </c>
      <c r="C142" s="65">
        <v>21.08</v>
      </c>
      <c r="D142" s="65">
        <v>42.75</v>
      </c>
      <c r="E142" s="65">
        <v>28.777484562632019</v>
      </c>
      <c r="F142" s="65">
        <v>13.972515437367981</v>
      </c>
      <c r="G142" s="65">
        <v>1.4132472384423271</v>
      </c>
      <c r="H142" s="65">
        <v>0.61351457004456988</v>
      </c>
      <c r="I142" s="65">
        <v>27.570289805413605</v>
      </c>
      <c r="J142" s="65">
        <v>29.984679319850432</v>
      </c>
      <c r="K142" s="65">
        <v>9.9058331877032622</v>
      </c>
      <c r="L142" s="65">
        <v>9.2860650039949491</v>
      </c>
      <c r="M142" s="65">
        <v>48.268904121269088</v>
      </c>
    </row>
    <row r="143" spans="1:13" x14ac:dyDescent="0.35">
      <c r="A143" s="45" t="s">
        <v>351</v>
      </c>
      <c r="B143" s="64">
        <v>1</v>
      </c>
      <c r="C143" s="65">
        <v>21.08</v>
      </c>
      <c r="D143" s="65">
        <v>43.17</v>
      </c>
      <c r="E143" s="65">
        <v>28.777484562632019</v>
      </c>
      <c r="F143" s="65">
        <v>14.392515437367983</v>
      </c>
      <c r="G143" s="65">
        <v>1.4557280532108947</v>
      </c>
      <c r="H143" s="65">
        <v>0.61351457004456988</v>
      </c>
      <c r="I143" s="65">
        <v>27.570289805413605</v>
      </c>
      <c r="J143" s="65">
        <v>29.984679319850432</v>
      </c>
      <c r="K143" s="65">
        <v>9.9058331877032622</v>
      </c>
      <c r="L143" s="65">
        <v>9.2860650039949491</v>
      </c>
      <c r="M143" s="65">
        <v>48.268904121269088</v>
      </c>
    </row>
    <row r="144" spans="1:13" x14ac:dyDescent="0.35">
      <c r="A144" s="45" t="s">
        <v>352</v>
      </c>
      <c r="B144" s="64">
        <v>1</v>
      </c>
      <c r="C144" s="65">
        <v>21.08</v>
      </c>
      <c r="D144" s="65">
        <v>43.17</v>
      </c>
      <c r="E144" s="65">
        <v>28.777484562632019</v>
      </c>
      <c r="F144" s="65">
        <v>14.392515437367983</v>
      </c>
      <c r="G144" s="65">
        <v>1.4557280532108947</v>
      </c>
      <c r="H144" s="65">
        <v>0.61351457004456988</v>
      </c>
      <c r="I144" s="65">
        <v>27.570289805413605</v>
      </c>
      <c r="J144" s="65">
        <v>29.984679319850432</v>
      </c>
      <c r="K144" s="65">
        <v>9.9058331877032622</v>
      </c>
      <c r="L144" s="65">
        <v>9.2860650039949491</v>
      </c>
      <c r="M144" s="65">
        <v>48.268904121269088</v>
      </c>
    </row>
    <row r="145" spans="1:13" x14ac:dyDescent="0.35">
      <c r="A145" s="45" t="s">
        <v>353</v>
      </c>
      <c r="B145" s="64">
        <v>1</v>
      </c>
      <c r="C145" s="65">
        <v>21.08</v>
      </c>
      <c r="D145" s="65">
        <v>42.75</v>
      </c>
      <c r="E145" s="65">
        <v>28.777484562632019</v>
      </c>
      <c r="F145" s="65">
        <v>13.972515437367981</v>
      </c>
      <c r="G145" s="65">
        <v>1.4132472384423271</v>
      </c>
      <c r="H145" s="65">
        <v>0.61351457004456988</v>
      </c>
      <c r="I145" s="65">
        <v>27.570289805413605</v>
      </c>
      <c r="J145" s="65">
        <v>29.984679319850432</v>
      </c>
      <c r="K145" s="65">
        <v>9.9058331877032622</v>
      </c>
      <c r="L145" s="65">
        <v>9.2860650039949491</v>
      </c>
      <c r="M145" s="65">
        <v>48.268904121269088</v>
      </c>
    </row>
    <row r="146" spans="1:13" x14ac:dyDescent="0.35">
      <c r="A146" s="45" t="s">
        <v>354</v>
      </c>
      <c r="B146" s="64">
        <v>1</v>
      </c>
      <c r="C146" s="65">
        <v>21.08</v>
      </c>
      <c r="D146" s="65">
        <v>42.75</v>
      </c>
      <c r="E146" s="65">
        <v>28.777484562632019</v>
      </c>
      <c r="F146" s="65">
        <v>13.972515437367981</v>
      </c>
      <c r="G146" s="65">
        <v>1.4132472384423271</v>
      </c>
      <c r="H146" s="65">
        <v>0.61351457004456988</v>
      </c>
      <c r="I146" s="65">
        <v>27.570289805413605</v>
      </c>
      <c r="J146" s="65">
        <v>29.984679319850432</v>
      </c>
      <c r="K146" s="65">
        <v>9.9058331877032622</v>
      </c>
      <c r="L146" s="65">
        <v>9.2860650039949491</v>
      </c>
      <c r="M146" s="65">
        <v>48.268904121269088</v>
      </c>
    </row>
    <row r="147" spans="1:13" x14ac:dyDescent="0.35">
      <c r="A147" s="45" t="s">
        <v>355</v>
      </c>
      <c r="B147" s="64">
        <v>1</v>
      </c>
      <c r="C147" s="65">
        <v>41.08</v>
      </c>
      <c r="D147" s="65">
        <v>31.75</v>
      </c>
      <c r="E147" s="65">
        <v>45.061267767951009</v>
      </c>
      <c r="F147" s="65">
        <v>-13.311267767951009</v>
      </c>
      <c r="G147" s="65">
        <v>-1.3463654771074478</v>
      </c>
      <c r="H147" s="65">
        <v>0.72076764016007422</v>
      </c>
      <c r="I147" s="65">
        <v>43.643034267301267</v>
      </c>
      <c r="J147" s="65">
        <v>46.47950126860075</v>
      </c>
      <c r="K147" s="65">
        <v>9.9130538688160232</v>
      </c>
      <c r="L147" s="65">
        <v>25.555640285315921</v>
      </c>
      <c r="M147" s="65">
        <v>64.5668952505861</v>
      </c>
    </row>
    <row r="148" spans="1:13" x14ac:dyDescent="0.35">
      <c r="A148" s="45" t="s">
        <v>356</v>
      </c>
      <c r="B148" s="64">
        <v>1</v>
      </c>
      <c r="C148" s="65">
        <v>41.08</v>
      </c>
      <c r="D148" s="65">
        <v>31.75</v>
      </c>
      <c r="E148" s="65">
        <v>45.061267767951009</v>
      </c>
      <c r="F148" s="65">
        <v>-13.311267767951009</v>
      </c>
      <c r="G148" s="65">
        <v>-1.3463654771074478</v>
      </c>
      <c r="H148" s="65">
        <v>0.72076764016007422</v>
      </c>
      <c r="I148" s="65">
        <v>43.643034267301267</v>
      </c>
      <c r="J148" s="65">
        <v>46.47950126860075</v>
      </c>
      <c r="K148" s="65">
        <v>9.9130538688160232</v>
      </c>
      <c r="L148" s="65">
        <v>25.555640285315921</v>
      </c>
      <c r="M148" s="65">
        <v>64.5668952505861</v>
      </c>
    </row>
    <row r="149" spans="1:13" x14ac:dyDescent="0.35">
      <c r="A149" s="45" t="s">
        <v>357</v>
      </c>
      <c r="B149" s="64">
        <v>1</v>
      </c>
      <c r="C149" s="65">
        <v>41.08</v>
      </c>
      <c r="D149" s="65">
        <v>31.75</v>
      </c>
      <c r="E149" s="65">
        <v>45.061267767951009</v>
      </c>
      <c r="F149" s="65">
        <v>-13.311267767951009</v>
      </c>
      <c r="G149" s="65">
        <v>-1.3463654771074478</v>
      </c>
      <c r="H149" s="65">
        <v>0.72076764016007422</v>
      </c>
      <c r="I149" s="65">
        <v>43.643034267301267</v>
      </c>
      <c r="J149" s="65">
        <v>46.47950126860075</v>
      </c>
      <c r="K149" s="65">
        <v>9.9130538688160232</v>
      </c>
      <c r="L149" s="65">
        <v>25.555640285315921</v>
      </c>
      <c r="M149" s="65">
        <v>64.5668952505861</v>
      </c>
    </row>
    <row r="150" spans="1:13" x14ac:dyDescent="0.35">
      <c r="A150" s="45" t="s">
        <v>358</v>
      </c>
      <c r="B150" s="64">
        <v>1</v>
      </c>
      <c r="C150" s="65">
        <v>41.08</v>
      </c>
      <c r="D150" s="65">
        <v>36.75</v>
      </c>
      <c r="E150" s="65">
        <v>45.061267767951009</v>
      </c>
      <c r="F150" s="65">
        <v>-8.3112677679510085</v>
      </c>
      <c r="G150" s="65">
        <v>-0.84064149176736003</v>
      </c>
      <c r="H150" s="65">
        <v>0.72076764016007422</v>
      </c>
      <c r="I150" s="65">
        <v>43.643034267301267</v>
      </c>
      <c r="J150" s="65">
        <v>46.47950126860075</v>
      </c>
      <c r="K150" s="65">
        <v>9.9130538688160232</v>
      </c>
      <c r="L150" s="65">
        <v>25.555640285315921</v>
      </c>
      <c r="M150" s="65">
        <v>64.5668952505861</v>
      </c>
    </row>
    <row r="151" spans="1:13" x14ac:dyDescent="0.35">
      <c r="A151" s="45" t="s">
        <v>359</v>
      </c>
      <c r="B151" s="64">
        <v>1</v>
      </c>
      <c r="C151" s="65">
        <v>41.08</v>
      </c>
      <c r="D151" s="65">
        <v>44.75</v>
      </c>
      <c r="E151" s="65">
        <v>45.061267767951009</v>
      </c>
      <c r="F151" s="65">
        <v>-0.31126776795100852</v>
      </c>
      <c r="G151" s="65">
        <v>-3.1483115223219539E-2</v>
      </c>
      <c r="H151" s="65">
        <v>0.72076764016007422</v>
      </c>
      <c r="I151" s="65">
        <v>43.643034267301267</v>
      </c>
      <c r="J151" s="65">
        <v>46.47950126860075</v>
      </c>
      <c r="K151" s="65">
        <v>9.9130538688160232</v>
      </c>
      <c r="L151" s="65">
        <v>25.555640285315921</v>
      </c>
      <c r="M151" s="65">
        <v>64.5668952505861</v>
      </c>
    </row>
    <row r="152" spans="1:13" x14ac:dyDescent="0.35">
      <c r="A152" s="45" t="s">
        <v>360</v>
      </c>
      <c r="B152" s="64">
        <v>1</v>
      </c>
      <c r="C152" s="65">
        <v>61.08</v>
      </c>
      <c r="D152" s="65">
        <v>36.75</v>
      </c>
      <c r="E152" s="65">
        <v>61.345050973270006</v>
      </c>
      <c r="F152" s="65">
        <v>-24.595050973270006</v>
      </c>
      <c r="G152" s="65">
        <v>-2.4876614395689423</v>
      </c>
      <c r="H152" s="65">
        <v>1.2840240988026199</v>
      </c>
      <c r="I152" s="65">
        <v>58.818514137960598</v>
      </c>
      <c r="J152" s="65">
        <v>63.871587808579413</v>
      </c>
      <c r="K152" s="65">
        <v>9.9698469848464715</v>
      </c>
      <c r="L152" s="65">
        <v>41.727673329733157</v>
      </c>
      <c r="M152" s="65">
        <v>80.962428616806847</v>
      </c>
    </row>
    <row r="153" spans="1:13" x14ac:dyDescent="0.35">
      <c r="A153" s="45" t="s">
        <v>361</v>
      </c>
      <c r="B153" s="64">
        <v>1</v>
      </c>
      <c r="C153" s="65">
        <v>61.08</v>
      </c>
      <c r="D153" s="65">
        <v>55.75</v>
      </c>
      <c r="E153" s="65">
        <v>61.345050973270006</v>
      </c>
      <c r="F153" s="65">
        <v>-5.5950509732700056</v>
      </c>
      <c r="G153" s="65">
        <v>-0.56591029527660885</v>
      </c>
      <c r="H153" s="65">
        <v>1.2840240988026199</v>
      </c>
      <c r="I153" s="65">
        <v>58.818514137960598</v>
      </c>
      <c r="J153" s="65">
        <v>63.871587808579413</v>
      </c>
      <c r="K153" s="65">
        <v>9.9698469848464715</v>
      </c>
      <c r="L153" s="65">
        <v>41.727673329733157</v>
      </c>
      <c r="M153" s="65">
        <v>80.962428616806847</v>
      </c>
    </row>
    <row r="154" spans="1:13" x14ac:dyDescent="0.35">
      <c r="A154" s="45" t="s">
        <v>362</v>
      </c>
      <c r="B154" s="64">
        <v>1</v>
      </c>
      <c r="C154" s="65">
        <v>61.08</v>
      </c>
      <c r="D154" s="65">
        <v>40.17</v>
      </c>
      <c r="E154" s="65">
        <v>61.345050973270006</v>
      </c>
      <c r="F154" s="65">
        <v>-21.175050973270004</v>
      </c>
      <c r="G154" s="65">
        <v>-2.1417462335963222</v>
      </c>
      <c r="H154" s="65">
        <v>1.2840240988026199</v>
      </c>
      <c r="I154" s="65">
        <v>58.818514137960598</v>
      </c>
      <c r="J154" s="65">
        <v>63.871587808579413</v>
      </c>
      <c r="K154" s="65">
        <v>9.9698469848464715</v>
      </c>
      <c r="L154" s="65">
        <v>41.727673329733157</v>
      </c>
      <c r="M154" s="65">
        <v>80.962428616806847</v>
      </c>
    </row>
    <row r="155" spans="1:13" x14ac:dyDescent="0.35">
      <c r="A155" s="45" t="s">
        <v>363</v>
      </c>
      <c r="B155" s="64">
        <v>1</v>
      </c>
      <c r="C155" s="65">
        <v>61.08</v>
      </c>
      <c r="D155" s="65">
        <v>56.75</v>
      </c>
      <c r="E155" s="65">
        <v>61.345050973270006</v>
      </c>
      <c r="F155" s="65">
        <v>-4.5950509732700056</v>
      </c>
      <c r="G155" s="65">
        <v>-0.46476549820859131</v>
      </c>
      <c r="H155" s="65">
        <v>1.2840240988026199</v>
      </c>
      <c r="I155" s="65">
        <v>58.818514137960598</v>
      </c>
      <c r="J155" s="65">
        <v>63.871587808579413</v>
      </c>
      <c r="K155" s="65">
        <v>9.9698469848464715</v>
      </c>
      <c r="L155" s="65">
        <v>41.727673329733157</v>
      </c>
      <c r="M155" s="65">
        <v>80.962428616806847</v>
      </c>
    </row>
    <row r="156" spans="1:13" x14ac:dyDescent="0.35">
      <c r="A156" s="45" t="s">
        <v>364</v>
      </c>
      <c r="B156" s="64">
        <v>1</v>
      </c>
      <c r="C156" s="65">
        <v>61.33</v>
      </c>
      <c r="D156" s="65">
        <v>26.42</v>
      </c>
      <c r="E156" s="65">
        <v>61.548598263336487</v>
      </c>
      <c r="F156" s="65">
        <v>-35.128598263336485</v>
      </c>
      <c r="G156" s="65">
        <v>-3.5530749426290829</v>
      </c>
      <c r="H156" s="65">
        <v>1.2919261732886111</v>
      </c>
      <c r="I156" s="65">
        <v>59.006512746127079</v>
      </c>
      <c r="J156" s="65">
        <v>64.090683780545902</v>
      </c>
      <c r="K156" s="65">
        <v>9.9708677782916446</v>
      </c>
      <c r="L156" s="65">
        <v>41.92921203425761</v>
      </c>
      <c r="M156" s="65">
        <v>81.167984492415371</v>
      </c>
    </row>
    <row r="157" spans="1:13" x14ac:dyDescent="0.35">
      <c r="A157" s="45" t="s">
        <v>365</v>
      </c>
      <c r="B157" s="64">
        <v>1</v>
      </c>
      <c r="C157" s="65">
        <v>61.33</v>
      </c>
      <c r="D157" s="65">
        <v>66</v>
      </c>
      <c r="E157" s="65">
        <v>61.548598263336487</v>
      </c>
      <c r="F157" s="65">
        <v>4.451401736663513</v>
      </c>
      <c r="G157" s="65">
        <v>0.45023612532305196</v>
      </c>
      <c r="H157" s="65">
        <v>1.2919261732886111</v>
      </c>
      <c r="I157" s="65">
        <v>59.006512746127079</v>
      </c>
      <c r="J157" s="65">
        <v>64.090683780545902</v>
      </c>
      <c r="K157" s="65">
        <v>9.9708677782916446</v>
      </c>
      <c r="L157" s="65">
        <v>41.92921203425761</v>
      </c>
      <c r="M157" s="65">
        <v>81.167984492415371</v>
      </c>
    </row>
    <row r="158" spans="1:13" x14ac:dyDescent="0.35">
      <c r="A158" s="45" t="s">
        <v>366</v>
      </c>
      <c r="B158" s="64">
        <v>1</v>
      </c>
      <c r="C158" s="65">
        <v>11.33</v>
      </c>
      <c r="D158" s="65">
        <v>13.33</v>
      </c>
      <c r="E158" s="65">
        <v>20.839140250039009</v>
      </c>
      <c r="F158" s="65">
        <v>-7.5091402500390085</v>
      </c>
      <c r="G158" s="65">
        <v>-0.75951046674547817</v>
      </c>
      <c r="H158" s="65">
        <v>0.81497024195606838</v>
      </c>
      <c r="I158" s="65">
        <v>19.235547032510507</v>
      </c>
      <c r="J158" s="65">
        <v>22.442733467567511</v>
      </c>
      <c r="K158" s="65">
        <v>9.920348154687936</v>
      </c>
      <c r="L158" s="65">
        <v>1.3191600134642911</v>
      </c>
      <c r="M158" s="65">
        <v>40.359120486613726</v>
      </c>
    </row>
    <row r="159" spans="1:13" x14ac:dyDescent="0.35">
      <c r="A159" s="45" t="s">
        <v>367</v>
      </c>
      <c r="B159" s="64">
        <v>1</v>
      </c>
      <c r="C159" s="65">
        <v>20.079999999999998</v>
      </c>
      <c r="D159" s="65">
        <v>38.75</v>
      </c>
      <c r="E159" s="65">
        <v>27.963295402366068</v>
      </c>
      <c r="F159" s="65">
        <v>10.786704597633932</v>
      </c>
      <c r="G159" s="65">
        <v>1.0910190475603361</v>
      </c>
      <c r="H159" s="65">
        <v>0.62859376215358664</v>
      </c>
      <c r="I159" s="65">
        <v>26.726429757860053</v>
      </c>
      <c r="J159" s="65">
        <v>29.200161046872083</v>
      </c>
      <c r="K159" s="65">
        <v>9.9067785446513739</v>
      </c>
      <c r="L159" s="65">
        <v>8.4700156923859318</v>
      </c>
      <c r="M159" s="65">
        <v>47.456575112346201</v>
      </c>
    </row>
    <row r="160" spans="1:13" x14ac:dyDescent="0.35">
      <c r="A160" s="45" t="s">
        <v>368</v>
      </c>
      <c r="B160" s="64">
        <v>1</v>
      </c>
      <c r="C160" s="65">
        <v>20.079999999999998</v>
      </c>
      <c r="D160" s="65">
        <v>38.75</v>
      </c>
      <c r="E160" s="65">
        <v>27.963295402366068</v>
      </c>
      <c r="F160" s="65">
        <v>10.786704597633932</v>
      </c>
      <c r="G160" s="65">
        <v>1.0910190475603361</v>
      </c>
      <c r="H160" s="65">
        <v>0.62859376215358664</v>
      </c>
      <c r="I160" s="65">
        <v>26.726429757860053</v>
      </c>
      <c r="J160" s="65">
        <v>29.200161046872083</v>
      </c>
      <c r="K160" s="65">
        <v>9.9067785446513739</v>
      </c>
      <c r="L160" s="65">
        <v>8.4700156923859318</v>
      </c>
      <c r="M160" s="65">
        <v>47.456575112346201</v>
      </c>
    </row>
    <row r="161" spans="1:13" x14ac:dyDescent="0.35">
      <c r="A161" s="45" t="s">
        <v>369</v>
      </c>
      <c r="B161" s="64">
        <v>1</v>
      </c>
      <c r="C161" s="65">
        <v>20.079999999999998</v>
      </c>
      <c r="D161" s="65">
        <v>38.75</v>
      </c>
      <c r="E161" s="65">
        <v>27.963295402366068</v>
      </c>
      <c r="F161" s="65">
        <v>10.786704597633932</v>
      </c>
      <c r="G161" s="65">
        <v>1.0910190475603361</v>
      </c>
      <c r="H161" s="65">
        <v>0.62859376215358664</v>
      </c>
      <c r="I161" s="65">
        <v>26.726429757860053</v>
      </c>
      <c r="J161" s="65">
        <v>29.200161046872083</v>
      </c>
      <c r="K161" s="65">
        <v>9.9067785446513739</v>
      </c>
      <c r="L161" s="65">
        <v>8.4700156923859318</v>
      </c>
      <c r="M161" s="65">
        <v>47.456575112346201</v>
      </c>
    </row>
    <row r="162" spans="1:13" x14ac:dyDescent="0.35">
      <c r="A162" s="45" t="s">
        <v>370</v>
      </c>
      <c r="B162" s="64">
        <v>1</v>
      </c>
      <c r="C162" s="65">
        <v>20.079999999999998</v>
      </c>
      <c r="D162" s="65">
        <v>38.75</v>
      </c>
      <c r="E162" s="65">
        <v>27.963295402366068</v>
      </c>
      <c r="F162" s="65">
        <v>10.786704597633932</v>
      </c>
      <c r="G162" s="65">
        <v>1.0910190475603361</v>
      </c>
      <c r="H162" s="65">
        <v>0.62859376215358664</v>
      </c>
      <c r="I162" s="65">
        <v>26.726429757860053</v>
      </c>
      <c r="J162" s="65">
        <v>29.200161046872083</v>
      </c>
      <c r="K162" s="65">
        <v>9.9067785446513739</v>
      </c>
      <c r="L162" s="65">
        <v>8.4700156923859318</v>
      </c>
      <c r="M162" s="65">
        <v>47.456575112346201</v>
      </c>
    </row>
    <row r="163" spans="1:13" x14ac:dyDescent="0.35">
      <c r="A163" s="45" t="s">
        <v>371</v>
      </c>
      <c r="B163" s="64">
        <v>1</v>
      </c>
      <c r="C163" s="65">
        <v>20.079999999999998</v>
      </c>
      <c r="D163" s="65">
        <v>38.75</v>
      </c>
      <c r="E163" s="65">
        <v>27.963295402366068</v>
      </c>
      <c r="F163" s="65">
        <v>10.786704597633932</v>
      </c>
      <c r="G163" s="65">
        <v>1.0910190475603361</v>
      </c>
      <c r="H163" s="65">
        <v>0.62859376215358664</v>
      </c>
      <c r="I163" s="65">
        <v>26.726429757860053</v>
      </c>
      <c r="J163" s="65">
        <v>29.200161046872083</v>
      </c>
      <c r="K163" s="65">
        <v>9.9067785446513739</v>
      </c>
      <c r="L163" s="65">
        <v>8.4700156923859318</v>
      </c>
      <c r="M163" s="65">
        <v>47.456575112346201</v>
      </c>
    </row>
    <row r="164" spans="1:13" x14ac:dyDescent="0.35">
      <c r="A164" s="45" t="s">
        <v>372</v>
      </c>
      <c r="B164" s="64">
        <v>1</v>
      </c>
      <c r="C164" s="65">
        <v>20.05</v>
      </c>
      <c r="D164" s="65">
        <v>38.75</v>
      </c>
      <c r="E164" s="65">
        <v>27.938869727558092</v>
      </c>
      <c r="F164" s="65">
        <v>10.811130272441908</v>
      </c>
      <c r="G164" s="65">
        <v>1.0934895774820381</v>
      </c>
      <c r="H164" s="65">
        <v>0.62907082738648701</v>
      </c>
      <c r="I164" s="65">
        <v>26.701065375682884</v>
      </c>
      <c r="J164" s="65">
        <v>29.176674079433301</v>
      </c>
      <c r="K164" s="65">
        <v>9.9068088262979579</v>
      </c>
      <c r="L164" s="65">
        <v>8.4455304332636096</v>
      </c>
      <c r="M164" s="65">
        <v>47.432209021852572</v>
      </c>
    </row>
    <row r="165" spans="1:13" x14ac:dyDescent="0.35">
      <c r="A165" s="45" t="s">
        <v>373</v>
      </c>
      <c r="B165" s="64">
        <v>1</v>
      </c>
      <c r="C165" s="65">
        <v>40.08</v>
      </c>
      <c r="D165" s="65">
        <v>54.75</v>
      </c>
      <c r="E165" s="65">
        <v>44.247078607685054</v>
      </c>
      <c r="F165" s="65">
        <v>10.502921392314946</v>
      </c>
      <c r="G165" s="65">
        <v>1.0623158528470356</v>
      </c>
      <c r="H165" s="65">
        <v>0.69923578260512265</v>
      </c>
      <c r="I165" s="65">
        <v>42.871212716253829</v>
      </c>
      <c r="J165" s="65">
        <v>45.622944499116279</v>
      </c>
      <c r="K165" s="65">
        <v>9.9115115746601337</v>
      </c>
      <c r="L165" s="65">
        <v>24.744485852357162</v>
      </c>
      <c r="M165" s="65">
        <v>63.749671363012951</v>
      </c>
    </row>
    <row r="166" spans="1:13" x14ac:dyDescent="0.35">
      <c r="A166" s="45" t="s">
        <v>374</v>
      </c>
      <c r="B166" s="64">
        <v>1</v>
      </c>
      <c r="C166" s="65">
        <v>40.08</v>
      </c>
      <c r="D166" s="65">
        <v>25.75</v>
      </c>
      <c r="E166" s="65">
        <v>44.247078607685054</v>
      </c>
      <c r="F166" s="65">
        <v>-18.497078607685054</v>
      </c>
      <c r="G166" s="65">
        <v>-1.8708832621254736</v>
      </c>
      <c r="H166" s="65">
        <v>0.69923578260512265</v>
      </c>
      <c r="I166" s="65">
        <v>42.871212716253829</v>
      </c>
      <c r="J166" s="65">
        <v>45.622944499116279</v>
      </c>
      <c r="K166" s="65">
        <v>9.9115115746601337</v>
      </c>
      <c r="L166" s="65">
        <v>24.744485852357162</v>
      </c>
      <c r="M166" s="65">
        <v>63.749671363012951</v>
      </c>
    </row>
    <row r="167" spans="1:13" x14ac:dyDescent="0.35">
      <c r="A167" s="45" t="s">
        <v>375</v>
      </c>
      <c r="B167" s="64">
        <v>1</v>
      </c>
      <c r="C167" s="65">
        <v>40.08</v>
      </c>
      <c r="D167" s="65">
        <v>25.75</v>
      </c>
      <c r="E167" s="65">
        <v>44.247078607685054</v>
      </c>
      <c r="F167" s="65">
        <v>-18.497078607685054</v>
      </c>
      <c r="G167" s="65">
        <v>-1.8708832621254736</v>
      </c>
      <c r="H167" s="65">
        <v>0.69923578260512265</v>
      </c>
      <c r="I167" s="65">
        <v>42.871212716253829</v>
      </c>
      <c r="J167" s="65">
        <v>45.622944499116279</v>
      </c>
      <c r="K167" s="65">
        <v>9.9115115746601337</v>
      </c>
      <c r="L167" s="65">
        <v>24.744485852357162</v>
      </c>
      <c r="M167" s="65">
        <v>63.749671363012951</v>
      </c>
    </row>
    <row r="168" spans="1:13" x14ac:dyDescent="0.35">
      <c r="A168" s="45" t="s">
        <v>376</v>
      </c>
      <c r="B168" s="64">
        <v>1</v>
      </c>
      <c r="C168" s="65">
        <v>40.08</v>
      </c>
      <c r="D168" s="65">
        <v>54.75</v>
      </c>
      <c r="E168" s="65">
        <v>44.247078607685054</v>
      </c>
      <c r="F168" s="65">
        <v>10.502921392314946</v>
      </c>
      <c r="G168" s="65">
        <v>1.0623158528470356</v>
      </c>
      <c r="H168" s="65">
        <v>0.69923578260512265</v>
      </c>
      <c r="I168" s="65">
        <v>42.871212716253829</v>
      </c>
      <c r="J168" s="65">
        <v>45.622944499116279</v>
      </c>
      <c r="K168" s="65">
        <v>9.9115115746601337</v>
      </c>
      <c r="L168" s="65">
        <v>24.744485852357162</v>
      </c>
      <c r="M168" s="65">
        <v>63.749671363012951</v>
      </c>
    </row>
    <row r="169" spans="1:13" x14ac:dyDescent="0.35">
      <c r="A169" s="45" t="s">
        <v>377</v>
      </c>
      <c r="B169" s="64">
        <v>1</v>
      </c>
      <c r="C169" s="65">
        <v>40.08</v>
      </c>
      <c r="D169" s="65">
        <v>23.75</v>
      </c>
      <c r="E169" s="65">
        <v>44.247078607685054</v>
      </c>
      <c r="F169" s="65">
        <v>-20.497078607685054</v>
      </c>
      <c r="G169" s="65">
        <v>-2.0731728562615088</v>
      </c>
      <c r="H169" s="65">
        <v>0.69923578260512265</v>
      </c>
      <c r="I169" s="65">
        <v>42.871212716253829</v>
      </c>
      <c r="J169" s="65">
        <v>45.622944499116279</v>
      </c>
      <c r="K169" s="65">
        <v>9.9115115746601337</v>
      </c>
      <c r="L169" s="65">
        <v>24.744485852357162</v>
      </c>
      <c r="M169" s="65">
        <v>63.749671363012951</v>
      </c>
    </row>
    <row r="170" spans="1:13" x14ac:dyDescent="0.35">
      <c r="A170" s="45" t="s">
        <v>378</v>
      </c>
      <c r="B170" s="64">
        <v>1</v>
      </c>
      <c r="C170" s="65">
        <v>40.08</v>
      </c>
      <c r="D170" s="65">
        <v>73.08</v>
      </c>
      <c r="E170" s="65">
        <v>44.247078607685054</v>
      </c>
      <c r="F170" s="65">
        <v>28.832921392314944</v>
      </c>
      <c r="G170" s="65">
        <v>2.9162999831037975</v>
      </c>
      <c r="H170" s="65">
        <v>0.69923578260512265</v>
      </c>
      <c r="I170" s="65">
        <v>42.871212716253829</v>
      </c>
      <c r="J170" s="65">
        <v>45.622944499116279</v>
      </c>
      <c r="K170" s="65">
        <v>9.9115115746601337</v>
      </c>
      <c r="L170" s="65">
        <v>24.744485852357162</v>
      </c>
      <c r="M170" s="65">
        <v>63.749671363012951</v>
      </c>
    </row>
    <row r="171" spans="1:13" x14ac:dyDescent="0.35">
      <c r="A171" s="45" t="s">
        <v>379</v>
      </c>
      <c r="B171" s="64">
        <v>1</v>
      </c>
      <c r="C171" s="65">
        <v>60.08</v>
      </c>
      <c r="D171" s="65">
        <v>57.75</v>
      </c>
      <c r="E171" s="65">
        <v>60.530861813004051</v>
      </c>
      <c r="F171" s="65">
        <v>-2.7808618130040514</v>
      </c>
      <c r="G171" s="65">
        <v>-0.28126970375049415</v>
      </c>
      <c r="H171" s="65">
        <v>1.2525323442096836</v>
      </c>
      <c r="I171" s="65">
        <v>58.066290386335936</v>
      </c>
      <c r="J171" s="65">
        <v>62.995433239672167</v>
      </c>
      <c r="K171" s="65">
        <v>9.9658400693688538</v>
      </c>
      <c r="L171" s="65">
        <v>40.921368460392593</v>
      </c>
      <c r="M171" s="65">
        <v>80.140355165615517</v>
      </c>
    </row>
    <row r="172" spans="1:13" x14ac:dyDescent="0.35">
      <c r="A172" s="45" t="s">
        <v>380</v>
      </c>
      <c r="B172" s="64">
        <v>1</v>
      </c>
      <c r="C172" s="65">
        <v>60.08</v>
      </c>
      <c r="D172" s="65">
        <v>56.75</v>
      </c>
      <c r="E172" s="65">
        <v>60.530861813004051</v>
      </c>
      <c r="F172" s="65">
        <v>-3.7808618130040514</v>
      </c>
      <c r="G172" s="65">
        <v>-0.38241450081851175</v>
      </c>
      <c r="H172" s="65">
        <v>1.2525323442096836</v>
      </c>
      <c r="I172" s="65">
        <v>58.066290386335936</v>
      </c>
      <c r="J172" s="65">
        <v>62.995433239672167</v>
      </c>
      <c r="K172" s="65">
        <v>9.9658400693688538</v>
      </c>
      <c r="L172" s="65">
        <v>40.921368460392593</v>
      </c>
      <c r="M172" s="65">
        <v>80.140355165615517</v>
      </c>
    </row>
    <row r="173" spans="1:13" x14ac:dyDescent="0.35">
      <c r="A173" s="45" t="s">
        <v>381</v>
      </c>
      <c r="B173" s="64">
        <v>1</v>
      </c>
      <c r="C173" s="65">
        <v>60.08</v>
      </c>
      <c r="D173" s="65">
        <v>57.75</v>
      </c>
      <c r="E173" s="65">
        <v>60.530861813004051</v>
      </c>
      <c r="F173" s="65">
        <v>-2.7808618130040514</v>
      </c>
      <c r="G173" s="65">
        <v>-0.28126970375049415</v>
      </c>
      <c r="H173" s="65">
        <v>1.2525323442096836</v>
      </c>
      <c r="I173" s="65">
        <v>58.066290386335936</v>
      </c>
      <c r="J173" s="65">
        <v>62.995433239672167</v>
      </c>
      <c r="K173" s="65">
        <v>9.9658400693688538</v>
      </c>
      <c r="L173" s="65">
        <v>40.921368460392593</v>
      </c>
      <c r="M173" s="65">
        <v>80.140355165615517</v>
      </c>
    </row>
    <row r="174" spans="1:13" x14ac:dyDescent="0.35">
      <c r="A174" s="45" t="s">
        <v>382</v>
      </c>
      <c r="B174" s="64">
        <v>1</v>
      </c>
      <c r="C174" s="65">
        <v>60.08</v>
      </c>
      <c r="D174" s="65">
        <v>58.17</v>
      </c>
      <c r="E174" s="65">
        <v>60.530861813004051</v>
      </c>
      <c r="F174" s="65">
        <v>-2.3608618130040497</v>
      </c>
      <c r="G174" s="65">
        <v>-0.23878888898192663</v>
      </c>
      <c r="H174" s="65">
        <v>1.2525323442096836</v>
      </c>
      <c r="I174" s="65">
        <v>58.066290386335936</v>
      </c>
      <c r="J174" s="65">
        <v>62.995433239672167</v>
      </c>
      <c r="K174" s="65">
        <v>9.9658400693688538</v>
      </c>
      <c r="L174" s="65">
        <v>40.921368460392593</v>
      </c>
      <c r="M174" s="65">
        <v>80.140355165615517</v>
      </c>
    </row>
    <row r="175" spans="1:13" x14ac:dyDescent="0.35">
      <c r="A175" s="45" t="s">
        <v>383</v>
      </c>
      <c r="B175" s="64">
        <v>1</v>
      </c>
      <c r="C175" s="65">
        <v>61.33</v>
      </c>
      <c r="D175" s="65">
        <v>62</v>
      </c>
      <c r="E175" s="65">
        <v>61.548598263336487</v>
      </c>
      <c r="F175" s="65">
        <v>0.45140173666351302</v>
      </c>
      <c r="G175" s="65">
        <v>4.5656937050981727E-2</v>
      </c>
      <c r="H175" s="65">
        <v>1.2919261732886111</v>
      </c>
      <c r="I175" s="65">
        <v>59.006512746127079</v>
      </c>
      <c r="J175" s="65">
        <v>64.090683780545902</v>
      </c>
      <c r="K175" s="65">
        <v>9.9708677782916446</v>
      </c>
      <c r="L175" s="65">
        <v>41.92921203425761</v>
      </c>
      <c r="M175" s="65">
        <v>81.167984492415371</v>
      </c>
    </row>
    <row r="176" spans="1:13" x14ac:dyDescent="0.35">
      <c r="A176" s="45" t="s">
        <v>384</v>
      </c>
      <c r="B176" s="64">
        <v>1</v>
      </c>
      <c r="C176" s="65">
        <v>8.42</v>
      </c>
      <c r="D176" s="65">
        <v>9.09</v>
      </c>
      <c r="E176" s="65">
        <v>18.469849793665098</v>
      </c>
      <c r="F176" s="65">
        <v>-9.3798497936650982</v>
      </c>
      <c r="G176" s="65">
        <v>-0.94872300390874276</v>
      </c>
      <c r="H176" s="65">
        <v>0.8918955067875326</v>
      </c>
      <c r="I176" s="65">
        <v>16.714892972179424</v>
      </c>
      <c r="J176" s="65">
        <v>20.224806615150772</v>
      </c>
      <c r="K176" s="65">
        <v>9.9269637155564432</v>
      </c>
      <c r="L176" s="65">
        <v>-1.0631476894208802</v>
      </c>
      <c r="M176" s="65">
        <v>38.002847276751076</v>
      </c>
    </row>
    <row r="177" spans="1:13" x14ac:dyDescent="0.35">
      <c r="A177" s="45" t="s">
        <v>385</v>
      </c>
      <c r="B177" s="64">
        <v>1</v>
      </c>
      <c r="C177" s="65">
        <v>20.58</v>
      </c>
      <c r="D177" s="65">
        <v>16.25</v>
      </c>
      <c r="E177" s="65">
        <v>28.370389982499042</v>
      </c>
      <c r="F177" s="65">
        <v>-12.120389982499042</v>
      </c>
      <c r="G177" s="65">
        <v>-1.2259143851650984</v>
      </c>
      <c r="H177" s="65">
        <v>0.62085180566924503</v>
      </c>
      <c r="I177" s="65">
        <v>27.148757960362957</v>
      </c>
      <c r="J177" s="65">
        <v>29.592022004635126</v>
      </c>
      <c r="K177" s="65">
        <v>9.9062903238068465</v>
      </c>
      <c r="L177" s="65">
        <v>8.8780709304603036</v>
      </c>
      <c r="M177" s="65">
        <v>47.862709034537779</v>
      </c>
    </row>
    <row r="178" spans="1:13" x14ac:dyDescent="0.35">
      <c r="A178" s="45" t="s">
        <v>386</v>
      </c>
      <c r="B178" s="64">
        <v>1</v>
      </c>
      <c r="C178" s="65">
        <v>20.58</v>
      </c>
      <c r="D178" s="65">
        <v>16.25</v>
      </c>
      <c r="E178" s="65">
        <v>28.370389982499042</v>
      </c>
      <c r="F178" s="65">
        <v>-12.120389982499042</v>
      </c>
      <c r="G178" s="65">
        <v>-1.2259143851650984</v>
      </c>
      <c r="H178" s="65">
        <v>0.62085180566924503</v>
      </c>
      <c r="I178" s="65">
        <v>27.148757960362957</v>
      </c>
      <c r="J178" s="65">
        <v>29.592022004635126</v>
      </c>
      <c r="K178" s="65">
        <v>9.9062903238068465</v>
      </c>
      <c r="L178" s="65">
        <v>8.8780709304603036</v>
      </c>
      <c r="M178" s="65">
        <v>47.862709034537779</v>
      </c>
    </row>
    <row r="179" spans="1:13" x14ac:dyDescent="0.35">
      <c r="A179" s="45" t="s">
        <v>387</v>
      </c>
      <c r="B179" s="64">
        <v>1</v>
      </c>
      <c r="C179" s="65">
        <v>20.55</v>
      </c>
      <c r="D179" s="65">
        <v>16.25</v>
      </c>
      <c r="E179" s="65">
        <v>28.345964307691066</v>
      </c>
      <c r="F179" s="65">
        <v>-12.095964307691066</v>
      </c>
      <c r="G179" s="65">
        <v>-1.2234438552433964</v>
      </c>
      <c r="H179" s="65">
        <v>0.62130505685765225</v>
      </c>
      <c r="I179" s="65">
        <v>27.123440436387799</v>
      </c>
      <c r="J179" s="65">
        <v>29.568488178994333</v>
      </c>
      <c r="K179" s="65">
        <v>9.9063187405122033</v>
      </c>
      <c r="L179" s="65">
        <v>8.85358934092854</v>
      </c>
      <c r="M179" s="65">
        <v>47.838339274453588</v>
      </c>
    </row>
    <row r="180" spans="1:13" x14ac:dyDescent="0.35">
      <c r="A180" s="45" t="s">
        <v>388</v>
      </c>
      <c r="B180" s="64">
        <v>1</v>
      </c>
      <c r="C180" s="65">
        <v>20.58</v>
      </c>
      <c r="D180" s="65">
        <v>16.25</v>
      </c>
      <c r="E180" s="65">
        <v>28.370389982499042</v>
      </c>
      <c r="F180" s="65">
        <v>-12.120389982499042</v>
      </c>
      <c r="G180" s="65">
        <v>-1.2259143851650984</v>
      </c>
      <c r="H180" s="65">
        <v>0.62085180566924503</v>
      </c>
      <c r="I180" s="65">
        <v>27.148757960362957</v>
      </c>
      <c r="J180" s="65">
        <v>29.592022004635126</v>
      </c>
      <c r="K180" s="65">
        <v>9.9062903238068465</v>
      </c>
      <c r="L180" s="65">
        <v>8.8780709304603036</v>
      </c>
      <c r="M180" s="65">
        <v>47.862709034537779</v>
      </c>
    </row>
    <row r="181" spans="1:13" x14ac:dyDescent="0.35">
      <c r="A181" s="45" t="s">
        <v>389</v>
      </c>
      <c r="B181" s="64">
        <v>1</v>
      </c>
      <c r="C181" s="65">
        <v>20.58</v>
      </c>
      <c r="D181" s="65">
        <v>16.25</v>
      </c>
      <c r="E181" s="65">
        <v>28.370389982499042</v>
      </c>
      <c r="F181" s="65">
        <v>-12.120389982499042</v>
      </c>
      <c r="G181" s="65">
        <v>-1.2259143851650984</v>
      </c>
      <c r="H181" s="65">
        <v>0.62085180566924503</v>
      </c>
      <c r="I181" s="65">
        <v>27.148757960362957</v>
      </c>
      <c r="J181" s="65">
        <v>29.592022004635126</v>
      </c>
      <c r="K181" s="65">
        <v>9.9062903238068465</v>
      </c>
      <c r="L181" s="65">
        <v>8.8780709304603036</v>
      </c>
      <c r="M181" s="65">
        <v>47.862709034537779</v>
      </c>
    </row>
    <row r="182" spans="1:13" x14ac:dyDescent="0.35">
      <c r="A182" s="45" t="s">
        <v>390</v>
      </c>
      <c r="B182" s="64">
        <v>1</v>
      </c>
      <c r="C182" s="65">
        <v>20.55</v>
      </c>
      <c r="D182" s="65">
        <v>16.25</v>
      </c>
      <c r="E182" s="65">
        <v>28.345964307691066</v>
      </c>
      <c r="F182" s="65">
        <v>-12.095964307691066</v>
      </c>
      <c r="G182" s="65">
        <v>-1.2234438552433964</v>
      </c>
      <c r="H182" s="65">
        <v>0.62130505685765225</v>
      </c>
      <c r="I182" s="65">
        <v>27.123440436387799</v>
      </c>
      <c r="J182" s="65">
        <v>29.568488178994333</v>
      </c>
      <c r="K182" s="65">
        <v>9.9063187405122033</v>
      </c>
      <c r="L182" s="65">
        <v>8.85358934092854</v>
      </c>
      <c r="M182" s="65">
        <v>47.838339274453588</v>
      </c>
    </row>
    <row r="183" spans="1:13" x14ac:dyDescent="0.35">
      <c r="A183" s="45" t="s">
        <v>391</v>
      </c>
      <c r="B183" s="64">
        <v>1</v>
      </c>
      <c r="C183" s="65">
        <v>23.5</v>
      </c>
      <c r="D183" s="65">
        <v>29.17</v>
      </c>
      <c r="E183" s="65">
        <v>30.747822330475618</v>
      </c>
      <c r="F183" s="65">
        <v>-1.577822330475616</v>
      </c>
      <c r="G183" s="65">
        <v>-0.15958851942534272</v>
      </c>
      <c r="H183" s="65">
        <v>0.58418773644940891</v>
      </c>
      <c r="I183" s="65">
        <v>29.598333129882082</v>
      </c>
      <c r="J183" s="65">
        <v>31.897311531069153</v>
      </c>
      <c r="K183" s="65">
        <v>9.9040600930307505</v>
      </c>
      <c r="L183" s="65">
        <v>11.259891638602628</v>
      </c>
      <c r="M183" s="65">
        <v>50.235753022348604</v>
      </c>
    </row>
    <row r="184" spans="1:13" x14ac:dyDescent="0.35">
      <c r="A184" s="45" t="s">
        <v>392</v>
      </c>
      <c r="B184" s="64">
        <v>1</v>
      </c>
      <c r="C184" s="65">
        <v>20.52</v>
      </c>
      <c r="D184" s="65">
        <v>21.19</v>
      </c>
      <c r="E184" s="65">
        <v>28.321538632883087</v>
      </c>
      <c r="F184" s="65">
        <v>-7.1315386328830854</v>
      </c>
      <c r="G184" s="65">
        <v>-0.72131802780568699</v>
      </c>
      <c r="H184" s="65">
        <v>0.62175976187719839</v>
      </c>
      <c r="I184" s="65">
        <v>27.098120051751437</v>
      </c>
      <c r="J184" s="65">
        <v>29.544957214014737</v>
      </c>
      <c r="K184" s="65">
        <v>9.9063472691217527</v>
      </c>
      <c r="L184" s="65">
        <v>8.8291075312061515</v>
      </c>
      <c r="M184" s="65">
        <v>47.813969734560018</v>
      </c>
    </row>
    <row r="185" spans="1:13" x14ac:dyDescent="0.35">
      <c r="A185" s="45" t="s">
        <v>393</v>
      </c>
      <c r="B185" s="64">
        <v>1</v>
      </c>
      <c r="C185" s="65">
        <v>20.52</v>
      </c>
      <c r="D185" s="65">
        <v>20.190000000000001</v>
      </c>
      <c r="E185" s="65">
        <v>28.321538632883087</v>
      </c>
      <c r="F185" s="65">
        <v>-8.1315386328830854</v>
      </c>
      <c r="G185" s="65">
        <v>-0.82246282487370459</v>
      </c>
      <c r="H185" s="65">
        <v>0.62175976187719839</v>
      </c>
      <c r="I185" s="65">
        <v>27.098120051751437</v>
      </c>
      <c r="J185" s="65">
        <v>29.544957214014737</v>
      </c>
      <c r="K185" s="65">
        <v>9.9063472691217527</v>
      </c>
      <c r="L185" s="65">
        <v>8.8291075312061515</v>
      </c>
      <c r="M185" s="65">
        <v>47.813969734560018</v>
      </c>
    </row>
    <row r="186" spans="1:13" x14ac:dyDescent="0.35">
      <c r="A186" s="45" t="s">
        <v>394</v>
      </c>
      <c r="B186" s="64">
        <v>1</v>
      </c>
      <c r="C186" s="65">
        <v>20.52</v>
      </c>
      <c r="D186" s="65">
        <v>20.190000000000001</v>
      </c>
      <c r="E186" s="65">
        <v>28.321538632883087</v>
      </c>
      <c r="F186" s="65">
        <v>-8.1315386328830854</v>
      </c>
      <c r="G186" s="65">
        <v>-0.82246282487370459</v>
      </c>
      <c r="H186" s="65">
        <v>0.62175976187719839</v>
      </c>
      <c r="I186" s="65">
        <v>27.098120051751437</v>
      </c>
      <c r="J186" s="65">
        <v>29.544957214014737</v>
      </c>
      <c r="K186" s="65">
        <v>9.9063472691217527</v>
      </c>
      <c r="L186" s="65">
        <v>8.8291075312061515</v>
      </c>
      <c r="M186" s="65">
        <v>47.813969734560018</v>
      </c>
    </row>
    <row r="187" spans="1:13" x14ac:dyDescent="0.35">
      <c r="A187" s="45" t="s">
        <v>395</v>
      </c>
      <c r="B187" s="64">
        <v>1</v>
      </c>
      <c r="C187" s="65">
        <v>20.52</v>
      </c>
      <c r="D187" s="65">
        <v>36.19</v>
      </c>
      <c r="E187" s="65">
        <v>28.321538632883087</v>
      </c>
      <c r="F187" s="65">
        <v>7.868461367116911</v>
      </c>
      <c r="G187" s="65">
        <v>0.79585392821457601</v>
      </c>
      <c r="H187" s="65">
        <v>0.62175976187719839</v>
      </c>
      <c r="I187" s="65">
        <v>27.098120051751437</v>
      </c>
      <c r="J187" s="65">
        <v>29.544957214014737</v>
      </c>
      <c r="K187" s="65">
        <v>9.9063472691217527</v>
      </c>
      <c r="L187" s="65">
        <v>8.8291075312061515</v>
      </c>
      <c r="M187" s="65">
        <v>47.813969734560018</v>
      </c>
    </row>
    <row r="188" spans="1:13" x14ac:dyDescent="0.35">
      <c r="A188" s="45" t="s">
        <v>396</v>
      </c>
      <c r="B188" s="64">
        <v>1</v>
      </c>
      <c r="C188" s="65">
        <v>20.52</v>
      </c>
      <c r="D188" s="65">
        <v>26.19</v>
      </c>
      <c r="E188" s="65">
        <v>28.321538632883087</v>
      </c>
      <c r="F188" s="65">
        <v>-2.1315386328830854</v>
      </c>
      <c r="G188" s="65">
        <v>-0.21559404246559927</v>
      </c>
      <c r="H188" s="65">
        <v>0.62175976187719839</v>
      </c>
      <c r="I188" s="65">
        <v>27.098120051751437</v>
      </c>
      <c r="J188" s="65">
        <v>29.544957214014737</v>
      </c>
      <c r="K188" s="65">
        <v>9.9063472691217527</v>
      </c>
      <c r="L188" s="65">
        <v>8.8291075312061515</v>
      </c>
      <c r="M188" s="65">
        <v>47.813969734560018</v>
      </c>
    </row>
    <row r="189" spans="1:13" x14ac:dyDescent="0.35">
      <c r="A189" s="45" t="s">
        <v>397</v>
      </c>
      <c r="B189" s="64">
        <v>1</v>
      </c>
      <c r="C189" s="65">
        <v>20.52</v>
      </c>
      <c r="D189" s="65">
        <v>22.19</v>
      </c>
      <c r="E189" s="65">
        <v>28.321538632883087</v>
      </c>
      <c r="F189" s="65">
        <v>-6.1315386328830854</v>
      </c>
      <c r="G189" s="65">
        <v>-0.6201732307376695</v>
      </c>
      <c r="H189" s="65">
        <v>0.62175976187719839</v>
      </c>
      <c r="I189" s="65">
        <v>27.098120051751437</v>
      </c>
      <c r="J189" s="65">
        <v>29.544957214014737</v>
      </c>
      <c r="K189" s="65">
        <v>9.9063472691217527</v>
      </c>
      <c r="L189" s="65">
        <v>8.8291075312061515</v>
      </c>
      <c r="M189" s="65">
        <v>47.813969734560018</v>
      </c>
    </row>
    <row r="190" spans="1:13" x14ac:dyDescent="0.35">
      <c r="A190" s="45" t="s">
        <v>398</v>
      </c>
      <c r="B190" s="64">
        <v>1</v>
      </c>
      <c r="C190" s="65">
        <v>38.42</v>
      </c>
      <c r="D190" s="65">
        <v>29.51</v>
      </c>
      <c r="E190" s="65">
        <v>42.895524601643586</v>
      </c>
      <c r="F190" s="65">
        <v>-13.385524601643585</v>
      </c>
      <c r="G190" s="65">
        <v>-1.353876169482197</v>
      </c>
      <c r="H190" s="65">
        <v>0.66604690146390033</v>
      </c>
      <c r="I190" s="65">
        <v>41.584963505351482</v>
      </c>
      <c r="J190" s="65">
        <v>44.206085697935691</v>
      </c>
      <c r="K190" s="65">
        <v>9.9092254737641365</v>
      </c>
      <c r="L190" s="65">
        <v>23.397430140489735</v>
      </c>
      <c r="M190" s="65">
        <v>62.393619062797441</v>
      </c>
    </row>
    <row r="191" spans="1:13" x14ac:dyDescent="0.35">
      <c r="A191" s="45" t="s">
        <v>399</v>
      </c>
      <c r="B191" s="64">
        <v>1</v>
      </c>
      <c r="C191" s="65">
        <v>35.83</v>
      </c>
      <c r="D191" s="65">
        <v>26.51</v>
      </c>
      <c r="E191" s="65">
        <v>40.786774676554771</v>
      </c>
      <c r="F191" s="65">
        <v>-14.276774676554769</v>
      </c>
      <c r="G191" s="65">
        <v>-1.4440214774459441</v>
      </c>
      <c r="H191" s="65">
        <v>0.62168216932344167</v>
      </c>
      <c r="I191" s="65">
        <v>39.563508772032066</v>
      </c>
      <c r="J191" s="65">
        <v>42.010040581077476</v>
      </c>
      <c r="K191" s="65">
        <v>9.906342399422762</v>
      </c>
      <c r="L191" s="65">
        <v>21.29435315684276</v>
      </c>
      <c r="M191" s="65">
        <v>60.279196196266781</v>
      </c>
    </row>
    <row r="192" spans="1:13" x14ac:dyDescent="0.35">
      <c r="A192" s="45" t="s">
        <v>400</v>
      </c>
      <c r="B192" s="64">
        <v>1</v>
      </c>
      <c r="C192" s="65">
        <v>35.83</v>
      </c>
      <c r="D192" s="65">
        <v>27.09</v>
      </c>
      <c r="E192" s="65">
        <v>40.786774676554771</v>
      </c>
      <c r="F192" s="65">
        <v>-13.696774676554771</v>
      </c>
      <c r="G192" s="65">
        <v>-1.3853574951464942</v>
      </c>
      <c r="H192" s="65">
        <v>0.62168216932344167</v>
      </c>
      <c r="I192" s="65">
        <v>39.563508772032066</v>
      </c>
      <c r="J192" s="65">
        <v>42.010040581077476</v>
      </c>
      <c r="K192" s="65">
        <v>9.906342399422762</v>
      </c>
      <c r="L192" s="65">
        <v>21.29435315684276</v>
      </c>
      <c r="M192" s="65">
        <v>60.279196196266781</v>
      </c>
    </row>
    <row r="193" spans="1:13" x14ac:dyDescent="0.35">
      <c r="A193" s="45" t="s">
        <v>401</v>
      </c>
      <c r="B193" s="64">
        <v>1</v>
      </c>
      <c r="C193" s="65">
        <v>35.83</v>
      </c>
      <c r="D193" s="65">
        <v>34.51</v>
      </c>
      <c r="E193" s="65">
        <v>40.786774676554771</v>
      </c>
      <c r="F193" s="65">
        <v>-6.2767746765547727</v>
      </c>
      <c r="G193" s="65">
        <v>-0.63486310090180409</v>
      </c>
      <c r="H193" s="65">
        <v>0.62168216932344167</v>
      </c>
      <c r="I193" s="65">
        <v>39.563508772032066</v>
      </c>
      <c r="J193" s="65">
        <v>42.010040581077476</v>
      </c>
      <c r="K193" s="65">
        <v>9.906342399422762</v>
      </c>
      <c r="L193" s="65">
        <v>21.29435315684276</v>
      </c>
      <c r="M193" s="65">
        <v>60.279196196266781</v>
      </c>
    </row>
    <row r="194" spans="1:13" x14ac:dyDescent="0.35">
      <c r="A194" s="45" t="s">
        <v>402</v>
      </c>
      <c r="B194" s="64">
        <v>1</v>
      </c>
      <c r="C194" s="65">
        <v>35.83</v>
      </c>
      <c r="D194" s="65">
        <v>37.090000000000003</v>
      </c>
      <c r="E194" s="65">
        <v>40.786774676554771</v>
      </c>
      <c r="F194" s="65">
        <v>-3.6967746765547673</v>
      </c>
      <c r="G194" s="65">
        <v>-0.3739095244663182</v>
      </c>
      <c r="H194" s="65">
        <v>0.62168216932344167</v>
      </c>
      <c r="I194" s="65">
        <v>39.563508772032066</v>
      </c>
      <c r="J194" s="65">
        <v>42.010040581077476</v>
      </c>
      <c r="K194" s="65">
        <v>9.906342399422762</v>
      </c>
      <c r="L194" s="65">
        <v>21.29435315684276</v>
      </c>
      <c r="M194" s="65">
        <v>60.279196196266781</v>
      </c>
    </row>
    <row r="195" spans="1:13" x14ac:dyDescent="0.35">
      <c r="A195" s="45" t="s">
        <v>403</v>
      </c>
      <c r="B195" s="64">
        <v>1</v>
      </c>
      <c r="C195" s="65">
        <v>35.83</v>
      </c>
      <c r="D195" s="65">
        <v>31.51</v>
      </c>
      <c r="E195" s="65">
        <v>40.786774676554771</v>
      </c>
      <c r="F195" s="65">
        <v>-9.2767746765547692</v>
      </c>
      <c r="G195" s="65">
        <v>-0.93829749210585633</v>
      </c>
      <c r="H195" s="65">
        <v>0.62168216932344167</v>
      </c>
      <c r="I195" s="65">
        <v>39.563508772032066</v>
      </c>
      <c r="J195" s="65">
        <v>42.010040581077476</v>
      </c>
      <c r="K195" s="65">
        <v>9.906342399422762</v>
      </c>
      <c r="L195" s="65">
        <v>21.29435315684276</v>
      </c>
      <c r="M195" s="65">
        <v>60.279196196266781</v>
      </c>
    </row>
    <row r="196" spans="1:13" x14ac:dyDescent="0.35">
      <c r="A196" s="45" t="s">
        <v>404</v>
      </c>
      <c r="B196" s="64">
        <v>1</v>
      </c>
      <c r="C196" s="65">
        <v>34.75</v>
      </c>
      <c r="D196" s="65">
        <v>55.42</v>
      </c>
      <c r="E196" s="65">
        <v>39.907450383467548</v>
      </c>
      <c r="F196" s="65">
        <v>15.512549616532453</v>
      </c>
      <c r="G196" s="65">
        <v>1.5690136829717285</v>
      </c>
      <c r="H196" s="65">
        <v>0.60626061703335854</v>
      </c>
      <c r="I196" s="65">
        <v>38.714529018393037</v>
      </c>
      <c r="J196" s="65">
        <v>41.100371748542059</v>
      </c>
      <c r="K196" s="65">
        <v>9.9053865624069442</v>
      </c>
      <c r="L196" s="65">
        <v>20.416909636422709</v>
      </c>
      <c r="M196" s="65">
        <v>59.397991130512388</v>
      </c>
    </row>
    <row r="197" spans="1:13" x14ac:dyDescent="0.35">
      <c r="A197" s="45" t="s">
        <v>405</v>
      </c>
      <c r="B197" s="64">
        <v>1</v>
      </c>
      <c r="C197" s="65">
        <v>34.75</v>
      </c>
      <c r="D197" s="65">
        <v>28.84</v>
      </c>
      <c r="E197" s="65">
        <v>39.907450383467548</v>
      </c>
      <c r="F197" s="65">
        <v>-11.067450383467548</v>
      </c>
      <c r="G197" s="65">
        <v>-1.1194150230961784</v>
      </c>
      <c r="H197" s="65">
        <v>0.60626061703335854</v>
      </c>
      <c r="I197" s="65">
        <v>38.714529018393037</v>
      </c>
      <c r="J197" s="65">
        <v>41.100371748542059</v>
      </c>
      <c r="K197" s="65">
        <v>9.9053865624069442</v>
      </c>
      <c r="L197" s="65">
        <v>20.416909636422709</v>
      </c>
      <c r="M197" s="65">
        <v>59.397991130512388</v>
      </c>
    </row>
    <row r="198" spans="1:13" x14ac:dyDescent="0.35">
      <c r="A198" s="45" t="s">
        <v>406</v>
      </c>
      <c r="B198" s="64">
        <v>1</v>
      </c>
      <c r="C198" s="65">
        <v>4.75</v>
      </c>
      <c r="D198" s="65">
        <v>14.42</v>
      </c>
      <c r="E198" s="65">
        <v>15.481775575489063</v>
      </c>
      <c r="F198" s="65">
        <v>-1.0617755754890634</v>
      </c>
      <c r="G198" s="65">
        <v>-0.10739307511461887</v>
      </c>
      <c r="H198" s="65">
        <v>0.99540782651406889</v>
      </c>
      <c r="I198" s="65">
        <v>13.523140576201818</v>
      </c>
      <c r="J198" s="65">
        <v>17.440410574776308</v>
      </c>
      <c r="K198" s="65">
        <v>9.9367986673793425</v>
      </c>
      <c r="L198" s="65">
        <v>-4.0705738559577114</v>
      </c>
      <c r="M198" s="65">
        <v>35.034125006935838</v>
      </c>
    </row>
    <row r="199" spans="1:13" x14ac:dyDescent="0.35">
      <c r="A199" s="45" t="s">
        <v>407</v>
      </c>
      <c r="B199" s="64">
        <v>1</v>
      </c>
      <c r="C199" s="65">
        <v>19.75</v>
      </c>
      <c r="D199" s="65">
        <v>22.42</v>
      </c>
      <c r="E199" s="65">
        <v>27.694612979478308</v>
      </c>
      <c r="F199" s="65">
        <v>-5.2746129794783059</v>
      </c>
      <c r="G199" s="65">
        <v>-0.53349965942166466</v>
      </c>
      <c r="H199" s="65">
        <v>0.63391798917000652</v>
      </c>
      <c r="I199" s="65">
        <v>26.447271008485057</v>
      </c>
      <c r="J199" s="65">
        <v>28.941954950471558</v>
      </c>
      <c r="K199" s="65">
        <v>9.9071177964097981</v>
      </c>
      <c r="L199" s="65">
        <v>8.200665733690311</v>
      </c>
      <c r="M199" s="65">
        <v>47.188560225266301</v>
      </c>
    </row>
    <row r="200" spans="1:13" x14ac:dyDescent="0.35">
      <c r="A200" s="45" t="s">
        <v>408</v>
      </c>
      <c r="B200" s="64">
        <v>1</v>
      </c>
      <c r="C200" s="65">
        <v>34.75</v>
      </c>
      <c r="D200" s="65">
        <v>42.42</v>
      </c>
      <c r="E200" s="65">
        <v>39.907450383467548</v>
      </c>
      <c r="F200" s="65">
        <v>2.5125496165324535</v>
      </c>
      <c r="G200" s="65">
        <v>0.25413132108750036</v>
      </c>
      <c r="H200" s="65">
        <v>0.60626061703335854</v>
      </c>
      <c r="I200" s="65">
        <v>38.714529018393037</v>
      </c>
      <c r="J200" s="65">
        <v>41.100371748542059</v>
      </c>
      <c r="K200" s="65">
        <v>9.9053865624069442</v>
      </c>
      <c r="L200" s="65">
        <v>20.416909636422709</v>
      </c>
      <c r="M200" s="65">
        <v>59.397991130512388</v>
      </c>
    </row>
    <row r="201" spans="1:13" x14ac:dyDescent="0.35">
      <c r="A201" s="45" t="s">
        <v>409</v>
      </c>
      <c r="B201" s="64">
        <v>1</v>
      </c>
      <c r="C201" s="65">
        <v>34.75</v>
      </c>
      <c r="D201" s="65">
        <v>55.42</v>
      </c>
      <c r="E201" s="65">
        <v>39.907450383467548</v>
      </c>
      <c r="F201" s="65">
        <v>15.512549616532453</v>
      </c>
      <c r="G201" s="65">
        <v>1.5690136829717285</v>
      </c>
      <c r="H201" s="65">
        <v>0.60626061703335854</v>
      </c>
      <c r="I201" s="65">
        <v>38.714529018393037</v>
      </c>
      <c r="J201" s="65">
        <v>41.100371748542059</v>
      </c>
      <c r="K201" s="65">
        <v>9.9053865624069442</v>
      </c>
      <c r="L201" s="65">
        <v>20.416909636422709</v>
      </c>
      <c r="M201" s="65">
        <v>59.397991130512388</v>
      </c>
    </row>
    <row r="202" spans="1:13" x14ac:dyDescent="0.35">
      <c r="A202" s="45" t="s">
        <v>410</v>
      </c>
      <c r="B202" s="64">
        <v>1</v>
      </c>
      <c r="C202" s="65">
        <v>4.75</v>
      </c>
      <c r="D202" s="65">
        <v>14.42</v>
      </c>
      <c r="E202" s="65">
        <v>15.481775575489063</v>
      </c>
      <c r="F202" s="65">
        <v>-1.0617755754890634</v>
      </c>
      <c r="G202" s="65">
        <v>-0.10739307511461887</v>
      </c>
      <c r="H202" s="65">
        <v>0.99540782651406889</v>
      </c>
      <c r="I202" s="65">
        <v>13.523140576201818</v>
      </c>
      <c r="J202" s="65">
        <v>17.440410574776308</v>
      </c>
      <c r="K202" s="65">
        <v>9.9367986673793425</v>
      </c>
      <c r="L202" s="65">
        <v>-4.0705738559577114</v>
      </c>
      <c r="M202" s="65">
        <v>35.034125006935838</v>
      </c>
    </row>
    <row r="203" spans="1:13" x14ac:dyDescent="0.35">
      <c r="A203" s="45" t="s">
        <v>411</v>
      </c>
      <c r="B203" s="64">
        <v>1</v>
      </c>
      <c r="C203" s="65">
        <v>17.25</v>
      </c>
      <c r="D203" s="65">
        <v>21.92</v>
      </c>
      <c r="E203" s="65">
        <v>25.659140078813433</v>
      </c>
      <c r="F203" s="65">
        <v>-3.7391400788134312</v>
      </c>
      <c r="G203" s="65">
        <v>-0.37819456448047567</v>
      </c>
      <c r="H203" s="65">
        <v>0.67933524184291949</v>
      </c>
      <c r="I203" s="65">
        <v>24.322431902042833</v>
      </c>
      <c r="J203" s="65">
        <v>26.995848255584033</v>
      </c>
      <c r="K203" s="65">
        <v>9.9101275161198696</v>
      </c>
      <c r="L203" s="65">
        <v>6.1592706951788472</v>
      </c>
      <c r="M203" s="65">
        <v>45.159009462448019</v>
      </c>
    </row>
    <row r="204" spans="1:13" x14ac:dyDescent="0.35">
      <c r="A204" s="45" t="s">
        <v>412</v>
      </c>
      <c r="B204" s="64">
        <v>1</v>
      </c>
      <c r="C204" s="65">
        <v>17.25</v>
      </c>
      <c r="D204" s="65">
        <v>21.92</v>
      </c>
      <c r="E204" s="65">
        <v>25.659140078813433</v>
      </c>
      <c r="F204" s="65">
        <v>-3.7391400788134312</v>
      </c>
      <c r="G204" s="65">
        <v>-0.37819456448047567</v>
      </c>
      <c r="H204" s="65">
        <v>0.67933524184291949</v>
      </c>
      <c r="I204" s="65">
        <v>24.322431902042833</v>
      </c>
      <c r="J204" s="65">
        <v>26.995848255584033</v>
      </c>
      <c r="K204" s="65">
        <v>9.9101275161198696</v>
      </c>
      <c r="L204" s="65">
        <v>6.1592706951788472</v>
      </c>
      <c r="M204" s="65">
        <v>45.159009462448019</v>
      </c>
    </row>
    <row r="205" spans="1:13" x14ac:dyDescent="0.35">
      <c r="A205" s="45" t="s">
        <v>413</v>
      </c>
      <c r="B205" s="64">
        <v>1</v>
      </c>
      <c r="C205" s="65">
        <v>17.25</v>
      </c>
      <c r="D205" s="65">
        <v>21.92</v>
      </c>
      <c r="E205" s="65">
        <v>25.659140078813433</v>
      </c>
      <c r="F205" s="65">
        <v>-3.7391400788134312</v>
      </c>
      <c r="G205" s="65">
        <v>-0.37819456448047567</v>
      </c>
      <c r="H205" s="65">
        <v>0.67933524184291949</v>
      </c>
      <c r="I205" s="65">
        <v>24.322431902042833</v>
      </c>
      <c r="J205" s="65">
        <v>26.995848255584033</v>
      </c>
      <c r="K205" s="65">
        <v>9.9101275161198696</v>
      </c>
      <c r="L205" s="65">
        <v>6.1592706951788472</v>
      </c>
      <c r="M205" s="65">
        <v>45.159009462448019</v>
      </c>
    </row>
    <row r="206" spans="1:13" x14ac:dyDescent="0.35">
      <c r="A206" s="45" t="s">
        <v>414</v>
      </c>
      <c r="B206" s="64">
        <v>1</v>
      </c>
      <c r="C206" s="65">
        <v>17.25</v>
      </c>
      <c r="D206" s="65">
        <v>21.92</v>
      </c>
      <c r="E206" s="65">
        <v>25.659140078813433</v>
      </c>
      <c r="F206" s="65">
        <v>-3.7391400788134312</v>
      </c>
      <c r="G206" s="65">
        <v>-0.37819456448047567</v>
      </c>
      <c r="H206" s="65">
        <v>0.67933524184291949</v>
      </c>
      <c r="I206" s="65">
        <v>24.322431902042833</v>
      </c>
      <c r="J206" s="65">
        <v>26.995848255584033</v>
      </c>
      <c r="K206" s="65">
        <v>9.9101275161198696</v>
      </c>
      <c r="L206" s="65">
        <v>6.1592706951788472</v>
      </c>
      <c r="M206" s="65">
        <v>45.159009462448019</v>
      </c>
    </row>
    <row r="207" spans="1:13" x14ac:dyDescent="0.35">
      <c r="A207" s="45" t="s">
        <v>415</v>
      </c>
      <c r="B207" s="64">
        <v>1</v>
      </c>
      <c r="C207" s="65">
        <v>17.25</v>
      </c>
      <c r="D207" s="65">
        <v>21.92</v>
      </c>
      <c r="E207" s="65">
        <v>25.659140078813433</v>
      </c>
      <c r="F207" s="65">
        <v>-3.7391400788134312</v>
      </c>
      <c r="G207" s="65">
        <v>-0.37819456448047567</v>
      </c>
      <c r="H207" s="65">
        <v>0.67933524184291949</v>
      </c>
      <c r="I207" s="65">
        <v>24.322431902042833</v>
      </c>
      <c r="J207" s="65">
        <v>26.995848255584033</v>
      </c>
      <c r="K207" s="65">
        <v>9.9101275161198696</v>
      </c>
      <c r="L207" s="65">
        <v>6.1592706951788472</v>
      </c>
      <c r="M207" s="65">
        <v>45.159009462448019</v>
      </c>
    </row>
    <row r="208" spans="1:13" x14ac:dyDescent="0.35">
      <c r="A208" s="45" t="s">
        <v>416</v>
      </c>
      <c r="B208" s="64">
        <v>1</v>
      </c>
      <c r="C208" s="65">
        <v>17.25</v>
      </c>
      <c r="D208" s="65">
        <v>21.92</v>
      </c>
      <c r="E208" s="65">
        <v>25.659140078813433</v>
      </c>
      <c r="F208" s="65">
        <v>-3.7391400788134312</v>
      </c>
      <c r="G208" s="65">
        <v>-0.37819456448047567</v>
      </c>
      <c r="H208" s="65">
        <v>0.67933524184291949</v>
      </c>
      <c r="I208" s="65">
        <v>24.322431902042833</v>
      </c>
      <c r="J208" s="65">
        <v>26.995848255584033</v>
      </c>
      <c r="K208" s="65">
        <v>9.9101275161198696</v>
      </c>
      <c r="L208" s="65">
        <v>6.1592706951788472</v>
      </c>
      <c r="M208" s="65">
        <v>45.159009462448019</v>
      </c>
    </row>
    <row r="209" spans="1:13" x14ac:dyDescent="0.35">
      <c r="A209" s="45" t="s">
        <v>417</v>
      </c>
      <c r="B209" s="64">
        <v>1</v>
      </c>
      <c r="C209" s="65">
        <v>19.75</v>
      </c>
      <c r="D209" s="65">
        <v>22.42</v>
      </c>
      <c r="E209" s="65">
        <v>27.694612979478308</v>
      </c>
      <c r="F209" s="65">
        <v>-5.2746129794783059</v>
      </c>
      <c r="G209" s="65">
        <v>-0.53349965942166466</v>
      </c>
      <c r="H209" s="65">
        <v>0.63391798917000652</v>
      </c>
      <c r="I209" s="65">
        <v>26.447271008485057</v>
      </c>
      <c r="J209" s="65">
        <v>28.941954950471558</v>
      </c>
      <c r="K209" s="65">
        <v>9.9071177964097981</v>
      </c>
      <c r="L209" s="65">
        <v>8.200665733690311</v>
      </c>
      <c r="M209" s="65">
        <v>47.188560225266301</v>
      </c>
    </row>
    <row r="210" spans="1:13" x14ac:dyDescent="0.35">
      <c r="A210" s="45" t="s">
        <v>418</v>
      </c>
      <c r="B210" s="64">
        <v>1</v>
      </c>
      <c r="C210" s="65">
        <v>28.42</v>
      </c>
      <c r="D210" s="65">
        <v>32.090000000000003</v>
      </c>
      <c r="E210" s="65">
        <v>34.753632998984088</v>
      </c>
      <c r="F210" s="65">
        <v>-2.6636329989840846</v>
      </c>
      <c r="G210" s="65">
        <v>-0.26941261914592024</v>
      </c>
      <c r="H210" s="65">
        <v>0.56069451608633214</v>
      </c>
      <c r="I210" s="65">
        <v>33.650370724102231</v>
      </c>
      <c r="J210" s="65">
        <v>35.856895273865945</v>
      </c>
      <c r="K210" s="65">
        <v>9.9027021239314106</v>
      </c>
      <c r="L210" s="65">
        <v>15.268374343371082</v>
      </c>
      <c r="M210" s="65">
        <v>54.238891654597097</v>
      </c>
    </row>
    <row r="211" spans="1:13" x14ac:dyDescent="0.35">
      <c r="A211" s="45" t="s">
        <v>419</v>
      </c>
      <c r="B211" s="64">
        <v>1</v>
      </c>
      <c r="C211" s="65">
        <v>28.42</v>
      </c>
      <c r="D211" s="65">
        <v>32.090000000000003</v>
      </c>
      <c r="E211" s="65">
        <v>34.753632998984088</v>
      </c>
      <c r="F211" s="65">
        <v>-2.6636329989840846</v>
      </c>
      <c r="G211" s="65">
        <v>-0.26941261914592024</v>
      </c>
      <c r="H211" s="65">
        <v>0.56069451608633214</v>
      </c>
      <c r="I211" s="65">
        <v>33.650370724102231</v>
      </c>
      <c r="J211" s="65">
        <v>35.856895273865945</v>
      </c>
      <c r="K211" s="65">
        <v>9.9027021239314106</v>
      </c>
      <c r="L211" s="65">
        <v>15.268374343371082</v>
      </c>
      <c r="M211" s="65">
        <v>54.238891654597097</v>
      </c>
    </row>
    <row r="212" spans="1:13" x14ac:dyDescent="0.35">
      <c r="A212" s="45" t="s">
        <v>420</v>
      </c>
      <c r="B212" s="64">
        <v>1</v>
      </c>
      <c r="C212" s="65">
        <v>28.42</v>
      </c>
      <c r="D212" s="65">
        <v>32.090000000000003</v>
      </c>
      <c r="E212" s="65">
        <v>34.753632998984088</v>
      </c>
      <c r="F212" s="65">
        <v>-2.6636329989840846</v>
      </c>
      <c r="G212" s="65">
        <v>-0.26941261914592024</v>
      </c>
      <c r="H212" s="65">
        <v>0.56069451608633214</v>
      </c>
      <c r="I212" s="65">
        <v>33.650370724102231</v>
      </c>
      <c r="J212" s="65">
        <v>35.856895273865945</v>
      </c>
      <c r="K212" s="65">
        <v>9.9027021239314106</v>
      </c>
      <c r="L212" s="65">
        <v>15.268374343371082</v>
      </c>
      <c r="M212" s="65">
        <v>54.238891654597097</v>
      </c>
    </row>
    <row r="213" spans="1:13" x14ac:dyDescent="0.35">
      <c r="A213" s="45" t="s">
        <v>421</v>
      </c>
      <c r="B213" s="64">
        <v>1</v>
      </c>
      <c r="C213" s="65">
        <v>28.42</v>
      </c>
      <c r="D213" s="65">
        <v>32.090000000000003</v>
      </c>
      <c r="E213" s="65">
        <v>34.753632998984088</v>
      </c>
      <c r="F213" s="65">
        <v>-2.6636329989840846</v>
      </c>
      <c r="G213" s="65">
        <v>-0.26941261914592024</v>
      </c>
      <c r="H213" s="65">
        <v>0.56069451608633214</v>
      </c>
      <c r="I213" s="65">
        <v>33.650370724102231</v>
      </c>
      <c r="J213" s="65">
        <v>35.856895273865945</v>
      </c>
      <c r="K213" s="65">
        <v>9.9027021239314106</v>
      </c>
      <c r="L213" s="65">
        <v>15.268374343371082</v>
      </c>
      <c r="M213" s="65">
        <v>54.238891654597097</v>
      </c>
    </row>
    <row r="214" spans="1:13" x14ac:dyDescent="0.35">
      <c r="A214" s="45" t="s">
        <v>422</v>
      </c>
      <c r="B214" s="64">
        <v>1</v>
      </c>
      <c r="C214" s="65">
        <v>28.42</v>
      </c>
      <c r="D214" s="65">
        <v>32.090000000000003</v>
      </c>
      <c r="E214" s="65">
        <v>34.753632998984088</v>
      </c>
      <c r="F214" s="65">
        <v>-2.6636329989840846</v>
      </c>
      <c r="G214" s="65">
        <v>-0.26941261914592024</v>
      </c>
      <c r="H214" s="65">
        <v>0.56069451608633214</v>
      </c>
      <c r="I214" s="65">
        <v>33.650370724102231</v>
      </c>
      <c r="J214" s="65">
        <v>35.856895273865945</v>
      </c>
      <c r="K214" s="65">
        <v>9.9027021239314106</v>
      </c>
      <c r="L214" s="65">
        <v>15.268374343371082</v>
      </c>
      <c r="M214" s="65">
        <v>54.238891654597097</v>
      </c>
    </row>
    <row r="215" spans="1:13" x14ac:dyDescent="0.35">
      <c r="A215" s="45" t="s">
        <v>423</v>
      </c>
      <c r="B215" s="64">
        <v>1</v>
      </c>
      <c r="C215" s="65">
        <v>28.42</v>
      </c>
      <c r="D215" s="65">
        <v>32.090000000000003</v>
      </c>
      <c r="E215" s="65">
        <v>34.753632998984088</v>
      </c>
      <c r="F215" s="65">
        <v>-2.6636329989840846</v>
      </c>
      <c r="G215" s="65">
        <v>-0.26941261914592024</v>
      </c>
      <c r="H215" s="65">
        <v>0.56069451608633214</v>
      </c>
      <c r="I215" s="65">
        <v>33.650370724102231</v>
      </c>
      <c r="J215" s="65">
        <v>35.856895273865945</v>
      </c>
      <c r="K215" s="65">
        <v>9.9027021239314106</v>
      </c>
      <c r="L215" s="65">
        <v>15.268374343371082</v>
      </c>
      <c r="M215" s="65">
        <v>54.238891654597097</v>
      </c>
    </row>
    <row r="216" spans="1:13" x14ac:dyDescent="0.35">
      <c r="A216" s="45" t="s">
        <v>424</v>
      </c>
      <c r="B216" s="64">
        <v>1</v>
      </c>
      <c r="C216" s="65">
        <v>35.92</v>
      </c>
      <c r="D216" s="65">
        <v>46.59</v>
      </c>
      <c r="E216" s="65">
        <v>40.860051700978715</v>
      </c>
      <c r="F216" s="65">
        <v>5.729948299021288</v>
      </c>
      <c r="G216" s="65">
        <v>0.57955445791474058</v>
      </c>
      <c r="H216" s="65">
        <v>0.62305423615060729</v>
      </c>
      <c r="I216" s="65">
        <v>39.634086020507432</v>
      </c>
      <c r="J216" s="65">
        <v>42.086017381449999</v>
      </c>
      <c r="K216" s="65">
        <v>9.9064285994565981</v>
      </c>
      <c r="L216" s="65">
        <v>21.367460567969808</v>
      </c>
      <c r="M216" s="65">
        <v>60.352642833987623</v>
      </c>
    </row>
    <row r="217" spans="1:13" x14ac:dyDescent="0.35">
      <c r="A217" s="45" t="s">
        <v>425</v>
      </c>
      <c r="B217" s="64">
        <v>1</v>
      </c>
      <c r="C217" s="65">
        <v>40.53</v>
      </c>
      <c r="D217" s="65">
        <v>55.51</v>
      </c>
      <c r="E217" s="65">
        <v>44.613463729804735</v>
      </c>
      <c r="F217" s="65">
        <v>10.896536270195263</v>
      </c>
      <c r="G217" s="65">
        <v>1.1021279497931928</v>
      </c>
      <c r="H217" s="65">
        <v>0.70879086708546035</v>
      </c>
      <c r="I217" s="65">
        <v>43.218796576834428</v>
      </c>
      <c r="J217" s="65">
        <v>46.008130882775042</v>
      </c>
      <c r="K217" s="65">
        <v>9.9121902477812718</v>
      </c>
      <c r="L217" s="65">
        <v>25.109535569135708</v>
      </c>
      <c r="M217" s="65">
        <v>64.117391890473755</v>
      </c>
    </row>
    <row r="218" spans="1:13" x14ac:dyDescent="0.35">
      <c r="A218" s="45" t="s">
        <v>426</v>
      </c>
      <c r="B218" s="64">
        <v>1</v>
      </c>
      <c r="C218" s="65">
        <v>40.83</v>
      </c>
      <c r="D218" s="65">
        <v>56.51</v>
      </c>
      <c r="E218" s="65">
        <v>44.857720477884527</v>
      </c>
      <c r="F218" s="65">
        <v>11.652279522115471</v>
      </c>
      <c r="G218" s="65">
        <v>1.1785674476441859</v>
      </c>
      <c r="H218" s="65">
        <v>0.71528389094407663</v>
      </c>
      <c r="I218" s="65">
        <v>43.450277190909702</v>
      </c>
      <c r="J218" s="65">
        <v>46.265163764859352</v>
      </c>
      <c r="K218" s="65">
        <v>9.9126566600276487</v>
      </c>
      <c r="L218" s="65">
        <v>25.352874571417729</v>
      </c>
      <c r="M218" s="65">
        <v>64.362566384351325</v>
      </c>
    </row>
    <row r="219" spans="1:13" x14ac:dyDescent="0.35">
      <c r="A219" s="45" t="s">
        <v>427</v>
      </c>
      <c r="B219" s="64">
        <v>1</v>
      </c>
      <c r="C219" s="65">
        <v>40.83</v>
      </c>
      <c r="D219" s="65">
        <v>67.09</v>
      </c>
      <c r="E219" s="65">
        <v>44.857720477884527</v>
      </c>
      <c r="F219" s="65">
        <v>22.232279522115476</v>
      </c>
      <c r="G219" s="65">
        <v>2.2486794006238124</v>
      </c>
      <c r="H219" s="65">
        <v>0.71528389094407663</v>
      </c>
      <c r="I219" s="65">
        <v>43.450277190909702</v>
      </c>
      <c r="J219" s="65">
        <v>46.265163764859352</v>
      </c>
      <c r="K219" s="65">
        <v>9.9126566600276487</v>
      </c>
      <c r="L219" s="65">
        <v>25.352874571417729</v>
      </c>
      <c r="M219" s="65">
        <v>64.362566384351325</v>
      </c>
    </row>
    <row r="220" spans="1:13" x14ac:dyDescent="0.35">
      <c r="A220" s="45" t="s">
        <v>428</v>
      </c>
      <c r="B220" s="64">
        <v>1</v>
      </c>
      <c r="C220" s="65">
        <v>40.83</v>
      </c>
      <c r="D220" s="65">
        <v>57.09</v>
      </c>
      <c r="E220" s="65">
        <v>44.857720477884527</v>
      </c>
      <c r="F220" s="65">
        <v>12.232279522115476</v>
      </c>
      <c r="G220" s="65">
        <v>1.2372314299436367</v>
      </c>
      <c r="H220" s="65">
        <v>0.71528389094407663</v>
      </c>
      <c r="I220" s="65">
        <v>43.450277190909702</v>
      </c>
      <c r="J220" s="65">
        <v>46.265163764859352</v>
      </c>
      <c r="K220" s="65">
        <v>9.9126566600276487</v>
      </c>
      <c r="L220" s="65">
        <v>25.352874571417729</v>
      </c>
      <c r="M220" s="65">
        <v>64.362566384351325</v>
      </c>
    </row>
    <row r="221" spans="1:13" x14ac:dyDescent="0.35">
      <c r="A221" s="45" t="s">
        <v>429</v>
      </c>
      <c r="B221" s="64">
        <v>1</v>
      </c>
      <c r="C221" s="65">
        <v>40.83</v>
      </c>
      <c r="D221" s="65">
        <v>67.09</v>
      </c>
      <c r="E221" s="65">
        <v>44.857720477884527</v>
      </c>
      <c r="F221" s="65">
        <v>22.232279522115476</v>
      </c>
      <c r="G221" s="65">
        <v>2.2486794006238124</v>
      </c>
      <c r="H221" s="65">
        <v>0.71528389094407663</v>
      </c>
      <c r="I221" s="65">
        <v>43.450277190909702</v>
      </c>
      <c r="J221" s="65">
        <v>46.265163764859352</v>
      </c>
      <c r="K221" s="65">
        <v>9.9126566600276487</v>
      </c>
      <c r="L221" s="65">
        <v>25.352874571417729</v>
      </c>
      <c r="M221" s="65">
        <v>64.362566384351325</v>
      </c>
    </row>
    <row r="222" spans="1:13" x14ac:dyDescent="0.35">
      <c r="A222" s="45" t="s">
        <v>430</v>
      </c>
      <c r="B222" s="64">
        <v>1</v>
      </c>
      <c r="C222" s="65">
        <v>53.42</v>
      </c>
      <c r="D222" s="65">
        <v>55.09</v>
      </c>
      <c r="E222" s="65">
        <v>55.108362005632827</v>
      </c>
      <c r="F222" s="65">
        <v>-1.8362005632823752E-2</v>
      </c>
      <c r="G222" s="65">
        <v>-1.8572213334937537E-3</v>
      </c>
      <c r="H222" s="65">
        <v>1.0486733901493175</v>
      </c>
      <c r="I222" s="65">
        <v>53.044917907588427</v>
      </c>
      <c r="J222" s="65">
        <v>57.171806103677227</v>
      </c>
      <c r="K222" s="65">
        <v>9.9422757401992055</v>
      </c>
      <c r="L222" s="65">
        <v>35.545235497461434</v>
      </c>
      <c r="M222" s="65">
        <v>74.671488513804221</v>
      </c>
    </row>
    <row r="223" spans="1:13" x14ac:dyDescent="0.35">
      <c r="A223" s="45" t="s">
        <v>431</v>
      </c>
      <c r="B223" s="64">
        <v>1</v>
      </c>
      <c r="C223" s="65">
        <v>50.83</v>
      </c>
      <c r="D223" s="65">
        <v>50.34</v>
      </c>
      <c r="E223" s="65">
        <v>52.999612080544011</v>
      </c>
      <c r="F223" s="65">
        <v>-2.659612080544008</v>
      </c>
      <c r="G223" s="65">
        <v>-0.26900592416627167</v>
      </c>
      <c r="H223" s="65">
        <v>0.97304191871558476</v>
      </c>
      <c r="I223" s="65">
        <v>51.084985826856403</v>
      </c>
      <c r="J223" s="65">
        <v>54.914238334231619</v>
      </c>
      <c r="K223" s="65">
        <v>9.9345831110582647</v>
      </c>
      <c r="L223" s="65">
        <v>33.451622134765088</v>
      </c>
      <c r="M223" s="65">
        <v>72.547602026322934</v>
      </c>
    </row>
    <row r="224" spans="1:13" x14ac:dyDescent="0.35">
      <c r="A224" s="45" t="s">
        <v>432</v>
      </c>
      <c r="B224" s="64">
        <v>1</v>
      </c>
      <c r="C224" s="65">
        <v>50.83</v>
      </c>
      <c r="D224" s="65">
        <v>50.34</v>
      </c>
      <c r="E224" s="65">
        <v>52.999612080544011</v>
      </c>
      <c r="F224" s="65">
        <v>-2.659612080544008</v>
      </c>
      <c r="G224" s="65">
        <v>-0.26900592416627167</v>
      </c>
      <c r="H224" s="65">
        <v>0.97304191871558476</v>
      </c>
      <c r="I224" s="65">
        <v>51.084985826856403</v>
      </c>
      <c r="J224" s="65">
        <v>54.914238334231619</v>
      </c>
      <c r="K224" s="65">
        <v>9.9345831110582647</v>
      </c>
      <c r="L224" s="65">
        <v>33.451622134765088</v>
      </c>
      <c r="M224" s="65">
        <v>72.547602026322934</v>
      </c>
    </row>
    <row r="225" spans="1:13" x14ac:dyDescent="0.35">
      <c r="A225" s="45" t="s">
        <v>478</v>
      </c>
      <c r="B225" s="64">
        <v>1</v>
      </c>
      <c r="C225" s="65">
        <v>50.83</v>
      </c>
      <c r="D225" s="65">
        <v>45.34</v>
      </c>
      <c r="E225" s="65">
        <v>52.999612080544011</v>
      </c>
      <c r="F225" s="65">
        <v>-7.659612080544008</v>
      </c>
      <c r="G225" s="65">
        <v>-0.77472990950635945</v>
      </c>
      <c r="H225" s="65">
        <v>0.97304191871558476</v>
      </c>
      <c r="I225" s="65">
        <v>51.084985826856403</v>
      </c>
      <c r="J225" s="65">
        <v>54.914238334231619</v>
      </c>
      <c r="K225" s="65">
        <v>9.9345831110582647</v>
      </c>
      <c r="L225" s="65">
        <v>33.451622134765088</v>
      </c>
      <c r="M225" s="65">
        <v>72.547602026322934</v>
      </c>
    </row>
    <row r="226" spans="1:13" x14ac:dyDescent="0.35">
      <c r="A226" s="45" t="s">
        <v>479</v>
      </c>
      <c r="B226" s="64">
        <v>1</v>
      </c>
      <c r="C226" s="65">
        <v>50.83</v>
      </c>
      <c r="D226" s="65">
        <v>47.76</v>
      </c>
      <c r="E226" s="65">
        <v>52.999612080544011</v>
      </c>
      <c r="F226" s="65">
        <v>-5.2396120805440134</v>
      </c>
      <c r="G226" s="65">
        <v>-0.52995950060175745</v>
      </c>
      <c r="H226" s="65">
        <v>0.97304191871558476</v>
      </c>
      <c r="I226" s="65">
        <v>51.084985826856403</v>
      </c>
      <c r="J226" s="65">
        <v>54.914238334231619</v>
      </c>
      <c r="K226" s="65">
        <v>9.9345831110582647</v>
      </c>
      <c r="L226" s="65">
        <v>33.451622134765088</v>
      </c>
      <c r="M226" s="65">
        <v>72.547602026322934</v>
      </c>
    </row>
    <row r="227" spans="1:13" x14ac:dyDescent="0.35">
      <c r="A227" s="45" t="s">
        <v>480</v>
      </c>
      <c r="B227" s="64">
        <v>1</v>
      </c>
      <c r="C227" s="65">
        <v>53.42</v>
      </c>
      <c r="D227" s="65">
        <v>41.51</v>
      </c>
      <c r="E227" s="65">
        <v>55.108362005632827</v>
      </c>
      <c r="F227" s="65">
        <v>-13.598362005632829</v>
      </c>
      <c r="G227" s="65">
        <v>-1.3754035655171728</v>
      </c>
      <c r="H227" s="65">
        <v>1.0486733901493175</v>
      </c>
      <c r="I227" s="65">
        <v>53.044917907588427</v>
      </c>
      <c r="J227" s="65">
        <v>57.171806103677227</v>
      </c>
      <c r="K227" s="65">
        <v>9.9422757401992055</v>
      </c>
      <c r="L227" s="65">
        <v>35.545235497461434</v>
      </c>
      <c r="M227" s="65">
        <v>74.671488513804221</v>
      </c>
    </row>
    <row r="228" spans="1:13" x14ac:dyDescent="0.35">
      <c r="A228" s="45" t="s">
        <v>481</v>
      </c>
      <c r="B228" s="64">
        <v>1</v>
      </c>
      <c r="C228" s="65">
        <v>53.42</v>
      </c>
      <c r="D228" s="65">
        <v>41.09</v>
      </c>
      <c r="E228" s="65">
        <v>55.108362005632827</v>
      </c>
      <c r="F228" s="65">
        <v>-14.018362005632824</v>
      </c>
      <c r="G228" s="65">
        <v>-1.4178843802857395</v>
      </c>
      <c r="H228" s="65">
        <v>1.0486733901493175</v>
      </c>
      <c r="I228" s="65">
        <v>53.044917907588427</v>
      </c>
      <c r="J228" s="65">
        <v>57.171806103677227</v>
      </c>
      <c r="K228" s="65">
        <v>9.9422757401992055</v>
      </c>
      <c r="L228" s="65">
        <v>35.545235497461434</v>
      </c>
      <c r="M228" s="65">
        <v>74.671488513804221</v>
      </c>
    </row>
    <row r="229" spans="1:13" x14ac:dyDescent="0.35">
      <c r="A229" s="45" t="s">
        <v>482</v>
      </c>
      <c r="B229" s="64">
        <v>1</v>
      </c>
      <c r="C229" s="65">
        <v>5.58</v>
      </c>
      <c r="D229" s="65">
        <v>19.25</v>
      </c>
      <c r="E229" s="65">
        <v>16.157552578509801</v>
      </c>
      <c r="F229" s="65">
        <v>3.0924474214901991</v>
      </c>
      <c r="G229" s="65">
        <v>0.31278496689014035</v>
      </c>
      <c r="H229" s="65">
        <v>0.97146751796258268</v>
      </c>
      <c r="I229" s="65">
        <v>14.246024227345757</v>
      </c>
      <c r="J229" s="65">
        <v>18.069080929673845</v>
      </c>
      <c r="K229" s="65">
        <v>9.93442903006523</v>
      </c>
      <c r="L229" s="65">
        <v>-3.3901341865851435</v>
      </c>
      <c r="M229" s="65">
        <v>35.705239343604745</v>
      </c>
    </row>
    <row r="230" spans="1:13" x14ac:dyDescent="0.35">
      <c r="A230" s="45" t="s">
        <v>483</v>
      </c>
      <c r="B230" s="64">
        <v>1</v>
      </c>
      <c r="C230" s="65">
        <v>5.58</v>
      </c>
      <c r="D230" s="65">
        <v>19.25</v>
      </c>
      <c r="E230" s="65">
        <v>16.157552578509801</v>
      </c>
      <c r="F230" s="65">
        <v>3.0924474214901991</v>
      </c>
      <c r="G230" s="65">
        <v>0.31278496689014035</v>
      </c>
      <c r="H230" s="65">
        <v>0.97146751796258268</v>
      </c>
      <c r="I230" s="65">
        <v>14.246024227345757</v>
      </c>
      <c r="J230" s="65">
        <v>18.069080929673845</v>
      </c>
      <c r="K230" s="65">
        <v>9.93442903006523</v>
      </c>
      <c r="L230" s="65">
        <v>-3.3901341865851435</v>
      </c>
      <c r="M230" s="65">
        <v>35.705239343604745</v>
      </c>
    </row>
    <row r="231" spans="1:13" x14ac:dyDescent="0.35">
      <c r="A231" s="45" t="s">
        <v>484</v>
      </c>
      <c r="B231" s="64">
        <v>1</v>
      </c>
      <c r="C231" s="65">
        <v>5.58</v>
      </c>
      <c r="D231" s="65">
        <v>19.25</v>
      </c>
      <c r="E231" s="65">
        <v>16.157552578509801</v>
      </c>
      <c r="F231" s="65">
        <v>3.0924474214901991</v>
      </c>
      <c r="G231" s="65">
        <v>0.31278496689014035</v>
      </c>
      <c r="H231" s="65">
        <v>0.97146751796258268</v>
      </c>
      <c r="I231" s="65">
        <v>14.246024227345757</v>
      </c>
      <c r="J231" s="65">
        <v>18.069080929673845</v>
      </c>
      <c r="K231" s="65">
        <v>9.93442903006523</v>
      </c>
      <c r="L231" s="65">
        <v>-3.3901341865851435</v>
      </c>
      <c r="M231" s="65">
        <v>35.705239343604745</v>
      </c>
    </row>
    <row r="232" spans="1:13" x14ac:dyDescent="0.35">
      <c r="A232" s="45" t="s">
        <v>485</v>
      </c>
      <c r="B232" s="64">
        <v>1</v>
      </c>
      <c r="C232" s="65">
        <v>6.58</v>
      </c>
      <c r="D232" s="65">
        <v>19.25</v>
      </c>
      <c r="E232" s="65">
        <v>16.971741738775751</v>
      </c>
      <c r="F232" s="65">
        <v>2.2782582612242486</v>
      </c>
      <c r="G232" s="65">
        <v>0.23043396950006115</v>
      </c>
      <c r="H232" s="65">
        <v>0.94301262167782807</v>
      </c>
      <c r="I232" s="65">
        <v>15.116203258577043</v>
      </c>
      <c r="J232" s="65">
        <v>18.827280218974458</v>
      </c>
      <c r="K232" s="65">
        <v>9.931686856702143</v>
      </c>
      <c r="L232" s="65">
        <v>-2.5705493316300476</v>
      </c>
      <c r="M232" s="65">
        <v>36.51403280918155</v>
      </c>
    </row>
    <row r="233" spans="1:13" x14ac:dyDescent="0.35">
      <c r="A233" s="45" t="s">
        <v>486</v>
      </c>
      <c r="B233" s="64">
        <v>1</v>
      </c>
      <c r="C233" s="65">
        <v>5.58</v>
      </c>
      <c r="D233" s="65">
        <v>19.25</v>
      </c>
      <c r="E233" s="65">
        <v>16.157552578509801</v>
      </c>
      <c r="F233" s="65">
        <v>3.0924474214901991</v>
      </c>
      <c r="G233" s="65">
        <v>0.31278496689014035</v>
      </c>
      <c r="H233" s="65">
        <v>0.97146751796258268</v>
      </c>
      <c r="I233" s="65">
        <v>14.246024227345757</v>
      </c>
      <c r="J233" s="65">
        <v>18.069080929673845</v>
      </c>
      <c r="K233" s="65">
        <v>9.93442903006523</v>
      </c>
      <c r="L233" s="65">
        <v>-3.3901341865851435</v>
      </c>
      <c r="M233" s="65">
        <v>35.705239343604745</v>
      </c>
    </row>
    <row r="234" spans="1:13" x14ac:dyDescent="0.35">
      <c r="A234" s="45" t="s">
        <v>487</v>
      </c>
      <c r="B234" s="64">
        <v>1</v>
      </c>
      <c r="C234" s="65">
        <v>5.58</v>
      </c>
      <c r="D234" s="65">
        <v>19.25</v>
      </c>
      <c r="E234" s="65">
        <v>16.157552578509801</v>
      </c>
      <c r="F234" s="65">
        <v>3.0924474214901991</v>
      </c>
      <c r="G234" s="65">
        <v>0.31278496689014035</v>
      </c>
      <c r="H234" s="65">
        <v>0.97146751796258268</v>
      </c>
      <c r="I234" s="65">
        <v>14.246024227345757</v>
      </c>
      <c r="J234" s="65">
        <v>18.069080929673845</v>
      </c>
      <c r="K234" s="65">
        <v>9.93442903006523</v>
      </c>
      <c r="L234" s="65">
        <v>-3.3901341865851435</v>
      </c>
      <c r="M234" s="65">
        <v>35.705239343604745</v>
      </c>
    </row>
    <row r="235" spans="1:13" x14ac:dyDescent="0.35">
      <c r="A235" s="45" t="s">
        <v>488</v>
      </c>
      <c r="B235" s="64">
        <v>1</v>
      </c>
      <c r="C235" s="65">
        <v>20.58</v>
      </c>
      <c r="D235" s="65">
        <v>28.25</v>
      </c>
      <c r="E235" s="65">
        <v>28.370389982499042</v>
      </c>
      <c r="F235" s="65">
        <v>-0.12038998249904154</v>
      </c>
      <c r="G235" s="65">
        <v>-1.2176820348887741E-2</v>
      </c>
      <c r="H235" s="65">
        <v>0.62085180566924503</v>
      </c>
      <c r="I235" s="65">
        <v>27.148757960362957</v>
      </c>
      <c r="J235" s="65">
        <v>29.592022004635126</v>
      </c>
      <c r="K235" s="65">
        <v>9.9062903238068465</v>
      </c>
      <c r="L235" s="65">
        <v>8.8780709304603036</v>
      </c>
      <c r="M235" s="65">
        <v>47.862709034537779</v>
      </c>
    </row>
    <row r="236" spans="1:13" x14ac:dyDescent="0.35">
      <c r="A236" s="45" t="s">
        <v>489</v>
      </c>
      <c r="B236" s="64">
        <v>1</v>
      </c>
      <c r="C236" s="65">
        <v>20.58</v>
      </c>
      <c r="D236" s="65">
        <v>28.25</v>
      </c>
      <c r="E236" s="65">
        <v>28.370389982499042</v>
      </c>
      <c r="F236" s="65">
        <v>-0.12038998249904154</v>
      </c>
      <c r="G236" s="65">
        <v>-1.2176820348887741E-2</v>
      </c>
      <c r="H236" s="65">
        <v>0.62085180566924503</v>
      </c>
      <c r="I236" s="65">
        <v>27.148757960362957</v>
      </c>
      <c r="J236" s="65">
        <v>29.592022004635126</v>
      </c>
      <c r="K236" s="65">
        <v>9.9062903238068465</v>
      </c>
      <c r="L236" s="65">
        <v>8.8780709304603036</v>
      </c>
      <c r="M236" s="65">
        <v>47.862709034537779</v>
      </c>
    </row>
    <row r="237" spans="1:13" x14ac:dyDescent="0.35">
      <c r="A237" s="45" t="s">
        <v>490</v>
      </c>
      <c r="B237" s="64">
        <v>1</v>
      </c>
      <c r="C237" s="65">
        <v>20.55</v>
      </c>
      <c r="D237" s="65">
        <v>28.25</v>
      </c>
      <c r="E237" s="65">
        <v>28.345964307691066</v>
      </c>
      <c r="F237" s="65">
        <v>-9.5964307691065898E-2</v>
      </c>
      <c r="G237" s="65">
        <v>-9.706290427185656E-3</v>
      </c>
      <c r="H237" s="65">
        <v>0.62130505685765225</v>
      </c>
      <c r="I237" s="65">
        <v>27.123440436387799</v>
      </c>
      <c r="J237" s="65">
        <v>29.568488178994333</v>
      </c>
      <c r="K237" s="65">
        <v>9.9063187405122033</v>
      </c>
      <c r="L237" s="65">
        <v>8.85358934092854</v>
      </c>
      <c r="M237" s="65">
        <v>47.838339274453588</v>
      </c>
    </row>
    <row r="238" spans="1:13" x14ac:dyDescent="0.35">
      <c r="A238" s="45" t="s">
        <v>491</v>
      </c>
      <c r="B238" s="64">
        <v>1</v>
      </c>
      <c r="C238" s="65">
        <v>20.58</v>
      </c>
      <c r="D238" s="65">
        <v>28.25</v>
      </c>
      <c r="E238" s="65">
        <v>28.370389982499042</v>
      </c>
      <c r="F238" s="65">
        <v>-0.12038998249904154</v>
      </c>
      <c r="G238" s="65">
        <v>-1.2176820348887741E-2</v>
      </c>
      <c r="H238" s="65">
        <v>0.62085180566924503</v>
      </c>
      <c r="I238" s="65">
        <v>27.148757960362957</v>
      </c>
      <c r="J238" s="65">
        <v>29.592022004635126</v>
      </c>
      <c r="K238" s="65">
        <v>9.9062903238068465</v>
      </c>
      <c r="L238" s="65">
        <v>8.8780709304603036</v>
      </c>
      <c r="M238" s="65">
        <v>47.862709034537779</v>
      </c>
    </row>
    <row r="239" spans="1:13" x14ac:dyDescent="0.35">
      <c r="A239" s="45" t="s">
        <v>492</v>
      </c>
      <c r="B239" s="64">
        <v>1</v>
      </c>
      <c r="C239" s="65">
        <v>20.58</v>
      </c>
      <c r="D239" s="65">
        <v>28.25</v>
      </c>
      <c r="E239" s="65">
        <v>28.370389982499042</v>
      </c>
      <c r="F239" s="65">
        <v>-0.12038998249904154</v>
      </c>
      <c r="G239" s="65">
        <v>-1.2176820348887741E-2</v>
      </c>
      <c r="H239" s="65">
        <v>0.62085180566924503</v>
      </c>
      <c r="I239" s="65">
        <v>27.148757960362957</v>
      </c>
      <c r="J239" s="65">
        <v>29.592022004635126</v>
      </c>
      <c r="K239" s="65">
        <v>9.9062903238068465</v>
      </c>
      <c r="L239" s="65">
        <v>8.8780709304603036</v>
      </c>
      <c r="M239" s="65">
        <v>47.862709034537779</v>
      </c>
    </row>
    <row r="240" spans="1:13" x14ac:dyDescent="0.35">
      <c r="A240" s="45" t="s">
        <v>493</v>
      </c>
      <c r="B240" s="64">
        <v>1</v>
      </c>
      <c r="C240" s="65">
        <v>20.58</v>
      </c>
      <c r="D240" s="65">
        <v>28.25</v>
      </c>
      <c r="E240" s="65">
        <v>28.370389982499042</v>
      </c>
      <c r="F240" s="65">
        <v>-0.12038998249904154</v>
      </c>
      <c r="G240" s="65">
        <v>-1.2176820348887741E-2</v>
      </c>
      <c r="H240" s="65">
        <v>0.62085180566924503</v>
      </c>
      <c r="I240" s="65">
        <v>27.148757960362957</v>
      </c>
      <c r="J240" s="65">
        <v>29.592022004635126</v>
      </c>
      <c r="K240" s="65">
        <v>9.9062903238068465</v>
      </c>
      <c r="L240" s="65">
        <v>8.8780709304603036</v>
      </c>
      <c r="M240" s="65">
        <v>47.862709034537779</v>
      </c>
    </row>
    <row r="241" spans="1:13" x14ac:dyDescent="0.35">
      <c r="A241" s="45" t="s">
        <v>494</v>
      </c>
      <c r="B241" s="64">
        <v>1</v>
      </c>
      <c r="C241" s="65">
        <v>28.75</v>
      </c>
      <c r="D241" s="65">
        <v>32.42</v>
      </c>
      <c r="E241" s="65">
        <v>35.022315421871852</v>
      </c>
      <c r="F241" s="65">
        <v>-2.6023154218718503</v>
      </c>
      <c r="G241" s="65">
        <v>-0.26321066525220077</v>
      </c>
      <c r="H241" s="65">
        <v>0.56099002764131722</v>
      </c>
      <c r="I241" s="65">
        <v>33.918471677506965</v>
      </c>
      <c r="J241" s="65">
        <v>36.126159166236739</v>
      </c>
      <c r="K241" s="65">
        <v>9.9027188602958631</v>
      </c>
      <c r="L241" s="65">
        <v>15.537023834601786</v>
      </c>
      <c r="M241" s="65">
        <v>54.507607009141921</v>
      </c>
    </row>
    <row r="242" spans="1:13" x14ac:dyDescent="0.35">
      <c r="A242" s="45" t="s">
        <v>495</v>
      </c>
      <c r="B242" s="64">
        <v>1</v>
      </c>
      <c r="C242" s="65">
        <v>28.75</v>
      </c>
      <c r="D242" s="65">
        <v>32.42</v>
      </c>
      <c r="E242" s="65">
        <v>35.022315421871852</v>
      </c>
      <c r="F242" s="65">
        <v>-2.6023154218718503</v>
      </c>
      <c r="G242" s="65">
        <v>-0.26321066525220077</v>
      </c>
      <c r="H242" s="65">
        <v>0.56099002764131722</v>
      </c>
      <c r="I242" s="65">
        <v>33.918471677506965</v>
      </c>
      <c r="J242" s="65">
        <v>36.126159166236739</v>
      </c>
      <c r="K242" s="65">
        <v>9.9027188602958631</v>
      </c>
      <c r="L242" s="65">
        <v>15.537023834601786</v>
      </c>
      <c r="M242" s="65">
        <v>54.507607009141921</v>
      </c>
    </row>
    <row r="243" spans="1:13" x14ac:dyDescent="0.35">
      <c r="A243" s="45" t="s">
        <v>496</v>
      </c>
      <c r="B243" s="64">
        <v>1</v>
      </c>
      <c r="C243" s="65">
        <v>28.75</v>
      </c>
      <c r="D243" s="65">
        <v>32.42</v>
      </c>
      <c r="E243" s="65">
        <v>35.022315421871852</v>
      </c>
      <c r="F243" s="65">
        <v>-2.6023154218718503</v>
      </c>
      <c r="G243" s="65">
        <v>-0.26321066525220077</v>
      </c>
      <c r="H243" s="65">
        <v>0.56099002764131722</v>
      </c>
      <c r="I243" s="65">
        <v>33.918471677506965</v>
      </c>
      <c r="J243" s="65">
        <v>36.126159166236739</v>
      </c>
      <c r="K243" s="65">
        <v>9.9027188602958631</v>
      </c>
      <c r="L243" s="65">
        <v>15.537023834601786</v>
      </c>
      <c r="M243" s="65">
        <v>54.507607009141921</v>
      </c>
    </row>
    <row r="244" spans="1:13" x14ac:dyDescent="0.35">
      <c r="A244" s="45" t="s">
        <v>497</v>
      </c>
      <c r="B244" s="64">
        <v>1</v>
      </c>
      <c r="C244" s="65">
        <v>28.75</v>
      </c>
      <c r="D244" s="65">
        <v>32.42</v>
      </c>
      <c r="E244" s="65">
        <v>35.022315421871852</v>
      </c>
      <c r="F244" s="65">
        <v>-2.6023154218718503</v>
      </c>
      <c r="G244" s="65">
        <v>-0.26321066525220077</v>
      </c>
      <c r="H244" s="65">
        <v>0.56099002764131722</v>
      </c>
      <c r="I244" s="65">
        <v>33.918471677506965</v>
      </c>
      <c r="J244" s="65">
        <v>36.126159166236739</v>
      </c>
      <c r="K244" s="65">
        <v>9.9027188602958631</v>
      </c>
      <c r="L244" s="65">
        <v>15.537023834601786</v>
      </c>
      <c r="M244" s="65">
        <v>54.507607009141921</v>
      </c>
    </row>
    <row r="245" spans="1:13" x14ac:dyDescent="0.35">
      <c r="A245" s="45" t="s">
        <v>498</v>
      </c>
      <c r="B245" s="64">
        <v>1</v>
      </c>
      <c r="C245" s="65">
        <v>28.75</v>
      </c>
      <c r="D245" s="65">
        <v>32.42</v>
      </c>
      <c r="E245" s="65">
        <v>35.022315421871852</v>
      </c>
      <c r="F245" s="65">
        <v>-2.6023154218718503</v>
      </c>
      <c r="G245" s="65">
        <v>-0.26321066525220077</v>
      </c>
      <c r="H245" s="65">
        <v>0.56099002764131722</v>
      </c>
      <c r="I245" s="65">
        <v>33.918471677506965</v>
      </c>
      <c r="J245" s="65">
        <v>36.126159166236739</v>
      </c>
      <c r="K245" s="65">
        <v>9.9027188602958631</v>
      </c>
      <c r="L245" s="65">
        <v>15.537023834601786</v>
      </c>
      <c r="M245" s="65">
        <v>54.507607009141921</v>
      </c>
    </row>
    <row r="246" spans="1:13" x14ac:dyDescent="0.35">
      <c r="A246" s="45" t="s">
        <v>499</v>
      </c>
      <c r="B246" s="64">
        <v>1</v>
      </c>
      <c r="C246" s="65">
        <v>28.75</v>
      </c>
      <c r="D246" s="65">
        <v>32.42</v>
      </c>
      <c r="E246" s="65">
        <v>35.022315421871852</v>
      </c>
      <c r="F246" s="65">
        <v>-2.6023154218718503</v>
      </c>
      <c r="G246" s="65">
        <v>-0.26321066525220077</v>
      </c>
      <c r="H246" s="65">
        <v>0.56099002764131722</v>
      </c>
      <c r="I246" s="65">
        <v>33.918471677506965</v>
      </c>
      <c r="J246" s="65">
        <v>36.126159166236739</v>
      </c>
      <c r="K246" s="65">
        <v>9.9027188602958631</v>
      </c>
      <c r="L246" s="65">
        <v>15.537023834601786</v>
      </c>
      <c r="M246" s="65">
        <v>54.507607009141921</v>
      </c>
    </row>
    <row r="247" spans="1:13" x14ac:dyDescent="0.35">
      <c r="A247" s="45" t="s">
        <v>500</v>
      </c>
      <c r="B247" s="64">
        <v>1</v>
      </c>
      <c r="C247" s="65">
        <v>39.25</v>
      </c>
      <c r="D247" s="65">
        <v>56.92</v>
      </c>
      <c r="E247" s="65">
        <v>43.571301604664328</v>
      </c>
      <c r="F247" s="65">
        <v>13.348698395335674</v>
      </c>
      <c r="G247" s="65">
        <v>1.3501513903183984</v>
      </c>
      <c r="H247" s="65">
        <v>0.6822209442372259</v>
      </c>
      <c r="I247" s="65">
        <v>42.228915315308647</v>
      </c>
      <c r="J247" s="65">
        <v>44.913687894020008</v>
      </c>
      <c r="K247" s="65">
        <v>9.9103257480116334</v>
      </c>
      <c r="L247" s="65">
        <v>24.07104216590777</v>
      </c>
      <c r="M247" s="65">
        <v>63.071561043420886</v>
      </c>
    </row>
    <row r="248" spans="1:13" x14ac:dyDescent="0.35">
      <c r="A248" s="45" t="s">
        <v>501</v>
      </c>
      <c r="B248" s="64">
        <v>1</v>
      </c>
      <c r="C248" s="65">
        <v>39.25</v>
      </c>
      <c r="D248" s="65">
        <v>60.92</v>
      </c>
      <c r="E248" s="65">
        <v>43.571301604664328</v>
      </c>
      <c r="F248" s="65">
        <v>17.348698395335674</v>
      </c>
      <c r="G248" s="65">
        <v>1.7547305785904685</v>
      </c>
      <c r="H248" s="65">
        <v>0.6822209442372259</v>
      </c>
      <c r="I248" s="65">
        <v>42.228915315308647</v>
      </c>
      <c r="J248" s="65">
        <v>44.913687894020008</v>
      </c>
      <c r="K248" s="65">
        <v>9.9103257480116334</v>
      </c>
      <c r="L248" s="65">
        <v>24.07104216590777</v>
      </c>
      <c r="M248" s="65">
        <v>63.071561043420886</v>
      </c>
    </row>
    <row r="249" spans="1:13" x14ac:dyDescent="0.35">
      <c r="A249" s="45" t="s">
        <v>502</v>
      </c>
      <c r="B249" s="64">
        <v>1</v>
      </c>
      <c r="C249" s="65">
        <v>39.25</v>
      </c>
      <c r="D249" s="65">
        <v>59.92</v>
      </c>
      <c r="E249" s="65">
        <v>43.571301604664328</v>
      </c>
      <c r="F249" s="65">
        <v>16.348698395335674</v>
      </c>
      <c r="G249" s="65">
        <v>1.6535857815224511</v>
      </c>
      <c r="H249" s="65">
        <v>0.6822209442372259</v>
      </c>
      <c r="I249" s="65">
        <v>42.228915315308647</v>
      </c>
      <c r="J249" s="65">
        <v>44.913687894020008</v>
      </c>
      <c r="K249" s="65">
        <v>9.9103257480116334</v>
      </c>
      <c r="L249" s="65">
        <v>24.07104216590777</v>
      </c>
      <c r="M249" s="65">
        <v>63.071561043420886</v>
      </c>
    </row>
    <row r="250" spans="1:13" x14ac:dyDescent="0.35">
      <c r="A250" s="45" t="s">
        <v>503</v>
      </c>
      <c r="B250" s="64">
        <v>1</v>
      </c>
      <c r="C250" s="65">
        <v>39.25</v>
      </c>
      <c r="D250" s="65">
        <v>59.34</v>
      </c>
      <c r="E250" s="65">
        <v>43.571301604664328</v>
      </c>
      <c r="F250" s="65">
        <v>15.768698395335676</v>
      </c>
      <c r="G250" s="65">
        <v>1.5949217992230011</v>
      </c>
      <c r="H250" s="65">
        <v>0.6822209442372259</v>
      </c>
      <c r="I250" s="65">
        <v>42.228915315308647</v>
      </c>
      <c r="J250" s="65">
        <v>44.913687894020008</v>
      </c>
      <c r="K250" s="65">
        <v>9.9103257480116334</v>
      </c>
      <c r="L250" s="65">
        <v>24.07104216590777</v>
      </c>
      <c r="M250" s="65">
        <v>63.071561043420886</v>
      </c>
    </row>
    <row r="251" spans="1:13" x14ac:dyDescent="0.35">
      <c r="A251" s="45" t="s">
        <v>504</v>
      </c>
      <c r="B251" s="64">
        <v>1</v>
      </c>
      <c r="C251" s="65">
        <v>39.25</v>
      </c>
      <c r="D251" s="65">
        <v>57.92</v>
      </c>
      <c r="E251" s="65">
        <v>43.571301604664328</v>
      </c>
      <c r="F251" s="65">
        <v>14.348698395335674</v>
      </c>
      <c r="G251" s="65">
        <v>1.4512961873864159</v>
      </c>
      <c r="H251" s="65">
        <v>0.6822209442372259</v>
      </c>
      <c r="I251" s="65">
        <v>42.228915315308647</v>
      </c>
      <c r="J251" s="65">
        <v>44.913687894020008</v>
      </c>
      <c r="K251" s="65">
        <v>9.9103257480116334</v>
      </c>
      <c r="L251" s="65">
        <v>24.07104216590777</v>
      </c>
      <c r="M251" s="65">
        <v>63.071561043420886</v>
      </c>
    </row>
    <row r="252" spans="1:13" x14ac:dyDescent="0.35">
      <c r="A252" s="45" t="s">
        <v>505</v>
      </c>
      <c r="B252" s="64">
        <v>1</v>
      </c>
      <c r="C252" s="65">
        <v>49.75</v>
      </c>
      <c r="D252" s="65">
        <v>47.42</v>
      </c>
      <c r="E252" s="65">
        <v>52.120287787456789</v>
      </c>
      <c r="F252" s="65">
        <v>-4.7002877874567872</v>
      </c>
      <c r="G252" s="65">
        <v>-0.475409654423598</v>
      </c>
      <c r="H252" s="65">
        <v>0.9423038243594446</v>
      </c>
      <c r="I252" s="65">
        <v>50.266143987105082</v>
      </c>
      <c r="J252" s="65">
        <v>53.974431587808496</v>
      </c>
      <c r="K252" s="65">
        <v>9.9316195815359762</v>
      </c>
      <c r="L252" s="65">
        <v>32.578129092436768</v>
      </c>
      <c r="M252" s="65">
        <v>71.66244648247681</v>
      </c>
    </row>
    <row r="253" spans="1:13" x14ac:dyDescent="0.35">
      <c r="A253" s="45" t="s">
        <v>506</v>
      </c>
      <c r="B253" s="64">
        <v>1</v>
      </c>
      <c r="C253" s="65">
        <v>49.75</v>
      </c>
      <c r="D253" s="65">
        <v>48.42</v>
      </c>
      <c r="E253" s="65">
        <v>52.120287787456789</v>
      </c>
      <c r="F253" s="65">
        <v>-3.7002877874567872</v>
      </c>
      <c r="G253" s="65">
        <v>-0.3742648573555804</v>
      </c>
      <c r="H253" s="65">
        <v>0.9423038243594446</v>
      </c>
      <c r="I253" s="65">
        <v>50.266143987105082</v>
      </c>
      <c r="J253" s="65">
        <v>53.974431587808496</v>
      </c>
      <c r="K253" s="65">
        <v>9.9316195815359762</v>
      </c>
      <c r="L253" s="65">
        <v>32.578129092436768</v>
      </c>
      <c r="M253" s="65">
        <v>71.66244648247681</v>
      </c>
    </row>
    <row r="254" spans="1:13" x14ac:dyDescent="0.35">
      <c r="A254" s="45" t="s">
        <v>507</v>
      </c>
      <c r="B254" s="64">
        <v>1</v>
      </c>
      <c r="C254" s="65">
        <v>49.75</v>
      </c>
      <c r="D254" s="65">
        <v>48.42</v>
      </c>
      <c r="E254" s="65">
        <v>52.120287787456789</v>
      </c>
      <c r="F254" s="65">
        <v>-3.7002877874567872</v>
      </c>
      <c r="G254" s="65">
        <v>-0.3742648573555804</v>
      </c>
      <c r="H254" s="65">
        <v>0.9423038243594446</v>
      </c>
      <c r="I254" s="65">
        <v>50.266143987105082</v>
      </c>
      <c r="J254" s="65">
        <v>53.974431587808496</v>
      </c>
      <c r="K254" s="65">
        <v>9.9316195815359762</v>
      </c>
      <c r="L254" s="65">
        <v>32.578129092436768</v>
      </c>
      <c r="M254" s="65">
        <v>71.66244648247681</v>
      </c>
    </row>
    <row r="255" spans="1:13" x14ac:dyDescent="0.35">
      <c r="A255" s="45" t="s">
        <v>508</v>
      </c>
      <c r="B255" s="64">
        <v>1</v>
      </c>
      <c r="C255" s="65">
        <v>49.75</v>
      </c>
      <c r="D255" s="65">
        <v>48.42</v>
      </c>
      <c r="E255" s="65">
        <v>52.120287787456789</v>
      </c>
      <c r="F255" s="65">
        <v>-3.7002877874567872</v>
      </c>
      <c r="G255" s="65">
        <v>-0.3742648573555804</v>
      </c>
      <c r="H255" s="65">
        <v>0.9423038243594446</v>
      </c>
      <c r="I255" s="65">
        <v>50.266143987105082</v>
      </c>
      <c r="J255" s="65">
        <v>53.974431587808496</v>
      </c>
      <c r="K255" s="65">
        <v>9.9316195815359762</v>
      </c>
      <c r="L255" s="65">
        <v>32.578129092436768</v>
      </c>
      <c r="M255" s="65">
        <v>71.66244648247681</v>
      </c>
    </row>
    <row r="256" spans="1:13" x14ac:dyDescent="0.35">
      <c r="A256" s="45" t="s">
        <v>509</v>
      </c>
      <c r="B256" s="64">
        <v>1</v>
      </c>
      <c r="C256" s="65">
        <v>53.42</v>
      </c>
      <c r="D256" s="65">
        <v>45.09</v>
      </c>
      <c r="E256" s="65">
        <v>55.108362005632827</v>
      </c>
      <c r="F256" s="65">
        <v>-10.018362005632824</v>
      </c>
      <c r="G256" s="65">
        <v>-1.0133051920136693</v>
      </c>
      <c r="H256" s="65">
        <v>1.0486733901493175</v>
      </c>
      <c r="I256" s="65">
        <v>53.044917907588427</v>
      </c>
      <c r="J256" s="65">
        <v>57.171806103677227</v>
      </c>
      <c r="K256" s="65">
        <v>9.9422757401992055</v>
      </c>
      <c r="L256" s="65">
        <v>35.545235497461434</v>
      </c>
      <c r="M256" s="65">
        <v>74.671488513804221</v>
      </c>
    </row>
    <row r="257" spans="1:13" x14ac:dyDescent="0.35">
      <c r="A257" s="45" t="s">
        <v>510</v>
      </c>
      <c r="B257" s="64">
        <v>1</v>
      </c>
      <c r="C257" s="65">
        <v>13.42</v>
      </c>
      <c r="D257" s="65">
        <v>22.09</v>
      </c>
      <c r="E257" s="65">
        <v>22.540795594994847</v>
      </c>
      <c r="F257" s="65">
        <v>-0.45079559499484745</v>
      </c>
      <c r="G257" s="65">
        <v>-4.5595628974910075E-2</v>
      </c>
      <c r="H257" s="65">
        <v>0.7633841371719462</v>
      </c>
      <c r="I257" s="65">
        <v>21.038706853938987</v>
      </c>
      <c r="J257" s="65">
        <v>24.042884336050708</v>
      </c>
      <c r="K257" s="65">
        <v>9.9162435607356958</v>
      </c>
      <c r="L257" s="65">
        <v>3.0288918484361638</v>
      </c>
      <c r="M257" s="65">
        <v>42.052699341553534</v>
      </c>
    </row>
    <row r="258" spans="1:13" x14ac:dyDescent="0.35">
      <c r="A258" s="45" t="s">
        <v>511</v>
      </c>
      <c r="B258" s="64">
        <v>1</v>
      </c>
      <c r="C258" s="65">
        <v>6.97</v>
      </c>
      <c r="D258" s="65">
        <v>26.64</v>
      </c>
      <c r="E258" s="65">
        <v>17.28927551127947</v>
      </c>
      <c r="F258" s="65">
        <v>9.3507244887205303</v>
      </c>
      <c r="G258" s="65">
        <v>0.94577713085058024</v>
      </c>
      <c r="H258" s="65">
        <v>0.93203822054490459</v>
      </c>
      <c r="I258" s="65">
        <v>15.455331040674233</v>
      </c>
      <c r="J258" s="65">
        <v>19.123219981884706</v>
      </c>
      <c r="K258" s="65">
        <v>9.93065084772911</v>
      </c>
      <c r="L258" s="65">
        <v>-2.2509770344331237</v>
      </c>
      <c r="M258" s="65">
        <v>36.829528056992061</v>
      </c>
    </row>
    <row r="259" spans="1:13" x14ac:dyDescent="0.35">
      <c r="A259" s="45" t="s">
        <v>512</v>
      </c>
      <c r="B259" s="64">
        <v>1</v>
      </c>
      <c r="C259" s="65">
        <v>6.97</v>
      </c>
      <c r="D259" s="65">
        <v>26.64</v>
      </c>
      <c r="E259" s="65">
        <v>17.28927551127947</v>
      </c>
      <c r="F259" s="65">
        <v>9.3507244887205303</v>
      </c>
      <c r="G259" s="65">
        <v>0.94577713085058024</v>
      </c>
      <c r="H259" s="65">
        <v>0.93203822054490459</v>
      </c>
      <c r="I259" s="65">
        <v>15.455331040674233</v>
      </c>
      <c r="J259" s="65">
        <v>19.123219981884706</v>
      </c>
      <c r="K259" s="65">
        <v>9.93065084772911</v>
      </c>
      <c r="L259" s="65">
        <v>-2.2509770344331237</v>
      </c>
      <c r="M259" s="65">
        <v>36.829528056992061</v>
      </c>
    </row>
    <row r="260" spans="1:13" x14ac:dyDescent="0.35">
      <c r="A260" s="45" t="s">
        <v>513</v>
      </c>
      <c r="B260" s="64">
        <v>1</v>
      </c>
      <c r="C260" s="65">
        <v>6.97</v>
      </c>
      <c r="D260" s="65">
        <v>26.64</v>
      </c>
      <c r="E260" s="65">
        <v>17.28927551127947</v>
      </c>
      <c r="F260" s="65">
        <v>9.3507244887205303</v>
      </c>
      <c r="G260" s="65">
        <v>0.94577713085058024</v>
      </c>
      <c r="H260" s="65">
        <v>0.93203822054490459</v>
      </c>
      <c r="I260" s="65">
        <v>15.455331040674233</v>
      </c>
      <c r="J260" s="65">
        <v>19.123219981884706</v>
      </c>
      <c r="K260" s="65">
        <v>9.93065084772911</v>
      </c>
      <c r="L260" s="65">
        <v>-2.2509770344331237</v>
      </c>
      <c r="M260" s="65">
        <v>36.829528056992061</v>
      </c>
    </row>
    <row r="261" spans="1:13" x14ac:dyDescent="0.35">
      <c r="A261" s="45" t="s">
        <v>514</v>
      </c>
      <c r="B261" s="64">
        <v>1</v>
      </c>
      <c r="C261" s="65">
        <v>8.42</v>
      </c>
      <c r="D261" s="65">
        <v>22.09</v>
      </c>
      <c r="E261" s="65">
        <v>18.469849793665098</v>
      </c>
      <c r="F261" s="65">
        <v>3.6201502063349018</v>
      </c>
      <c r="G261" s="65">
        <v>0.36615935797548554</v>
      </c>
      <c r="H261" s="65">
        <v>0.8918955067875326</v>
      </c>
      <c r="I261" s="65">
        <v>16.714892972179424</v>
      </c>
      <c r="J261" s="65">
        <v>20.224806615150772</v>
      </c>
      <c r="K261" s="65">
        <v>9.9269637155564432</v>
      </c>
      <c r="L261" s="65">
        <v>-1.0631476894208802</v>
      </c>
      <c r="M261" s="65">
        <v>38.002847276751076</v>
      </c>
    </row>
    <row r="262" spans="1:13" x14ac:dyDescent="0.35">
      <c r="A262" s="45" t="s">
        <v>515</v>
      </c>
      <c r="B262" s="64">
        <v>1</v>
      </c>
      <c r="C262" s="65">
        <v>21.67</v>
      </c>
      <c r="D262" s="65">
        <v>29.34</v>
      </c>
      <c r="E262" s="65">
        <v>29.25785616718893</v>
      </c>
      <c r="F262" s="65">
        <v>8.2143832811070183E-2</v>
      </c>
      <c r="G262" s="65">
        <v>8.3084213000648565E-3</v>
      </c>
      <c r="H262" s="65">
        <v>0.60539719692712746</v>
      </c>
      <c r="I262" s="65">
        <v>28.066633728719278</v>
      </c>
      <c r="J262" s="65">
        <v>30.449078605658581</v>
      </c>
      <c r="K262" s="65">
        <v>9.905333754144463</v>
      </c>
      <c r="L262" s="65">
        <v>9.7674193294246798</v>
      </c>
      <c r="M262" s="65">
        <v>48.748293004953183</v>
      </c>
    </row>
    <row r="263" spans="1:13" x14ac:dyDescent="0.35">
      <c r="A263" s="45" t="s">
        <v>516</v>
      </c>
      <c r="B263" s="64">
        <v>1</v>
      </c>
      <c r="C263" s="65">
        <v>21.67</v>
      </c>
      <c r="D263" s="65">
        <v>29.34</v>
      </c>
      <c r="E263" s="65">
        <v>29.25785616718893</v>
      </c>
      <c r="F263" s="65">
        <v>8.2143832811070183E-2</v>
      </c>
      <c r="G263" s="65">
        <v>8.3084213000648565E-3</v>
      </c>
      <c r="H263" s="65">
        <v>0.60539719692712746</v>
      </c>
      <c r="I263" s="65">
        <v>28.066633728719278</v>
      </c>
      <c r="J263" s="65">
        <v>30.449078605658581</v>
      </c>
      <c r="K263" s="65">
        <v>9.905333754144463</v>
      </c>
      <c r="L263" s="65">
        <v>9.7674193294246798</v>
      </c>
      <c r="M263" s="65">
        <v>48.748293004953183</v>
      </c>
    </row>
    <row r="264" spans="1:13" x14ac:dyDescent="0.35">
      <c r="A264" s="45" t="s">
        <v>517</v>
      </c>
      <c r="B264" s="64">
        <v>1</v>
      </c>
      <c r="C264" s="65">
        <v>21.67</v>
      </c>
      <c r="D264" s="65">
        <v>29.34</v>
      </c>
      <c r="E264" s="65">
        <v>29.25785616718893</v>
      </c>
      <c r="F264" s="65">
        <v>8.2143832811070183E-2</v>
      </c>
      <c r="G264" s="65">
        <v>8.3084213000648565E-3</v>
      </c>
      <c r="H264" s="65">
        <v>0.60539719692712746</v>
      </c>
      <c r="I264" s="65">
        <v>28.066633728719278</v>
      </c>
      <c r="J264" s="65">
        <v>30.449078605658581</v>
      </c>
      <c r="K264" s="65">
        <v>9.905333754144463</v>
      </c>
      <c r="L264" s="65">
        <v>9.7674193294246798</v>
      </c>
      <c r="M264" s="65">
        <v>48.748293004953183</v>
      </c>
    </row>
    <row r="265" spans="1:13" x14ac:dyDescent="0.35">
      <c r="A265" s="45" t="s">
        <v>518</v>
      </c>
      <c r="B265" s="64">
        <v>1</v>
      </c>
      <c r="C265" s="65">
        <v>28.42</v>
      </c>
      <c r="D265" s="65">
        <v>37.090000000000003</v>
      </c>
      <c r="E265" s="65">
        <v>34.753632998984088</v>
      </c>
      <c r="F265" s="65">
        <v>2.3363670010159154</v>
      </c>
      <c r="G265" s="65">
        <v>0.23631136619416754</v>
      </c>
      <c r="H265" s="65">
        <v>0.56069451608633214</v>
      </c>
      <c r="I265" s="65">
        <v>33.650370724102231</v>
      </c>
      <c r="J265" s="65">
        <v>35.856895273865945</v>
      </c>
      <c r="K265" s="65">
        <v>9.9027021239314106</v>
      </c>
      <c r="L265" s="65">
        <v>15.268374343371082</v>
      </c>
      <c r="M265" s="65">
        <v>54.238891654597097</v>
      </c>
    </row>
    <row r="266" spans="1:13" x14ac:dyDescent="0.35">
      <c r="A266" s="45" t="s">
        <v>519</v>
      </c>
      <c r="B266" s="64">
        <v>1</v>
      </c>
      <c r="C266" s="65">
        <v>31.67</v>
      </c>
      <c r="D266" s="65">
        <v>34.340000000000003</v>
      </c>
      <c r="E266" s="65">
        <v>37.399747769848432</v>
      </c>
      <c r="F266" s="65">
        <v>-3.0597477698484283</v>
      </c>
      <c r="G266" s="65">
        <v>-0.30947756726063858</v>
      </c>
      <c r="H266" s="65">
        <v>0.57388196327142649</v>
      </c>
      <c r="I266" s="65">
        <v>36.270536939088295</v>
      </c>
      <c r="J266" s="65">
        <v>38.528958600608568</v>
      </c>
      <c r="K266" s="65">
        <v>9.9034575539411822</v>
      </c>
      <c r="L266" s="65">
        <v>17.913002676599277</v>
      </c>
      <c r="M266" s="65">
        <v>56.886492863097587</v>
      </c>
    </row>
    <row r="267" spans="1:13" x14ac:dyDescent="0.35">
      <c r="A267" s="45" t="s">
        <v>520</v>
      </c>
      <c r="B267" s="64">
        <v>1</v>
      </c>
      <c r="C267" s="65">
        <v>31.67</v>
      </c>
      <c r="D267" s="65">
        <v>35.340000000000003</v>
      </c>
      <c r="E267" s="65">
        <v>37.399747769848432</v>
      </c>
      <c r="F267" s="65">
        <v>-2.0597477698484283</v>
      </c>
      <c r="G267" s="65">
        <v>-0.20833277019262103</v>
      </c>
      <c r="H267" s="65">
        <v>0.57388196327142649</v>
      </c>
      <c r="I267" s="65">
        <v>36.270536939088295</v>
      </c>
      <c r="J267" s="65">
        <v>38.528958600608568</v>
      </c>
      <c r="K267" s="65">
        <v>9.9034575539411822</v>
      </c>
      <c r="L267" s="65">
        <v>17.913002676599277</v>
      </c>
      <c r="M267" s="65">
        <v>56.886492863097587</v>
      </c>
    </row>
    <row r="268" spans="1:13" x14ac:dyDescent="0.35">
      <c r="A268" s="45" t="s">
        <v>521</v>
      </c>
      <c r="B268" s="64">
        <v>1</v>
      </c>
      <c r="C268" s="65">
        <v>31.67</v>
      </c>
      <c r="D268" s="65">
        <v>29.34</v>
      </c>
      <c r="E268" s="65">
        <v>37.399747769848432</v>
      </c>
      <c r="F268" s="65">
        <v>-8.0597477698484319</v>
      </c>
      <c r="G268" s="65">
        <v>-0.81520155260072669</v>
      </c>
      <c r="H268" s="65">
        <v>0.57388196327142649</v>
      </c>
      <c r="I268" s="65">
        <v>36.270536939088295</v>
      </c>
      <c r="J268" s="65">
        <v>38.528958600608568</v>
      </c>
      <c r="K268" s="65">
        <v>9.9034575539411822</v>
      </c>
      <c r="L268" s="65">
        <v>17.913002676599277</v>
      </c>
      <c r="M268" s="65">
        <v>56.886492863097587</v>
      </c>
    </row>
    <row r="269" spans="1:13" x14ac:dyDescent="0.35">
      <c r="A269" s="45" t="s">
        <v>522</v>
      </c>
      <c r="B269" s="64">
        <v>1</v>
      </c>
      <c r="C269" s="65">
        <v>38.42</v>
      </c>
      <c r="D269" s="65">
        <v>59.09</v>
      </c>
      <c r="E269" s="65">
        <v>42.895524601643586</v>
      </c>
      <c r="F269" s="65">
        <v>16.194475398356417</v>
      </c>
      <c r="G269" s="65">
        <v>1.6379869277897625</v>
      </c>
      <c r="H269" s="65">
        <v>0.66604690146390033</v>
      </c>
      <c r="I269" s="65">
        <v>41.584963505351482</v>
      </c>
      <c r="J269" s="65">
        <v>44.206085697935691</v>
      </c>
      <c r="K269" s="65">
        <v>9.9092254737641365</v>
      </c>
      <c r="L269" s="65">
        <v>23.397430140489735</v>
      </c>
      <c r="M269" s="65">
        <v>62.393619062797441</v>
      </c>
    </row>
    <row r="270" spans="1:13" x14ac:dyDescent="0.35">
      <c r="A270" s="45" t="s">
        <v>523</v>
      </c>
      <c r="B270" s="64">
        <v>1</v>
      </c>
      <c r="C270" s="65">
        <v>41.67</v>
      </c>
      <c r="D270" s="65">
        <v>61.34</v>
      </c>
      <c r="E270" s="65">
        <v>45.541639372507916</v>
      </c>
      <c r="F270" s="65">
        <v>15.798360627492087</v>
      </c>
      <c r="G270" s="65">
        <v>1.5979219796750457</v>
      </c>
      <c r="H270" s="65">
        <v>0.73396304908970922</v>
      </c>
      <c r="I270" s="65">
        <v>44.097441649886967</v>
      </c>
      <c r="J270" s="65">
        <v>46.985837095128865</v>
      </c>
      <c r="K270" s="65">
        <v>9.9140220280356175</v>
      </c>
      <c r="L270" s="65">
        <v>26.034106871164042</v>
      </c>
      <c r="M270" s="65">
        <v>65.04917187385179</v>
      </c>
    </row>
    <row r="271" spans="1:13" x14ac:dyDescent="0.35">
      <c r="A271" s="45" t="s">
        <v>524</v>
      </c>
      <c r="B271" s="64">
        <v>1</v>
      </c>
      <c r="C271" s="65">
        <v>41.67</v>
      </c>
      <c r="D271" s="65">
        <v>60.34</v>
      </c>
      <c r="E271" s="65">
        <v>45.541639372507916</v>
      </c>
      <c r="F271" s="65">
        <v>14.798360627492087</v>
      </c>
      <c r="G271" s="65">
        <v>1.4967771826070282</v>
      </c>
      <c r="H271" s="65">
        <v>0.73396304908970922</v>
      </c>
      <c r="I271" s="65">
        <v>44.097441649886967</v>
      </c>
      <c r="J271" s="65">
        <v>46.985837095128865</v>
      </c>
      <c r="K271" s="65">
        <v>9.9140220280356175</v>
      </c>
      <c r="L271" s="65">
        <v>26.034106871164042</v>
      </c>
      <c r="M271" s="65">
        <v>65.04917187385179</v>
      </c>
    </row>
    <row r="272" spans="1:13" x14ac:dyDescent="0.35">
      <c r="A272" s="45" t="s">
        <v>525</v>
      </c>
      <c r="B272" s="64">
        <v>1</v>
      </c>
      <c r="C272" s="65">
        <v>41.67</v>
      </c>
      <c r="D272" s="65">
        <v>61.34</v>
      </c>
      <c r="E272" s="65">
        <v>45.541639372507916</v>
      </c>
      <c r="F272" s="65">
        <v>15.798360627492087</v>
      </c>
      <c r="G272" s="65">
        <v>1.5979219796750457</v>
      </c>
      <c r="H272" s="65">
        <v>0.73396304908970922</v>
      </c>
      <c r="I272" s="65">
        <v>44.097441649886967</v>
      </c>
      <c r="J272" s="65">
        <v>46.985837095128865</v>
      </c>
      <c r="K272" s="65">
        <v>9.9140220280356175</v>
      </c>
      <c r="L272" s="65">
        <v>26.034106871164042</v>
      </c>
      <c r="M272" s="65">
        <v>65.04917187385179</v>
      </c>
    </row>
    <row r="273" spans="1:13" x14ac:dyDescent="0.35">
      <c r="A273" s="45" t="s">
        <v>526</v>
      </c>
      <c r="B273" s="64">
        <v>1</v>
      </c>
      <c r="C273" s="65">
        <v>53.42</v>
      </c>
      <c r="D273" s="65">
        <v>49.09</v>
      </c>
      <c r="E273" s="65">
        <v>55.108362005632827</v>
      </c>
      <c r="F273" s="65">
        <v>-6.0183620056328238</v>
      </c>
      <c r="G273" s="65">
        <v>-0.60872600374159913</v>
      </c>
      <c r="H273" s="65">
        <v>1.0486733901493175</v>
      </c>
      <c r="I273" s="65">
        <v>53.044917907588427</v>
      </c>
      <c r="J273" s="65">
        <v>57.171806103677227</v>
      </c>
      <c r="K273" s="65">
        <v>9.9422757401992055</v>
      </c>
      <c r="L273" s="65">
        <v>35.545235497461434</v>
      </c>
      <c r="M273" s="65">
        <v>74.671488513804221</v>
      </c>
    </row>
    <row r="274" spans="1:13" x14ac:dyDescent="0.35">
      <c r="A274" s="45" t="s">
        <v>527</v>
      </c>
      <c r="B274" s="64">
        <v>1</v>
      </c>
      <c r="C274" s="65">
        <v>13.42</v>
      </c>
      <c r="D274" s="65">
        <v>11.59</v>
      </c>
      <c r="E274" s="65">
        <v>22.540795594994847</v>
      </c>
      <c r="F274" s="65">
        <v>-10.950795594994847</v>
      </c>
      <c r="G274" s="65">
        <v>-1.1076159981890945</v>
      </c>
      <c r="H274" s="65">
        <v>0.7633841371719462</v>
      </c>
      <c r="I274" s="65">
        <v>21.038706853938987</v>
      </c>
      <c r="J274" s="65">
        <v>24.042884336050708</v>
      </c>
      <c r="K274" s="65">
        <v>9.9162435607356958</v>
      </c>
      <c r="L274" s="65">
        <v>3.0288918484361638</v>
      </c>
      <c r="M274" s="65">
        <v>42.052699341553534</v>
      </c>
    </row>
    <row r="275" spans="1:13" x14ac:dyDescent="0.35">
      <c r="A275" s="45" t="s">
        <v>528</v>
      </c>
      <c r="B275" s="64">
        <v>1</v>
      </c>
      <c r="C275" s="65">
        <v>13.42</v>
      </c>
      <c r="D275" s="65">
        <v>14.09</v>
      </c>
      <c r="E275" s="65">
        <v>22.540795594994847</v>
      </c>
      <c r="F275" s="65">
        <v>-8.4507955949948474</v>
      </c>
      <c r="G275" s="65">
        <v>-0.85475400551905056</v>
      </c>
      <c r="H275" s="65">
        <v>0.7633841371719462</v>
      </c>
      <c r="I275" s="65">
        <v>21.038706853938987</v>
      </c>
      <c r="J275" s="65">
        <v>24.042884336050708</v>
      </c>
      <c r="K275" s="65">
        <v>9.9162435607356958</v>
      </c>
      <c r="L275" s="65">
        <v>3.0288918484361638</v>
      </c>
      <c r="M275" s="65">
        <v>42.052699341553534</v>
      </c>
    </row>
    <row r="276" spans="1:13" x14ac:dyDescent="0.35">
      <c r="A276" s="45" t="s">
        <v>529</v>
      </c>
      <c r="B276" s="64">
        <v>1</v>
      </c>
      <c r="C276" s="65">
        <v>10.83</v>
      </c>
      <c r="D276" s="65">
        <v>26.5</v>
      </c>
      <c r="E276" s="65">
        <v>20.432045669906039</v>
      </c>
      <c r="F276" s="65">
        <v>6.0679543300939613</v>
      </c>
      <c r="G276" s="65">
        <v>0.61374200933535217</v>
      </c>
      <c r="H276" s="65">
        <v>0.82779919031235105</v>
      </c>
      <c r="I276" s="65">
        <v>18.803209304207144</v>
      </c>
      <c r="J276" s="65">
        <v>22.060882035604934</v>
      </c>
      <c r="K276" s="65">
        <v>9.9214103087428143</v>
      </c>
      <c r="L276" s="65">
        <v>0.90997546372177496</v>
      </c>
      <c r="M276" s="65">
        <v>39.954115876090299</v>
      </c>
    </row>
    <row r="277" spans="1:13" x14ac:dyDescent="0.35">
      <c r="A277" s="45" t="s">
        <v>530</v>
      </c>
      <c r="B277" s="64">
        <v>1</v>
      </c>
      <c r="C277" s="65">
        <v>10.83</v>
      </c>
      <c r="D277" s="65">
        <v>24.5</v>
      </c>
      <c r="E277" s="65">
        <v>20.432045669906039</v>
      </c>
      <c r="F277" s="65">
        <v>4.0679543300939613</v>
      </c>
      <c r="G277" s="65">
        <v>0.41145241519931702</v>
      </c>
      <c r="H277" s="65">
        <v>0.82779919031235105</v>
      </c>
      <c r="I277" s="65">
        <v>18.803209304207144</v>
      </c>
      <c r="J277" s="65">
        <v>22.060882035604934</v>
      </c>
      <c r="K277" s="65">
        <v>9.9214103087428143</v>
      </c>
      <c r="L277" s="65">
        <v>0.90997546372177496</v>
      </c>
      <c r="M277" s="65">
        <v>39.954115876090299</v>
      </c>
    </row>
    <row r="278" spans="1:13" x14ac:dyDescent="0.35">
      <c r="A278" s="45" t="s">
        <v>531</v>
      </c>
      <c r="B278" s="64">
        <v>1</v>
      </c>
      <c r="C278" s="65">
        <v>10.83</v>
      </c>
      <c r="D278" s="65">
        <v>33.92</v>
      </c>
      <c r="E278" s="65">
        <v>20.432045669906039</v>
      </c>
      <c r="F278" s="65">
        <v>13.487954330093963</v>
      </c>
      <c r="G278" s="65">
        <v>1.3642364035800425</v>
      </c>
      <c r="H278" s="65">
        <v>0.82779919031235105</v>
      </c>
      <c r="I278" s="65">
        <v>18.803209304207144</v>
      </c>
      <c r="J278" s="65">
        <v>22.060882035604934</v>
      </c>
      <c r="K278" s="65">
        <v>9.9214103087428143</v>
      </c>
      <c r="L278" s="65">
        <v>0.90997546372177496</v>
      </c>
      <c r="M278" s="65">
        <v>39.954115876090299</v>
      </c>
    </row>
    <row r="279" spans="1:13" x14ac:dyDescent="0.35">
      <c r="A279" s="45" t="s">
        <v>532</v>
      </c>
      <c r="B279" s="64">
        <v>1</v>
      </c>
      <c r="C279" s="65">
        <v>10.83</v>
      </c>
      <c r="D279" s="65">
        <v>32.92</v>
      </c>
      <c r="E279" s="65">
        <v>20.432045669906039</v>
      </c>
      <c r="F279" s="65">
        <v>12.487954330093963</v>
      </c>
      <c r="G279" s="65">
        <v>1.263091606512025</v>
      </c>
      <c r="H279" s="65">
        <v>0.82779919031235105</v>
      </c>
      <c r="I279" s="65">
        <v>18.803209304207144</v>
      </c>
      <c r="J279" s="65">
        <v>22.060882035604934</v>
      </c>
      <c r="K279" s="65">
        <v>9.9214103087428143</v>
      </c>
      <c r="L279" s="65">
        <v>0.90997546372177496</v>
      </c>
      <c r="M279" s="65">
        <v>39.954115876090299</v>
      </c>
    </row>
    <row r="280" spans="1:13" x14ac:dyDescent="0.35">
      <c r="A280" s="45" t="s">
        <v>533</v>
      </c>
      <c r="B280" s="64">
        <v>1</v>
      </c>
      <c r="C280" s="65">
        <v>10.83</v>
      </c>
      <c r="D280" s="65">
        <v>16.09</v>
      </c>
      <c r="E280" s="65">
        <v>20.432045669906039</v>
      </c>
      <c r="F280" s="65">
        <v>-4.3420456699060388</v>
      </c>
      <c r="G280" s="65">
        <v>-0.43917532814271065</v>
      </c>
      <c r="H280" s="65">
        <v>0.82779919031235105</v>
      </c>
      <c r="I280" s="65">
        <v>18.803209304207144</v>
      </c>
      <c r="J280" s="65">
        <v>22.060882035604934</v>
      </c>
      <c r="K280" s="65">
        <v>9.9214103087428143</v>
      </c>
      <c r="L280" s="65">
        <v>0.90997546372177496</v>
      </c>
      <c r="M280" s="65">
        <v>39.954115876090299</v>
      </c>
    </row>
    <row r="281" spans="1:13" x14ac:dyDescent="0.35">
      <c r="A281" s="45" t="s">
        <v>534</v>
      </c>
      <c r="B281" s="64">
        <v>1</v>
      </c>
      <c r="C281" s="65">
        <v>15.42</v>
      </c>
      <c r="D281" s="65">
        <v>18.510000000000002</v>
      </c>
      <c r="E281" s="65">
        <v>24.169173915526745</v>
      </c>
      <c r="F281" s="65">
        <v>-5.6591739155267433</v>
      </c>
      <c r="G281" s="65">
        <v>-0.57239599725857082</v>
      </c>
      <c r="H281" s="65">
        <v>0.7175815596743873</v>
      </c>
      <c r="I281" s="65">
        <v>22.757209572687092</v>
      </c>
      <c r="J281" s="65">
        <v>25.581138258366398</v>
      </c>
      <c r="K281" s="65">
        <v>9.9128227215930345</v>
      </c>
      <c r="L281" s="65">
        <v>4.6640012545525629</v>
      </c>
      <c r="M281" s="65">
        <v>43.674346576500923</v>
      </c>
    </row>
    <row r="282" spans="1:13" x14ac:dyDescent="0.35">
      <c r="A282" s="45" t="s">
        <v>535</v>
      </c>
      <c r="B282" s="64">
        <v>1</v>
      </c>
      <c r="C282" s="65">
        <v>15.42</v>
      </c>
      <c r="D282" s="65">
        <v>28.09</v>
      </c>
      <c r="E282" s="65">
        <v>24.169173915526745</v>
      </c>
      <c r="F282" s="65">
        <v>3.920826084473255</v>
      </c>
      <c r="G282" s="65">
        <v>0.39657115865303727</v>
      </c>
      <c r="H282" s="65">
        <v>0.7175815596743873</v>
      </c>
      <c r="I282" s="65">
        <v>22.757209572687092</v>
      </c>
      <c r="J282" s="65">
        <v>25.581138258366398</v>
      </c>
      <c r="K282" s="65">
        <v>9.9128227215930345</v>
      </c>
      <c r="L282" s="65">
        <v>4.6640012545525629</v>
      </c>
      <c r="M282" s="65">
        <v>43.674346576500923</v>
      </c>
    </row>
    <row r="283" spans="1:13" x14ac:dyDescent="0.35">
      <c r="A283" s="45" t="s">
        <v>536</v>
      </c>
      <c r="B283" s="64">
        <v>1</v>
      </c>
      <c r="C283" s="65">
        <v>15.42</v>
      </c>
      <c r="D283" s="65">
        <v>29.09</v>
      </c>
      <c r="E283" s="65">
        <v>24.169173915526745</v>
      </c>
      <c r="F283" s="65">
        <v>4.920826084473255</v>
      </c>
      <c r="G283" s="65">
        <v>0.49771595572105481</v>
      </c>
      <c r="H283" s="65">
        <v>0.7175815596743873</v>
      </c>
      <c r="I283" s="65">
        <v>22.757209572687092</v>
      </c>
      <c r="J283" s="65">
        <v>25.581138258366398</v>
      </c>
      <c r="K283" s="65">
        <v>9.9128227215930345</v>
      </c>
      <c r="L283" s="65">
        <v>4.6640012545525629</v>
      </c>
      <c r="M283" s="65">
        <v>43.674346576500923</v>
      </c>
    </row>
    <row r="284" spans="1:13" x14ac:dyDescent="0.35">
      <c r="A284" s="45" t="s">
        <v>537</v>
      </c>
      <c r="B284" s="64">
        <v>1</v>
      </c>
      <c r="C284" s="65">
        <v>15.42</v>
      </c>
      <c r="D284" s="65">
        <v>29.09</v>
      </c>
      <c r="E284" s="65">
        <v>24.169173915526745</v>
      </c>
      <c r="F284" s="65">
        <v>4.920826084473255</v>
      </c>
      <c r="G284" s="65">
        <v>0.49771595572105481</v>
      </c>
      <c r="H284" s="65">
        <v>0.7175815596743873</v>
      </c>
      <c r="I284" s="65">
        <v>22.757209572687092</v>
      </c>
      <c r="J284" s="65">
        <v>25.581138258366398</v>
      </c>
      <c r="K284" s="65">
        <v>9.9128227215930345</v>
      </c>
      <c r="L284" s="65">
        <v>4.6640012545525629</v>
      </c>
      <c r="M284" s="65">
        <v>43.674346576500923</v>
      </c>
    </row>
    <row r="285" spans="1:13" x14ac:dyDescent="0.35">
      <c r="A285" s="45" t="s">
        <v>538</v>
      </c>
      <c r="B285" s="64">
        <v>1</v>
      </c>
      <c r="C285" s="65">
        <v>9.42</v>
      </c>
      <c r="D285" s="65">
        <v>14.09</v>
      </c>
      <c r="E285" s="65">
        <v>19.284038953931049</v>
      </c>
      <c r="F285" s="65">
        <v>-5.1940389539310488</v>
      </c>
      <c r="G285" s="65">
        <v>-0.5253500159587341</v>
      </c>
      <c r="H285" s="65">
        <v>0.86487144364962598</v>
      </c>
      <c r="I285" s="65">
        <v>17.582256594685855</v>
      </c>
      <c r="J285" s="65">
        <v>20.985821313176242</v>
      </c>
      <c r="K285" s="65">
        <v>9.9245722139035788</v>
      </c>
      <c r="L285" s="65">
        <v>-0.24425284098030886</v>
      </c>
      <c r="M285" s="65">
        <v>38.812330748842406</v>
      </c>
    </row>
    <row r="286" spans="1:13" x14ac:dyDescent="0.35">
      <c r="A286" s="45" t="s">
        <v>539</v>
      </c>
      <c r="B286" s="64">
        <v>1</v>
      </c>
      <c r="C286" s="65">
        <v>9.42</v>
      </c>
      <c r="D286" s="65">
        <v>14.09</v>
      </c>
      <c r="E286" s="65">
        <v>19.284038953931049</v>
      </c>
      <c r="F286" s="65">
        <v>-5.1940389539310488</v>
      </c>
      <c r="G286" s="65">
        <v>-0.5253500159587341</v>
      </c>
      <c r="H286" s="65">
        <v>0.86487144364962598</v>
      </c>
      <c r="I286" s="65">
        <v>17.582256594685855</v>
      </c>
      <c r="J286" s="65">
        <v>20.985821313176242</v>
      </c>
      <c r="K286" s="65">
        <v>9.9245722139035788</v>
      </c>
      <c r="L286" s="65">
        <v>-0.24425284098030886</v>
      </c>
      <c r="M286" s="65">
        <v>38.812330748842406</v>
      </c>
    </row>
    <row r="287" spans="1:13" x14ac:dyDescent="0.35">
      <c r="A287" s="45" t="s">
        <v>540</v>
      </c>
      <c r="B287" s="64">
        <v>1</v>
      </c>
      <c r="C287" s="65">
        <v>9.42</v>
      </c>
      <c r="D287" s="65">
        <v>14.09</v>
      </c>
      <c r="E287" s="65">
        <v>19.284038953931049</v>
      </c>
      <c r="F287" s="65">
        <v>-5.1940389539310488</v>
      </c>
      <c r="G287" s="65">
        <v>-0.5253500159587341</v>
      </c>
      <c r="H287" s="65">
        <v>0.86487144364962598</v>
      </c>
      <c r="I287" s="65">
        <v>17.582256594685855</v>
      </c>
      <c r="J287" s="65">
        <v>20.985821313176242</v>
      </c>
      <c r="K287" s="65">
        <v>9.9245722139035788</v>
      </c>
      <c r="L287" s="65">
        <v>-0.24425284098030886</v>
      </c>
      <c r="M287" s="65">
        <v>38.812330748842406</v>
      </c>
    </row>
    <row r="288" spans="1:13" x14ac:dyDescent="0.35">
      <c r="A288" s="45" t="s">
        <v>541</v>
      </c>
      <c r="B288" s="64">
        <v>1</v>
      </c>
      <c r="C288" s="65">
        <v>9.42</v>
      </c>
      <c r="D288" s="65">
        <v>14.09</v>
      </c>
      <c r="E288" s="65">
        <v>19.284038953931049</v>
      </c>
      <c r="F288" s="65">
        <v>-5.1940389539310488</v>
      </c>
      <c r="G288" s="65">
        <v>-0.5253500159587341</v>
      </c>
      <c r="H288" s="65">
        <v>0.86487144364962598</v>
      </c>
      <c r="I288" s="65">
        <v>17.582256594685855</v>
      </c>
      <c r="J288" s="65">
        <v>20.985821313176242</v>
      </c>
      <c r="K288" s="65">
        <v>9.9245722139035788</v>
      </c>
      <c r="L288" s="65">
        <v>-0.24425284098030886</v>
      </c>
      <c r="M288" s="65">
        <v>38.812330748842406</v>
      </c>
    </row>
    <row r="289" spans="1:13" x14ac:dyDescent="0.35">
      <c r="A289" s="45" t="s">
        <v>542</v>
      </c>
      <c r="B289" s="64">
        <v>1</v>
      </c>
      <c r="C289" s="65">
        <v>9.42</v>
      </c>
      <c r="D289" s="65">
        <v>14.09</v>
      </c>
      <c r="E289" s="65">
        <v>19.284038953931049</v>
      </c>
      <c r="F289" s="65">
        <v>-5.1940389539310488</v>
      </c>
      <c r="G289" s="65">
        <v>-0.5253500159587341</v>
      </c>
      <c r="H289" s="65">
        <v>0.86487144364962598</v>
      </c>
      <c r="I289" s="65">
        <v>17.582256594685855</v>
      </c>
      <c r="J289" s="65">
        <v>20.985821313176242</v>
      </c>
      <c r="K289" s="65">
        <v>9.9245722139035788</v>
      </c>
      <c r="L289" s="65">
        <v>-0.24425284098030886</v>
      </c>
      <c r="M289" s="65">
        <v>38.812330748842406</v>
      </c>
    </row>
    <row r="290" spans="1:13" x14ac:dyDescent="0.35">
      <c r="A290" s="45" t="s">
        <v>543</v>
      </c>
      <c r="B290" s="64">
        <v>1</v>
      </c>
      <c r="C290" s="65">
        <v>10.58</v>
      </c>
      <c r="D290" s="65">
        <v>23.25</v>
      </c>
      <c r="E290" s="65">
        <v>20.22849837983955</v>
      </c>
      <c r="F290" s="65">
        <v>3.0215016201604499</v>
      </c>
      <c r="G290" s="65">
        <v>0.305609168211815</v>
      </c>
      <c r="H290" s="65">
        <v>0.83427820311147005</v>
      </c>
      <c r="I290" s="65">
        <v>18.58691344928998</v>
      </c>
      <c r="J290" s="65">
        <v>21.87008331038912</v>
      </c>
      <c r="K290" s="65">
        <v>9.9219529899679184</v>
      </c>
      <c r="L290" s="65">
        <v>0.70536035560861876</v>
      </c>
      <c r="M290" s="65">
        <v>39.751636404070481</v>
      </c>
    </row>
    <row r="291" spans="1:13" x14ac:dyDescent="0.35">
      <c r="A291" s="45" t="s">
        <v>544</v>
      </c>
      <c r="B291" s="64">
        <v>1</v>
      </c>
      <c r="C291" s="65">
        <v>10.58</v>
      </c>
      <c r="D291" s="65">
        <v>23.25</v>
      </c>
      <c r="E291" s="65">
        <v>20.22849837983955</v>
      </c>
      <c r="F291" s="65">
        <v>3.0215016201604499</v>
      </c>
      <c r="G291" s="65">
        <v>0.305609168211815</v>
      </c>
      <c r="H291" s="65">
        <v>0.83427820311147005</v>
      </c>
      <c r="I291" s="65">
        <v>18.58691344928998</v>
      </c>
      <c r="J291" s="65">
        <v>21.87008331038912</v>
      </c>
      <c r="K291" s="65">
        <v>9.9219529899679184</v>
      </c>
      <c r="L291" s="65">
        <v>0.70536035560861876</v>
      </c>
      <c r="M291" s="65">
        <v>39.751636404070481</v>
      </c>
    </row>
    <row r="292" spans="1:13" x14ac:dyDescent="0.35">
      <c r="A292" s="45" t="s">
        <v>545</v>
      </c>
      <c r="B292" s="64">
        <v>1</v>
      </c>
      <c r="C292" s="65">
        <v>10.55</v>
      </c>
      <c r="D292" s="65">
        <v>23.25</v>
      </c>
      <c r="E292" s="65">
        <v>20.204072705031571</v>
      </c>
      <c r="F292" s="65">
        <v>3.0459272949684291</v>
      </c>
      <c r="G292" s="65">
        <v>0.30807969813351743</v>
      </c>
      <c r="H292" s="65">
        <v>0.83505850620471556</v>
      </c>
      <c r="I292" s="65">
        <v>18.560952394803667</v>
      </c>
      <c r="J292" s="65">
        <v>21.847193015259474</v>
      </c>
      <c r="K292" s="65">
        <v>9.9220186314948666</v>
      </c>
      <c r="L292" s="65">
        <v>0.68080551987919335</v>
      </c>
      <c r="M292" s="65">
        <v>39.727339890183949</v>
      </c>
    </row>
    <row r="293" spans="1:13" x14ac:dyDescent="0.35">
      <c r="A293" s="45" t="s">
        <v>546</v>
      </c>
      <c r="B293" s="64">
        <v>1</v>
      </c>
      <c r="C293" s="65">
        <v>10.58</v>
      </c>
      <c r="D293" s="65">
        <v>23.25</v>
      </c>
      <c r="E293" s="65">
        <v>20.22849837983955</v>
      </c>
      <c r="F293" s="65">
        <v>3.0215016201604499</v>
      </c>
      <c r="G293" s="65">
        <v>0.305609168211815</v>
      </c>
      <c r="H293" s="65">
        <v>0.83427820311147005</v>
      </c>
      <c r="I293" s="65">
        <v>18.58691344928998</v>
      </c>
      <c r="J293" s="65">
        <v>21.87008331038912</v>
      </c>
      <c r="K293" s="65">
        <v>9.9219529899679184</v>
      </c>
      <c r="L293" s="65">
        <v>0.70536035560861876</v>
      </c>
      <c r="M293" s="65">
        <v>39.751636404070481</v>
      </c>
    </row>
    <row r="294" spans="1:13" x14ac:dyDescent="0.35">
      <c r="A294" s="45" t="s">
        <v>547</v>
      </c>
      <c r="B294" s="64">
        <v>1</v>
      </c>
      <c r="C294" s="65">
        <v>10.58</v>
      </c>
      <c r="D294" s="65">
        <v>23.25</v>
      </c>
      <c r="E294" s="65">
        <v>20.22849837983955</v>
      </c>
      <c r="F294" s="65">
        <v>3.0215016201604499</v>
      </c>
      <c r="G294" s="65">
        <v>0.305609168211815</v>
      </c>
      <c r="H294" s="65">
        <v>0.83427820311147005</v>
      </c>
      <c r="I294" s="65">
        <v>18.58691344928998</v>
      </c>
      <c r="J294" s="65">
        <v>21.87008331038912</v>
      </c>
      <c r="K294" s="65">
        <v>9.9219529899679184</v>
      </c>
      <c r="L294" s="65">
        <v>0.70536035560861876</v>
      </c>
      <c r="M294" s="65">
        <v>39.751636404070481</v>
      </c>
    </row>
    <row r="295" spans="1:13" x14ac:dyDescent="0.35">
      <c r="A295" s="45" t="s">
        <v>548</v>
      </c>
      <c r="B295" s="64">
        <v>1</v>
      </c>
      <c r="C295" s="65">
        <v>10.55</v>
      </c>
      <c r="D295" s="65">
        <v>26.25</v>
      </c>
      <c r="E295" s="65">
        <v>20.204072705031571</v>
      </c>
      <c r="F295" s="65">
        <v>6.0459272949684291</v>
      </c>
      <c r="G295" s="65">
        <v>0.61151408933757012</v>
      </c>
      <c r="H295" s="65">
        <v>0.83505850620471556</v>
      </c>
      <c r="I295" s="65">
        <v>18.560952394803667</v>
      </c>
      <c r="J295" s="65">
        <v>21.847193015259474</v>
      </c>
      <c r="K295" s="65">
        <v>9.9220186314948666</v>
      </c>
      <c r="L295" s="65">
        <v>0.68080551987919335</v>
      </c>
      <c r="M295" s="65">
        <v>39.727339890183949</v>
      </c>
    </row>
    <row r="296" spans="1:13" x14ac:dyDescent="0.35">
      <c r="A296" s="45" t="s">
        <v>549</v>
      </c>
      <c r="B296" s="64">
        <v>1</v>
      </c>
      <c r="C296" s="65">
        <v>20.55</v>
      </c>
      <c r="D296" s="65">
        <v>29.25</v>
      </c>
      <c r="E296" s="65">
        <v>28.345964307691066</v>
      </c>
      <c r="F296" s="65">
        <v>0.9040356923089341</v>
      </c>
      <c r="G296" s="65">
        <v>9.1438506640831904E-2</v>
      </c>
      <c r="H296" s="65">
        <v>0.62130505685765225</v>
      </c>
      <c r="I296" s="65">
        <v>27.123440436387799</v>
      </c>
      <c r="J296" s="65">
        <v>29.568488178994333</v>
      </c>
      <c r="K296" s="65">
        <v>9.9063187405122033</v>
      </c>
      <c r="L296" s="65">
        <v>8.85358934092854</v>
      </c>
      <c r="M296" s="65">
        <v>47.838339274453588</v>
      </c>
    </row>
    <row r="297" spans="1:13" x14ac:dyDescent="0.35">
      <c r="A297" s="45" t="s">
        <v>550</v>
      </c>
      <c r="B297" s="64">
        <v>1</v>
      </c>
      <c r="C297" s="65">
        <v>20.55</v>
      </c>
      <c r="D297" s="65">
        <v>31.25</v>
      </c>
      <c r="E297" s="65">
        <v>28.345964307691066</v>
      </c>
      <c r="F297" s="65">
        <v>2.9040356923089341</v>
      </c>
      <c r="G297" s="65">
        <v>0.29372810077686701</v>
      </c>
      <c r="H297" s="65">
        <v>0.62130505685765225</v>
      </c>
      <c r="I297" s="65">
        <v>27.123440436387799</v>
      </c>
      <c r="J297" s="65">
        <v>29.568488178994333</v>
      </c>
      <c r="K297" s="65">
        <v>9.9063187405122033</v>
      </c>
      <c r="L297" s="65">
        <v>8.85358934092854</v>
      </c>
      <c r="M297" s="65">
        <v>47.838339274453588</v>
      </c>
    </row>
    <row r="298" spans="1:13" x14ac:dyDescent="0.35">
      <c r="A298" s="45" t="s">
        <v>551</v>
      </c>
      <c r="B298" s="64">
        <v>1</v>
      </c>
      <c r="C298" s="65">
        <v>20.58</v>
      </c>
      <c r="D298" s="65">
        <v>30.25</v>
      </c>
      <c r="E298" s="65">
        <v>28.370389982499042</v>
      </c>
      <c r="F298" s="65">
        <v>1.8796100175009585</v>
      </c>
      <c r="G298" s="65">
        <v>0.19011277378714739</v>
      </c>
      <c r="H298" s="65">
        <v>0.62085180566924503</v>
      </c>
      <c r="I298" s="65">
        <v>27.148757960362957</v>
      </c>
      <c r="J298" s="65">
        <v>29.592022004635126</v>
      </c>
      <c r="K298" s="65">
        <v>9.9062903238068465</v>
      </c>
      <c r="L298" s="65">
        <v>8.8780709304603036</v>
      </c>
      <c r="M298" s="65">
        <v>47.862709034537779</v>
      </c>
    </row>
    <row r="299" spans="1:13" x14ac:dyDescent="0.35">
      <c r="A299" s="45" t="s">
        <v>552</v>
      </c>
      <c r="B299" s="64">
        <v>1</v>
      </c>
      <c r="C299" s="65">
        <v>20.55</v>
      </c>
      <c r="D299" s="65">
        <v>31.25</v>
      </c>
      <c r="E299" s="65">
        <v>28.345964307691066</v>
      </c>
      <c r="F299" s="65">
        <v>2.9040356923089341</v>
      </c>
      <c r="G299" s="65">
        <v>0.29372810077686701</v>
      </c>
      <c r="H299" s="65">
        <v>0.62130505685765225</v>
      </c>
      <c r="I299" s="65">
        <v>27.123440436387799</v>
      </c>
      <c r="J299" s="65">
        <v>29.568488178994333</v>
      </c>
      <c r="K299" s="65">
        <v>9.9063187405122033</v>
      </c>
      <c r="L299" s="65">
        <v>8.85358934092854</v>
      </c>
      <c r="M299" s="65">
        <v>47.838339274453588</v>
      </c>
    </row>
    <row r="300" spans="1:13" x14ac:dyDescent="0.35">
      <c r="A300" s="45" t="s">
        <v>553</v>
      </c>
      <c r="B300" s="64">
        <v>1</v>
      </c>
      <c r="C300" s="65">
        <v>20.58</v>
      </c>
      <c r="D300" s="65">
        <v>31.25</v>
      </c>
      <c r="E300" s="65">
        <v>28.370389982499042</v>
      </c>
      <c r="F300" s="65">
        <v>2.8796100175009585</v>
      </c>
      <c r="G300" s="65">
        <v>0.29125757085516496</v>
      </c>
      <c r="H300" s="65">
        <v>0.62085180566924503</v>
      </c>
      <c r="I300" s="65">
        <v>27.148757960362957</v>
      </c>
      <c r="J300" s="65">
        <v>29.592022004635126</v>
      </c>
      <c r="K300" s="65">
        <v>9.9062903238068465</v>
      </c>
      <c r="L300" s="65">
        <v>8.8780709304603036</v>
      </c>
      <c r="M300" s="65">
        <v>47.862709034537779</v>
      </c>
    </row>
    <row r="301" spans="1:13" x14ac:dyDescent="0.35">
      <c r="A301" s="45" t="s">
        <v>554</v>
      </c>
      <c r="B301" s="64">
        <v>1</v>
      </c>
      <c r="C301" s="65">
        <v>20.55</v>
      </c>
      <c r="D301" s="65">
        <v>32.25</v>
      </c>
      <c r="E301" s="65">
        <v>28.345964307691066</v>
      </c>
      <c r="F301" s="65">
        <v>3.9040356923089341</v>
      </c>
      <c r="G301" s="65">
        <v>0.39487289784488455</v>
      </c>
      <c r="H301" s="65">
        <v>0.62130505685765225</v>
      </c>
      <c r="I301" s="65">
        <v>27.123440436387799</v>
      </c>
      <c r="J301" s="65">
        <v>29.568488178994333</v>
      </c>
      <c r="K301" s="65">
        <v>9.9063187405122033</v>
      </c>
      <c r="L301" s="65">
        <v>8.85358934092854</v>
      </c>
      <c r="M301" s="65">
        <v>47.838339274453588</v>
      </c>
    </row>
    <row r="302" spans="1:13" x14ac:dyDescent="0.35">
      <c r="A302" s="45" t="s">
        <v>555</v>
      </c>
      <c r="B302" s="64">
        <v>1</v>
      </c>
      <c r="C302" s="65">
        <v>30.58</v>
      </c>
      <c r="D302" s="65">
        <v>31.25</v>
      </c>
      <c r="E302" s="65">
        <v>36.51228158515854</v>
      </c>
      <c r="F302" s="65">
        <v>-5.2622815851585401</v>
      </c>
      <c r="G302" s="65">
        <v>-0.53225240304562627</v>
      </c>
      <c r="H302" s="65">
        <v>0.56693942970865308</v>
      </c>
      <c r="I302" s="65">
        <v>35.396731375560478</v>
      </c>
      <c r="J302" s="65">
        <v>37.627831794756602</v>
      </c>
      <c r="K302" s="65">
        <v>9.9030576758849982</v>
      </c>
      <c r="L302" s="65">
        <v>17.02632332031823</v>
      </c>
      <c r="M302" s="65">
        <v>55.998239849998853</v>
      </c>
    </row>
    <row r="303" spans="1:13" x14ac:dyDescent="0.35">
      <c r="A303" s="45" t="s">
        <v>556</v>
      </c>
      <c r="B303" s="64">
        <v>1</v>
      </c>
      <c r="C303" s="65">
        <v>30.55</v>
      </c>
      <c r="D303" s="65">
        <v>32.25</v>
      </c>
      <c r="E303" s="65">
        <v>36.487855910350561</v>
      </c>
      <c r="F303" s="65">
        <v>-4.2378559103505609</v>
      </c>
      <c r="G303" s="65">
        <v>-0.42863707605590629</v>
      </c>
      <c r="H303" s="65">
        <v>0.56678368581733363</v>
      </c>
      <c r="I303" s="65">
        <v>35.372612153473021</v>
      </c>
      <c r="J303" s="65">
        <v>37.603099667228101</v>
      </c>
      <c r="K303" s="65">
        <v>9.9030487609349418</v>
      </c>
      <c r="L303" s="65">
        <v>17.00191518719792</v>
      </c>
      <c r="M303" s="65">
        <v>55.973796633503198</v>
      </c>
    </row>
    <row r="304" spans="1:13" x14ac:dyDescent="0.35">
      <c r="A304" s="45" t="s">
        <v>557</v>
      </c>
      <c r="B304" s="64">
        <v>1</v>
      </c>
      <c r="C304" s="65">
        <v>30.58</v>
      </c>
      <c r="D304" s="65">
        <v>31.25</v>
      </c>
      <c r="E304" s="65">
        <v>36.51228158515854</v>
      </c>
      <c r="F304" s="65">
        <v>-5.2622815851585401</v>
      </c>
      <c r="G304" s="65">
        <v>-0.53225240304562627</v>
      </c>
      <c r="H304" s="65">
        <v>0.56693942970865308</v>
      </c>
      <c r="I304" s="65">
        <v>35.396731375560478</v>
      </c>
      <c r="J304" s="65">
        <v>37.627831794756602</v>
      </c>
      <c r="K304" s="65">
        <v>9.9030576758849982</v>
      </c>
      <c r="L304" s="65">
        <v>17.02632332031823</v>
      </c>
      <c r="M304" s="65">
        <v>55.998239849998853</v>
      </c>
    </row>
    <row r="305" spans="1:13" x14ac:dyDescent="0.35">
      <c r="A305" s="45" t="s">
        <v>558</v>
      </c>
      <c r="B305" s="64">
        <v>1</v>
      </c>
      <c r="C305" s="65">
        <v>30.58</v>
      </c>
      <c r="D305" s="65">
        <v>32.25</v>
      </c>
      <c r="E305" s="65">
        <v>36.51228158515854</v>
      </c>
      <c r="F305" s="65">
        <v>-4.2622815851585401</v>
      </c>
      <c r="G305" s="65">
        <v>-0.43110760597760872</v>
      </c>
      <c r="H305" s="65">
        <v>0.56693942970865308</v>
      </c>
      <c r="I305" s="65">
        <v>35.396731375560478</v>
      </c>
      <c r="J305" s="65">
        <v>37.627831794756602</v>
      </c>
      <c r="K305" s="65">
        <v>9.9030576758849982</v>
      </c>
      <c r="L305" s="65">
        <v>17.02632332031823</v>
      </c>
      <c r="M305" s="65">
        <v>55.998239849998853</v>
      </c>
    </row>
    <row r="306" spans="1:13" x14ac:dyDescent="0.35">
      <c r="A306" s="45" t="s">
        <v>559</v>
      </c>
      <c r="B306" s="64">
        <v>1</v>
      </c>
      <c r="C306" s="65">
        <v>30.58</v>
      </c>
      <c r="D306" s="65">
        <v>31.25</v>
      </c>
      <c r="E306" s="65">
        <v>36.51228158515854</v>
      </c>
      <c r="F306" s="65">
        <v>-5.2622815851585401</v>
      </c>
      <c r="G306" s="65">
        <v>-0.53225240304562627</v>
      </c>
      <c r="H306" s="65">
        <v>0.56693942970865308</v>
      </c>
      <c r="I306" s="65">
        <v>35.396731375560478</v>
      </c>
      <c r="J306" s="65">
        <v>37.627831794756602</v>
      </c>
      <c r="K306" s="65">
        <v>9.9030576758849982</v>
      </c>
      <c r="L306" s="65">
        <v>17.02632332031823</v>
      </c>
      <c r="M306" s="65">
        <v>55.998239849998853</v>
      </c>
    </row>
    <row r="307" spans="1:13" x14ac:dyDescent="0.35">
      <c r="A307" s="45" t="s">
        <v>560</v>
      </c>
      <c r="B307" s="64">
        <v>1</v>
      </c>
      <c r="C307" s="65">
        <v>30.55</v>
      </c>
      <c r="D307" s="65">
        <v>29.25</v>
      </c>
      <c r="E307" s="65">
        <v>36.487855910350561</v>
      </c>
      <c r="F307" s="65">
        <v>-7.2378559103505609</v>
      </c>
      <c r="G307" s="65">
        <v>-0.73207146725995897</v>
      </c>
      <c r="H307" s="65">
        <v>0.56678368581733363</v>
      </c>
      <c r="I307" s="65">
        <v>35.372612153473021</v>
      </c>
      <c r="J307" s="65">
        <v>37.603099667228101</v>
      </c>
      <c r="K307" s="65">
        <v>9.9030487609349418</v>
      </c>
      <c r="L307" s="65">
        <v>17.00191518719792</v>
      </c>
      <c r="M307" s="65">
        <v>55.973796633503198</v>
      </c>
    </row>
    <row r="308" spans="1:13" x14ac:dyDescent="0.35">
      <c r="A308" s="45" t="s">
        <v>561</v>
      </c>
      <c r="B308" s="64">
        <v>1</v>
      </c>
      <c r="C308" s="65">
        <v>40.83</v>
      </c>
      <c r="D308" s="65">
        <v>61.5</v>
      </c>
      <c r="E308" s="65">
        <v>44.857720477884527</v>
      </c>
      <c r="F308" s="65">
        <v>16.642279522115473</v>
      </c>
      <c r="G308" s="65">
        <v>1.6832799850135938</v>
      </c>
      <c r="H308" s="65">
        <v>0.71528389094407663</v>
      </c>
      <c r="I308" s="65">
        <v>43.450277190909702</v>
      </c>
      <c r="J308" s="65">
        <v>46.265163764859352</v>
      </c>
      <c r="K308" s="65">
        <v>9.9126566600276487</v>
      </c>
      <c r="L308" s="65">
        <v>25.352874571417729</v>
      </c>
      <c r="M308" s="65">
        <v>64.362566384351325</v>
      </c>
    </row>
    <row r="309" spans="1:13" x14ac:dyDescent="0.35">
      <c r="A309" s="45" t="s">
        <v>562</v>
      </c>
      <c r="B309" s="64">
        <v>1</v>
      </c>
      <c r="C309" s="65">
        <v>40.83</v>
      </c>
      <c r="D309" s="65">
        <v>61.5</v>
      </c>
      <c r="E309" s="65">
        <v>44.857720477884527</v>
      </c>
      <c r="F309" s="65">
        <v>16.642279522115473</v>
      </c>
      <c r="G309" s="65">
        <v>1.6832799850135938</v>
      </c>
      <c r="H309" s="65">
        <v>0.71528389094407663</v>
      </c>
      <c r="I309" s="65">
        <v>43.450277190909702</v>
      </c>
      <c r="J309" s="65">
        <v>46.265163764859352</v>
      </c>
      <c r="K309" s="65">
        <v>9.9126566600276487</v>
      </c>
      <c r="L309" s="65">
        <v>25.352874571417729</v>
      </c>
      <c r="M309" s="65">
        <v>64.362566384351325</v>
      </c>
    </row>
    <row r="310" spans="1:13" x14ac:dyDescent="0.35">
      <c r="A310" s="45" t="s">
        <v>563</v>
      </c>
      <c r="B310" s="64">
        <v>1</v>
      </c>
      <c r="C310" s="65">
        <v>40.83</v>
      </c>
      <c r="D310" s="65">
        <v>58.5</v>
      </c>
      <c r="E310" s="65">
        <v>44.857720477884527</v>
      </c>
      <c r="F310" s="65">
        <v>13.642279522115473</v>
      </c>
      <c r="G310" s="65">
        <v>1.3798455938095411</v>
      </c>
      <c r="H310" s="65">
        <v>0.71528389094407663</v>
      </c>
      <c r="I310" s="65">
        <v>43.450277190909702</v>
      </c>
      <c r="J310" s="65">
        <v>46.265163764859352</v>
      </c>
      <c r="K310" s="65">
        <v>9.9126566600276487</v>
      </c>
      <c r="L310" s="65">
        <v>25.352874571417729</v>
      </c>
      <c r="M310" s="65">
        <v>64.362566384351325</v>
      </c>
    </row>
    <row r="311" spans="1:13" x14ac:dyDescent="0.35">
      <c r="A311" s="45" t="s">
        <v>564</v>
      </c>
      <c r="B311" s="64">
        <v>1</v>
      </c>
      <c r="C311" s="65">
        <v>40.83</v>
      </c>
      <c r="D311" s="65">
        <v>57.92</v>
      </c>
      <c r="E311" s="65">
        <v>44.857720477884527</v>
      </c>
      <c r="F311" s="65">
        <v>13.062279522115475</v>
      </c>
      <c r="G311" s="65">
        <v>1.3211816115100909</v>
      </c>
      <c r="H311" s="65">
        <v>0.71528389094407663</v>
      </c>
      <c r="I311" s="65">
        <v>43.450277190909702</v>
      </c>
      <c r="J311" s="65">
        <v>46.265163764859352</v>
      </c>
      <c r="K311" s="65">
        <v>9.9126566600276487</v>
      </c>
      <c r="L311" s="65">
        <v>25.352874571417729</v>
      </c>
      <c r="M311" s="65">
        <v>64.362566384351325</v>
      </c>
    </row>
    <row r="312" spans="1:13" x14ac:dyDescent="0.35">
      <c r="A312" s="45" t="s">
        <v>565</v>
      </c>
      <c r="B312" s="64">
        <v>1</v>
      </c>
      <c r="C312" s="65">
        <v>40.83</v>
      </c>
      <c r="D312" s="65">
        <v>57.5</v>
      </c>
      <c r="E312" s="65">
        <v>44.857720477884527</v>
      </c>
      <c r="F312" s="65">
        <v>12.642279522115473</v>
      </c>
      <c r="G312" s="65">
        <v>1.2787007967415236</v>
      </c>
      <c r="H312" s="65">
        <v>0.71528389094407663</v>
      </c>
      <c r="I312" s="65">
        <v>43.450277190909702</v>
      </c>
      <c r="J312" s="65">
        <v>46.265163764859352</v>
      </c>
      <c r="K312" s="65">
        <v>9.9126566600276487</v>
      </c>
      <c r="L312" s="65">
        <v>25.352874571417729</v>
      </c>
      <c r="M312" s="65">
        <v>64.362566384351325</v>
      </c>
    </row>
    <row r="313" spans="1:13" x14ac:dyDescent="0.35">
      <c r="A313" s="45" t="s">
        <v>566</v>
      </c>
      <c r="B313" s="64">
        <v>1</v>
      </c>
      <c r="C313" s="65">
        <v>50.83</v>
      </c>
      <c r="D313" s="65">
        <v>51.5</v>
      </c>
      <c r="E313" s="65">
        <v>52.999612080544011</v>
      </c>
      <c r="F313" s="65">
        <v>-1.4996120805440114</v>
      </c>
      <c r="G313" s="65">
        <v>-0.15167795956737162</v>
      </c>
      <c r="H313" s="65">
        <v>0.97304191871558476</v>
      </c>
      <c r="I313" s="65">
        <v>51.084985826856403</v>
      </c>
      <c r="J313" s="65">
        <v>54.914238334231619</v>
      </c>
      <c r="K313" s="65">
        <v>9.9345831110582647</v>
      </c>
      <c r="L313" s="65">
        <v>33.451622134765088</v>
      </c>
      <c r="M313" s="65">
        <v>72.547602026322934</v>
      </c>
    </row>
    <row r="314" spans="1:13" x14ac:dyDescent="0.35">
      <c r="A314" s="45" t="s">
        <v>567</v>
      </c>
      <c r="B314" s="64">
        <v>1</v>
      </c>
      <c r="C314" s="65">
        <v>50.83</v>
      </c>
      <c r="D314" s="65">
        <v>51.5</v>
      </c>
      <c r="E314" s="65">
        <v>52.999612080544011</v>
      </c>
      <c r="F314" s="65">
        <v>-1.4996120805440114</v>
      </c>
      <c r="G314" s="65">
        <v>-0.15167795956737162</v>
      </c>
      <c r="H314" s="65">
        <v>0.97304191871558476</v>
      </c>
      <c r="I314" s="65">
        <v>51.084985826856403</v>
      </c>
      <c r="J314" s="65">
        <v>54.914238334231619</v>
      </c>
      <c r="K314" s="65">
        <v>9.9345831110582647</v>
      </c>
      <c r="L314" s="65">
        <v>33.451622134765088</v>
      </c>
      <c r="M314" s="65">
        <v>72.547602026322934</v>
      </c>
    </row>
    <row r="315" spans="1:13" x14ac:dyDescent="0.35">
      <c r="A315" s="45" t="s">
        <v>568</v>
      </c>
      <c r="B315" s="64">
        <v>1</v>
      </c>
      <c r="C315" s="65">
        <v>50.83</v>
      </c>
      <c r="D315" s="65">
        <v>49.5</v>
      </c>
      <c r="E315" s="65">
        <v>52.999612080544011</v>
      </c>
      <c r="F315" s="65">
        <v>-3.4996120805440114</v>
      </c>
      <c r="G315" s="65">
        <v>-0.35396755370340677</v>
      </c>
      <c r="H315" s="65">
        <v>0.97304191871558476</v>
      </c>
      <c r="I315" s="65">
        <v>51.084985826856403</v>
      </c>
      <c r="J315" s="65">
        <v>54.914238334231619</v>
      </c>
      <c r="K315" s="65">
        <v>9.9345831110582647</v>
      </c>
      <c r="L315" s="65">
        <v>33.451622134765088</v>
      </c>
      <c r="M315" s="65">
        <v>72.547602026322934</v>
      </c>
    </row>
    <row r="316" spans="1:13" x14ac:dyDescent="0.35">
      <c r="A316" s="45" t="s">
        <v>569</v>
      </c>
      <c r="B316" s="64">
        <v>1</v>
      </c>
      <c r="C316" s="65">
        <v>50.83</v>
      </c>
      <c r="D316" s="65">
        <v>48.5</v>
      </c>
      <c r="E316" s="65">
        <v>52.999612080544011</v>
      </c>
      <c r="F316" s="65">
        <v>-4.4996120805440114</v>
      </c>
      <c r="G316" s="65">
        <v>-0.45511235077142431</v>
      </c>
      <c r="H316" s="65">
        <v>0.97304191871558476</v>
      </c>
      <c r="I316" s="65">
        <v>51.084985826856403</v>
      </c>
      <c r="J316" s="65">
        <v>54.914238334231619</v>
      </c>
      <c r="K316" s="65">
        <v>9.9345831110582647</v>
      </c>
      <c r="L316" s="65">
        <v>33.451622134765088</v>
      </c>
      <c r="M316" s="65">
        <v>72.547602026322934</v>
      </c>
    </row>
    <row r="317" spans="1:13" x14ac:dyDescent="0.35">
      <c r="A317" s="45" t="s">
        <v>570</v>
      </c>
      <c r="B317" s="64">
        <v>1</v>
      </c>
      <c r="C317" s="65">
        <v>63.42</v>
      </c>
      <c r="D317" s="65">
        <v>49.09</v>
      </c>
      <c r="E317" s="65">
        <v>63.250253608292326</v>
      </c>
      <c r="F317" s="65">
        <v>-14.160253608292322</v>
      </c>
      <c r="G317" s="65">
        <v>-1.4322359776423903</v>
      </c>
      <c r="H317" s="65">
        <v>1.3584079960148276</v>
      </c>
      <c r="I317" s="65">
        <v>60.577353744099142</v>
      </c>
      <c r="J317" s="65">
        <v>65.923153472485509</v>
      </c>
      <c r="K317" s="65">
        <v>9.9796995595350175</v>
      </c>
      <c r="L317" s="65">
        <v>43.613489340395034</v>
      </c>
      <c r="M317" s="65">
        <v>82.887017876189617</v>
      </c>
    </row>
    <row r="318" spans="1:13" x14ac:dyDescent="0.35">
      <c r="A318" s="45" t="s">
        <v>571</v>
      </c>
      <c r="B318" s="64">
        <v>1</v>
      </c>
      <c r="C318" s="65">
        <v>53.42</v>
      </c>
      <c r="D318" s="65">
        <v>52.09</v>
      </c>
      <c r="E318" s="65">
        <v>55.108362005632827</v>
      </c>
      <c r="F318" s="65">
        <v>-3.0183620056328238</v>
      </c>
      <c r="G318" s="65">
        <v>-0.30529161253754644</v>
      </c>
      <c r="H318" s="65">
        <v>1.0486733901493175</v>
      </c>
      <c r="I318" s="65">
        <v>53.044917907588427</v>
      </c>
      <c r="J318" s="65">
        <v>57.171806103677227</v>
      </c>
      <c r="K318" s="65">
        <v>9.9422757401992055</v>
      </c>
      <c r="L318" s="65">
        <v>35.545235497461434</v>
      </c>
      <c r="M318" s="65">
        <v>74.671488513804221</v>
      </c>
    </row>
    <row r="319" spans="1:13" x14ac:dyDescent="0.35">
      <c r="A319" s="45" t="s">
        <v>572</v>
      </c>
      <c r="B319" s="64">
        <v>1</v>
      </c>
      <c r="C319" s="65">
        <v>22.58</v>
      </c>
      <c r="D319" s="65">
        <v>23.25</v>
      </c>
      <c r="E319" s="65">
        <v>29.998768303030943</v>
      </c>
      <c r="F319" s="65">
        <v>-6.7487683030309427</v>
      </c>
      <c r="G319" s="65">
        <v>-0.68260280046913391</v>
      </c>
      <c r="H319" s="65">
        <v>0.59407702736152324</v>
      </c>
      <c r="I319" s="65">
        <v>28.829820232632827</v>
      </c>
      <c r="J319" s="65">
        <v>31.167716373429059</v>
      </c>
      <c r="K319" s="65">
        <v>9.9046483294150889</v>
      </c>
      <c r="L319" s="65">
        <v>10.509680155550786</v>
      </c>
      <c r="M319" s="65">
        <v>49.487856450511103</v>
      </c>
    </row>
    <row r="320" spans="1:13" x14ac:dyDescent="0.35">
      <c r="A320" s="45" t="s">
        <v>573</v>
      </c>
      <c r="B320" s="64">
        <v>1</v>
      </c>
      <c r="C320" s="65">
        <v>22.58</v>
      </c>
      <c r="D320" s="65">
        <v>21.25</v>
      </c>
      <c r="E320" s="65">
        <v>29.998768303030943</v>
      </c>
      <c r="F320" s="65">
        <v>-8.7487683030309427</v>
      </c>
      <c r="G320" s="65">
        <v>-0.884892394605169</v>
      </c>
      <c r="H320" s="65">
        <v>0.59407702736152324</v>
      </c>
      <c r="I320" s="65">
        <v>28.829820232632827</v>
      </c>
      <c r="J320" s="65">
        <v>31.167716373429059</v>
      </c>
      <c r="K320" s="65">
        <v>9.9046483294150889</v>
      </c>
      <c r="L320" s="65">
        <v>10.509680155550786</v>
      </c>
      <c r="M320" s="65">
        <v>49.487856450511103</v>
      </c>
    </row>
    <row r="321" spans="1:13" x14ac:dyDescent="0.35">
      <c r="A321" s="45" t="s">
        <v>574</v>
      </c>
      <c r="B321" s="64">
        <v>1</v>
      </c>
      <c r="C321" s="65">
        <v>20.83</v>
      </c>
      <c r="D321" s="65">
        <v>22.5</v>
      </c>
      <c r="E321" s="65">
        <v>28.57393727256553</v>
      </c>
      <c r="F321" s="65">
        <v>-6.0739372725655301</v>
      </c>
      <c r="G321" s="65">
        <v>-0.61434715283750863</v>
      </c>
      <c r="H321" s="65">
        <v>0.6171316768698043</v>
      </c>
      <c r="I321" s="65">
        <v>27.359625239557879</v>
      </c>
      <c r="J321" s="65">
        <v>29.788249305573181</v>
      </c>
      <c r="K321" s="65">
        <v>9.9060578698866149</v>
      </c>
      <c r="L321" s="65">
        <v>9.0820756133378175</v>
      </c>
      <c r="M321" s="65">
        <v>48.065798931793239</v>
      </c>
    </row>
    <row r="322" spans="1:13" x14ac:dyDescent="0.35">
      <c r="A322" s="45" t="s">
        <v>575</v>
      </c>
      <c r="B322" s="64">
        <v>1</v>
      </c>
      <c r="C322" s="65">
        <v>20.83</v>
      </c>
      <c r="D322" s="65">
        <v>22.5</v>
      </c>
      <c r="E322" s="65">
        <v>28.57393727256553</v>
      </c>
      <c r="F322" s="65">
        <v>-6.0739372725655301</v>
      </c>
      <c r="G322" s="65">
        <v>-0.61434715283750863</v>
      </c>
      <c r="H322" s="65">
        <v>0.6171316768698043</v>
      </c>
      <c r="I322" s="65">
        <v>27.359625239557879</v>
      </c>
      <c r="J322" s="65">
        <v>29.788249305573181</v>
      </c>
      <c r="K322" s="65">
        <v>9.9060578698866149</v>
      </c>
      <c r="L322" s="65">
        <v>9.0820756133378175</v>
      </c>
      <c r="M322" s="65">
        <v>48.065798931793239</v>
      </c>
    </row>
    <row r="323" spans="1:13" x14ac:dyDescent="0.35">
      <c r="A323" s="45" t="s">
        <v>576</v>
      </c>
      <c r="B323" s="64">
        <v>1</v>
      </c>
      <c r="C323" s="65">
        <v>20.83</v>
      </c>
      <c r="D323" s="65">
        <v>27.5</v>
      </c>
      <c r="E323" s="65">
        <v>28.57393727256553</v>
      </c>
      <c r="F323" s="65">
        <v>-1.0739372725655301</v>
      </c>
      <c r="G323" s="65">
        <v>-0.10862316749742081</v>
      </c>
      <c r="H323" s="65">
        <v>0.6171316768698043</v>
      </c>
      <c r="I323" s="65">
        <v>27.359625239557879</v>
      </c>
      <c r="J323" s="65">
        <v>29.788249305573181</v>
      </c>
      <c r="K323" s="65">
        <v>9.9060578698866149</v>
      </c>
      <c r="L323" s="65">
        <v>9.0820756133378175</v>
      </c>
      <c r="M323" s="65">
        <v>48.065798931793239</v>
      </c>
    </row>
    <row r="324" spans="1:13" x14ac:dyDescent="0.35">
      <c r="A324" s="45" t="s">
        <v>577</v>
      </c>
      <c r="B324" s="64">
        <v>1</v>
      </c>
      <c r="C324" s="65">
        <v>20.83</v>
      </c>
      <c r="D324" s="65">
        <v>25.92</v>
      </c>
      <c r="E324" s="65">
        <v>28.57393727256553</v>
      </c>
      <c r="F324" s="65">
        <v>-2.6539372725655284</v>
      </c>
      <c r="G324" s="65">
        <v>-0.26843194686488836</v>
      </c>
      <c r="H324" s="65">
        <v>0.6171316768698043</v>
      </c>
      <c r="I324" s="65">
        <v>27.359625239557879</v>
      </c>
      <c r="J324" s="65">
        <v>29.788249305573181</v>
      </c>
      <c r="K324" s="65">
        <v>9.9060578698866149</v>
      </c>
      <c r="L324" s="65">
        <v>9.0820756133378175</v>
      </c>
      <c r="M324" s="65">
        <v>48.065798931793239</v>
      </c>
    </row>
    <row r="325" spans="1:13" x14ac:dyDescent="0.35">
      <c r="A325" s="45" t="s">
        <v>578</v>
      </c>
      <c r="B325" s="64">
        <v>1</v>
      </c>
      <c r="C325" s="65">
        <v>22.68</v>
      </c>
      <c r="D325" s="65">
        <v>37.25</v>
      </c>
      <c r="E325" s="65">
        <v>30.080187219057539</v>
      </c>
      <c r="F325" s="65">
        <v>7.1698127809424612</v>
      </c>
      <c r="G325" s="65">
        <v>0.72518925874410389</v>
      </c>
      <c r="H325" s="65">
        <v>0.59292486434947034</v>
      </c>
      <c r="I325" s="65">
        <v>28.913506226273423</v>
      </c>
      <c r="J325" s="65">
        <v>31.246868211841655</v>
      </c>
      <c r="K325" s="65">
        <v>9.9045792898896128</v>
      </c>
      <c r="L325" s="65">
        <v>10.5912349186416</v>
      </c>
      <c r="M325" s="65">
        <v>49.569139519473481</v>
      </c>
    </row>
    <row r="326" spans="1:13" x14ac:dyDescent="0.35">
      <c r="A326" s="45" t="s">
        <v>579</v>
      </c>
      <c r="B326" s="64">
        <v>1</v>
      </c>
      <c r="C326" s="65">
        <v>20.83</v>
      </c>
      <c r="D326" s="65">
        <v>22.92</v>
      </c>
      <c r="E326" s="65">
        <v>28.57393727256553</v>
      </c>
      <c r="F326" s="65">
        <v>-5.6539372725655284</v>
      </c>
      <c r="G326" s="65">
        <v>-0.57186633806894105</v>
      </c>
      <c r="H326" s="65">
        <v>0.6171316768698043</v>
      </c>
      <c r="I326" s="65">
        <v>27.359625239557879</v>
      </c>
      <c r="J326" s="65">
        <v>29.788249305573181</v>
      </c>
      <c r="K326" s="65">
        <v>9.9060578698866149</v>
      </c>
      <c r="L326" s="65">
        <v>9.0820756133378175</v>
      </c>
      <c r="M326" s="65">
        <v>48.065798931793239</v>
      </c>
    </row>
    <row r="327" spans="1:13" x14ac:dyDescent="0.35">
      <c r="A327" s="45" t="s">
        <v>580</v>
      </c>
      <c r="B327" s="64">
        <v>1</v>
      </c>
      <c r="C327" s="65">
        <v>20.83</v>
      </c>
      <c r="D327" s="65">
        <v>26.92</v>
      </c>
      <c r="E327" s="65">
        <v>28.57393727256553</v>
      </c>
      <c r="F327" s="65">
        <v>-1.6539372725655284</v>
      </c>
      <c r="G327" s="65">
        <v>-0.16728714979687082</v>
      </c>
      <c r="H327" s="65">
        <v>0.6171316768698043</v>
      </c>
      <c r="I327" s="65">
        <v>27.359625239557879</v>
      </c>
      <c r="J327" s="65">
        <v>29.788249305573181</v>
      </c>
      <c r="K327" s="65">
        <v>9.9060578698866149</v>
      </c>
      <c r="L327" s="65">
        <v>9.0820756133378175</v>
      </c>
      <c r="M327" s="65">
        <v>48.065798931793239</v>
      </c>
    </row>
    <row r="328" spans="1:13" x14ac:dyDescent="0.35">
      <c r="A328" s="45" t="s">
        <v>581</v>
      </c>
      <c r="B328" s="64">
        <v>1</v>
      </c>
      <c r="C328" s="65">
        <v>20.83</v>
      </c>
      <c r="D328" s="65">
        <v>21.5</v>
      </c>
      <c r="E328" s="65">
        <v>28.57393727256553</v>
      </c>
      <c r="F328" s="65">
        <v>-7.0739372725655301</v>
      </c>
      <c r="G328" s="65">
        <v>-0.71549194990552611</v>
      </c>
      <c r="H328" s="65">
        <v>0.6171316768698043</v>
      </c>
      <c r="I328" s="65">
        <v>27.359625239557879</v>
      </c>
      <c r="J328" s="65">
        <v>29.788249305573181</v>
      </c>
      <c r="K328" s="65">
        <v>9.9060578698866149</v>
      </c>
      <c r="L328" s="65">
        <v>9.0820756133378175</v>
      </c>
      <c r="M328" s="65">
        <v>48.065798931793239</v>
      </c>
    </row>
    <row r="329" spans="1:13" x14ac:dyDescent="0.35">
      <c r="A329" s="45" t="s">
        <v>582</v>
      </c>
      <c r="B329" s="64">
        <v>1</v>
      </c>
      <c r="C329" s="65">
        <v>20.83</v>
      </c>
      <c r="D329" s="65">
        <v>22.5</v>
      </c>
      <c r="E329" s="65">
        <v>28.57393727256553</v>
      </c>
      <c r="F329" s="65">
        <v>-6.0739372725655301</v>
      </c>
      <c r="G329" s="65">
        <v>-0.61434715283750863</v>
      </c>
      <c r="H329" s="65">
        <v>0.6171316768698043</v>
      </c>
      <c r="I329" s="65">
        <v>27.359625239557879</v>
      </c>
      <c r="J329" s="65">
        <v>29.788249305573181</v>
      </c>
      <c r="K329" s="65">
        <v>9.9060578698866149</v>
      </c>
      <c r="L329" s="65">
        <v>9.0820756133378175</v>
      </c>
      <c r="M329" s="65">
        <v>48.065798931793239</v>
      </c>
    </row>
    <row r="330" spans="1:13" x14ac:dyDescent="0.35">
      <c r="A330" s="45" t="s">
        <v>583</v>
      </c>
      <c r="B330" s="64">
        <v>1</v>
      </c>
      <c r="C330" s="65">
        <v>24.83</v>
      </c>
      <c r="D330" s="65">
        <v>33.5</v>
      </c>
      <c r="E330" s="65">
        <v>31.830693913629329</v>
      </c>
      <c r="F330" s="65">
        <v>1.6693060863706712</v>
      </c>
      <c r="G330" s="65">
        <v>0.16884162535036815</v>
      </c>
      <c r="H330" s="65">
        <v>0.57281666496795303</v>
      </c>
      <c r="I330" s="65">
        <v>30.703579239325158</v>
      </c>
      <c r="J330" s="65">
        <v>32.957808587933499</v>
      </c>
      <c r="K330" s="65">
        <v>9.9033958795259416</v>
      </c>
      <c r="L330" s="65">
        <v>12.344070175331414</v>
      </c>
      <c r="M330" s="65">
        <v>51.31731765192724</v>
      </c>
    </row>
    <row r="331" spans="1:13" x14ac:dyDescent="0.35">
      <c r="A331" s="45" t="s">
        <v>584</v>
      </c>
      <c r="B331" s="64">
        <v>1</v>
      </c>
      <c r="C331" s="65">
        <v>24.83</v>
      </c>
      <c r="D331" s="65">
        <v>33.5</v>
      </c>
      <c r="E331" s="65">
        <v>31.830693913629329</v>
      </c>
      <c r="F331" s="65">
        <v>1.6693060863706712</v>
      </c>
      <c r="G331" s="65">
        <v>0.16884162535036815</v>
      </c>
      <c r="H331" s="65">
        <v>0.57281666496795303</v>
      </c>
      <c r="I331" s="65">
        <v>30.703579239325158</v>
      </c>
      <c r="J331" s="65">
        <v>32.957808587933499</v>
      </c>
      <c r="K331" s="65">
        <v>9.9033958795259416</v>
      </c>
      <c r="L331" s="65">
        <v>12.344070175331414</v>
      </c>
      <c r="M331" s="65">
        <v>51.31731765192724</v>
      </c>
    </row>
    <row r="332" spans="1:13" x14ac:dyDescent="0.35">
      <c r="A332" s="45" t="s">
        <v>585</v>
      </c>
      <c r="B332" s="64">
        <v>1</v>
      </c>
      <c r="C332" s="65">
        <v>24.83</v>
      </c>
      <c r="D332" s="65">
        <v>31.5</v>
      </c>
      <c r="E332" s="65">
        <v>31.830693913629329</v>
      </c>
      <c r="F332" s="65">
        <v>-0.33069391362932876</v>
      </c>
      <c r="G332" s="65">
        <v>-3.3447968785666984E-2</v>
      </c>
      <c r="H332" s="65">
        <v>0.57281666496795303</v>
      </c>
      <c r="I332" s="65">
        <v>30.703579239325158</v>
      </c>
      <c r="J332" s="65">
        <v>32.957808587933499</v>
      </c>
      <c r="K332" s="65">
        <v>9.9033958795259416</v>
      </c>
      <c r="L332" s="65">
        <v>12.344070175331414</v>
      </c>
      <c r="M332" s="65">
        <v>51.31731765192724</v>
      </c>
    </row>
    <row r="333" spans="1:13" x14ac:dyDescent="0.35">
      <c r="A333" s="45" t="s">
        <v>586</v>
      </c>
      <c r="B333" s="64">
        <v>1</v>
      </c>
      <c r="C333" s="65">
        <v>24.83</v>
      </c>
      <c r="D333" s="65">
        <v>32.5</v>
      </c>
      <c r="E333" s="65">
        <v>31.830693913629329</v>
      </c>
      <c r="F333" s="65">
        <v>0.66930608637067124</v>
      </c>
      <c r="G333" s="65">
        <v>6.7696828282350574E-2</v>
      </c>
      <c r="H333" s="65">
        <v>0.57281666496795303</v>
      </c>
      <c r="I333" s="65">
        <v>30.703579239325158</v>
      </c>
      <c r="J333" s="65">
        <v>32.957808587933499</v>
      </c>
      <c r="K333" s="65">
        <v>9.9033958795259416</v>
      </c>
      <c r="L333" s="65">
        <v>12.344070175331414</v>
      </c>
      <c r="M333" s="65">
        <v>51.31731765192724</v>
      </c>
    </row>
    <row r="334" spans="1:13" x14ac:dyDescent="0.35">
      <c r="A334" s="45" t="s">
        <v>587</v>
      </c>
      <c r="B334" s="64">
        <v>1</v>
      </c>
      <c r="C334" s="65">
        <v>10.83</v>
      </c>
      <c r="D334" s="65">
        <v>14.5</v>
      </c>
      <c r="E334" s="65">
        <v>20.432045669906039</v>
      </c>
      <c r="F334" s="65">
        <v>-5.9320456699060387</v>
      </c>
      <c r="G334" s="65">
        <v>-0.59999555548085859</v>
      </c>
      <c r="H334" s="65">
        <v>0.82779919031235105</v>
      </c>
      <c r="I334" s="65">
        <v>18.803209304207144</v>
      </c>
      <c r="J334" s="65">
        <v>22.060882035604934</v>
      </c>
      <c r="K334" s="65">
        <v>9.9214103087428143</v>
      </c>
      <c r="L334" s="65">
        <v>0.90997546372177496</v>
      </c>
      <c r="M334" s="65">
        <v>39.954115876090299</v>
      </c>
    </row>
    <row r="335" spans="1:13" x14ac:dyDescent="0.35">
      <c r="A335" s="45" t="s">
        <v>588</v>
      </c>
      <c r="B335" s="64">
        <v>1</v>
      </c>
      <c r="C335" s="65">
        <v>10.83</v>
      </c>
      <c r="D335" s="65">
        <v>17.5</v>
      </c>
      <c r="E335" s="65">
        <v>20.432045669906039</v>
      </c>
      <c r="F335" s="65">
        <v>-2.9320456699060387</v>
      </c>
      <c r="G335" s="65">
        <v>-0.2965611642768059</v>
      </c>
      <c r="H335" s="65">
        <v>0.82779919031235105</v>
      </c>
      <c r="I335" s="65">
        <v>18.803209304207144</v>
      </c>
      <c r="J335" s="65">
        <v>22.060882035604934</v>
      </c>
      <c r="K335" s="65">
        <v>9.9214103087428143</v>
      </c>
      <c r="L335" s="65">
        <v>0.90997546372177496</v>
      </c>
      <c r="M335" s="65">
        <v>39.954115876090299</v>
      </c>
    </row>
    <row r="336" spans="1:13" x14ac:dyDescent="0.35">
      <c r="A336" s="45" t="s">
        <v>589</v>
      </c>
      <c r="B336" s="64">
        <v>1</v>
      </c>
      <c r="C336" s="65">
        <v>10.83</v>
      </c>
      <c r="D336" s="65">
        <v>14.5</v>
      </c>
      <c r="E336" s="65">
        <v>20.432045669906039</v>
      </c>
      <c r="F336" s="65">
        <v>-5.9320456699060387</v>
      </c>
      <c r="G336" s="65">
        <v>-0.59999555548085859</v>
      </c>
      <c r="H336" s="65">
        <v>0.82779919031235105</v>
      </c>
      <c r="I336" s="65">
        <v>18.803209304207144</v>
      </c>
      <c r="J336" s="65">
        <v>22.060882035604934</v>
      </c>
      <c r="K336" s="65">
        <v>9.9214103087428143</v>
      </c>
      <c r="L336" s="65">
        <v>0.90997546372177496</v>
      </c>
      <c r="M336" s="65">
        <v>39.954115876090299</v>
      </c>
    </row>
    <row r="337" spans="1:13" x14ac:dyDescent="0.35">
      <c r="A337" s="45" t="s">
        <v>590</v>
      </c>
      <c r="B337" s="64">
        <v>1</v>
      </c>
      <c r="C337" s="65">
        <v>10.83</v>
      </c>
      <c r="D337" s="65">
        <v>14.5</v>
      </c>
      <c r="E337" s="65">
        <v>20.432045669906039</v>
      </c>
      <c r="F337" s="65">
        <v>-5.9320456699060387</v>
      </c>
      <c r="G337" s="65">
        <v>-0.59999555548085859</v>
      </c>
      <c r="H337" s="65">
        <v>0.82779919031235105</v>
      </c>
      <c r="I337" s="65">
        <v>18.803209304207144</v>
      </c>
      <c r="J337" s="65">
        <v>22.060882035604934</v>
      </c>
      <c r="K337" s="65">
        <v>9.9214103087428143</v>
      </c>
      <c r="L337" s="65">
        <v>0.90997546372177496</v>
      </c>
      <c r="M337" s="65">
        <v>39.954115876090299</v>
      </c>
    </row>
    <row r="338" spans="1:13" x14ac:dyDescent="0.35">
      <c r="A338" s="45" t="s">
        <v>591</v>
      </c>
      <c r="B338" s="64">
        <v>1</v>
      </c>
      <c r="C338" s="65">
        <v>11.67</v>
      </c>
      <c r="D338" s="65">
        <v>17.5</v>
      </c>
      <c r="E338" s="65">
        <v>21.115964564529435</v>
      </c>
      <c r="F338" s="65">
        <v>-3.6159645645294347</v>
      </c>
      <c r="G338" s="65">
        <v>-0.36573600208447216</v>
      </c>
      <c r="H338" s="65">
        <v>0.80634826983502084</v>
      </c>
      <c r="I338" s="65">
        <v>19.529336550517868</v>
      </c>
      <c r="J338" s="65">
        <v>22.702592578541001</v>
      </c>
      <c r="K338" s="65">
        <v>9.9196435695650038</v>
      </c>
      <c r="L338" s="65">
        <v>1.5973707195873672</v>
      </c>
      <c r="M338" s="65">
        <v>40.634558409471502</v>
      </c>
    </row>
    <row r="339" spans="1:13" x14ac:dyDescent="0.35">
      <c r="A339" s="45" t="s">
        <v>592</v>
      </c>
      <c r="B339" s="64">
        <v>1</v>
      </c>
      <c r="C339" s="65">
        <v>11.67</v>
      </c>
      <c r="D339" s="65">
        <v>17.5</v>
      </c>
      <c r="E339" s="65">
        <v>21.115964564529435</v>
      </c>
      <c r="F339" s="65">
        <v>-3.6159645645294347</v>
      </c>
      <c r="G339" s="65">
        <v>-0.36573600208447216</v>
      </c>
      <c r="H339" s="65">
        <v>0.80634826983502084</v>
      </c>
      <c r="I339" s="65">
        <v>19.529336550517868</v>
      </c>
      <c r="J339" s="65">
        <v>22.702592578541001</v>
      </c>
      <c r="K339" s="65">
        <v>9.9196435695650038</v>
      </c>
      <c r="L339" s="65">
        <v>1.5973707195873672</v>
      </c>
      <c r="M339" s="65">
        <v>40.634558409471502</v>
      </c>
    </row>
    <row r="340" spans="1:13" x14ac:dyDescent="0.35">
      <c r="A340" s="45" t="s">
        <v>593</v>
      </c>
      <c r="B340" s="64">
        <v>1</v>
      </c>
      <c r="C340" s="65">
        <v>11.67</v>
      </c>
      <c r="D340" s="65">
        <v>17.5</v>
      </c>
      <c r="E340" s="65">
        <v>21.115964564529435</v>
      </c>
      <c r="F340" s="65">
        <v>-3.6159645645294347</v>
      </c>
      <c r="G340" s="65">
        <v>-0.36573600208447216</v>
      </c>
      <c r="H340" s="65">
        <v>0.80634826983502084</v>
      </c>
      <c r="I340" s="65">
        <v>19.529336550517868</v>
      </c>
      <c r="J340" s="65">
        <v>22.702592578541001</v>
      </c>
      <c r="K340" s="65">
        <v>9.9196435695650038</v>
      </c>
      <c r="L340" s="65">
        <v>1.5973707195873672</v>
      </c>
      <c r="M340" s="65">
        <v>40.634558409471502</v>
      </c>
    </row>
    <row r="341" spans="1:13" x14ac:dyDescent="0.35">
      <c r="A341" s="45" t="s">
        <v>594</v>
      </c>
      <c r="B341" s="64">
        <v>1</v>
      </c>
      <c r="C341" s="65">
        <v>11.67</v>
      </c>
      <c r="D341" s="65">
        <v>17.5</v>
      </c>
      <c r="E341" s="65">
        <v>21.115964564529435</v>
      </c>
      <c r="F341" s="65">
        <v>-3.6159645645294347</v>
      </c>
      <c r="G341" s="65">
        <v>-0.36573600208447216</v>
      </c>
      <c r="H341" s="65">
        <v>0.80634826983502084</v>
      </c>
      <c r="I341" s="65">
        <v>19.529336550517868</v>
      </c>
      <c r="J341" s="65">
        <v>22.702592578541001</v>
      </c>
      <c r="K341" s="65">
        <v>9.9196435695650038</v>
      </c>
      <c r="L341" s="65">
        <v>1.5973707195873672</v>
      </c>
      <c r="M341" s="65">
        <v>40.634558409471502</v>
      </c>
    </row>
    <row r="342" spans="1:13" x14ac:dyDescent="0.35">
      <c r="A342" s="45" t="s">
        <v>595</v>
      </c>
      <c r="B342" s="64">
        <v>1</v>
      </c>
      <c r="C342" s="65">
        <v>20.83</v>
      </c>
      <c r="D342" s="65">
        <v>26.5</v>
      </c>
      <c r="E342" s="65">
        <v>28.57393727256553</v>
      </c>
      <c r="F342" s="65">
        <v>-2.0739372725655301</v>
      </c>
      <c r="G342" s="65">
        <v>-0.20976796456543836</v>
      </c>
      <c r="H342" s="65">
        <v>0.6171316768698043</v>
      </c>
      <c r="I342" s="65">
        <v>27.359625239557879</v>
      </c>
      <c r="J342" s="65">
        <v>29.788249305573181</v>
      </c>
      <c r="K342" s="65">
        <v>9.9060578698866149</v>
      </c>
      <c r="L342" s="65">
        <v>9.0820756133378175</v>
      </c>
      <c r="M342" s="65">
        <v>48.065798931793239</v>
      </c>
    </row>
    <row r="343" spans="1:13" x14ac:dyDescent="0.35">
      <c r="A343" s="45" t="s">
        <v>596</v>
      </c>
      <c r="B343" s="64">
        <v>1</v>
      </c>
      <c r="C343" s="65">
        <v>20.83</v>
      </c>
      <c r="D343" s="65">
        <v>31.5</v>
      </c>
      <c r="E343" s="65">
        <v>28.57393727256553</v>
      </c>
      <c r="F343" s="65">
        <v>2.9260627274344699</v>
      </c>
      <c r="G343" s="65">
        <v>0.29595602077464944</v>
      </c>
      <c r="H343" s="65">
        <v>0.6171316768698043</v>
      </c>
      <c r="I343" s="65">
        <v>27.359625239557879</v>
      </c>
      <c r="J343" s="65">
        <v>29.788249305573181</v>
      </c>
      <c r="K343" s="65">
        <v>9.9060578698866149</v>
      </c>
      <c r="L343" s="65">
        <v>9.0820756133378175</v>
      </c>
      <c r="M343" s="65">
        <v>48.065798931793239</v>
      </c>
    </row>
    <row r="344" spans="1:13" x14ac:dyDescent="0.35">
      <c r="A344" s="45" t="s">
        <v>597</v>
      </c>
      <c r="B344" s="64">
        <v>1</v>
      </c>
      <c r="C344" s="65">
        <v>20.83</v>
      </c>
      <c r="D344" s="65">
        <v>28.5</v>
      </c>
      <c r="E344" s="65">
        <v>28.57393727256553</v>
      </c>
      <c r="F344" s="65">
        <v>-7.3937272565530066E-2</v>
      </c>
      <c r="G344" s="65">
        <v>-7.4783704294032402E-3</v>
      </c>
      <c r="H344" s="65">
        <v>0.6171316768698043</v>
      </c>
      <c r="I344" s="65">
        <v>27.359625239557879</v>
      </c>
      <c r="J344" s="65">
        <v>29.788249305573181</v>
      </c>
      <c r="K344" s="65">
        <v>9.9060578698866149</v>
      </c>
      <c r="L344" s="65">
        <v>9.0820756133378175</v>
      </c>
      <c r="M344" s="65">
        <v>48.065798931793239</v>
      </c>
    </row>
    <row r="345" spans="1:13" x14ac:dyDescent="0.35">
      <c r="A345" s="45" t="s">
        <v>598</v>
      </c>
      <c r="B345" s="64">
        <v>1</v>
      </c>
      <c r="C345" s="65">
        <v>20.83</v>
      </c>
      <c r="D345" s="65">
        <v>26.5</v>
      </c>
      <c r="E345" s="65">
        <v>28.57393727256553</v>
      </c>
      <c r="F345" s="65">
        <v>-2.0739372725655301</v>
      </c>
      <c r="G345" s="65">
        <v>-0.20976796456543836</v>
      </c>
      <c r="H345" s="65">
        <v>0.6171316768698043</v>
      </c>
      <c r="I345" s="65">
        <v>27.359625239557879</v>
      </c>
      <c r="J345" s="65">
        <v>29.788249305573181</v>
      </c>
      <c r="K345" s="65">
        <v>9.9060578698866149</v>
      </c>
      <c r="L345" s="65">
        <v>9.0820756133378175</v>
      </c>
      <c r="M345" s="65">
        <v>48.065798931793239</v>
      </c>
    </row>
    <row r="346" spans="1:13" x14ac:dyDescent="0.35">
      <c r="A346" s="45" t="s">
        <v>599</v>
      </c>
      <c r="B346" s="64">
        <v>1</v>
      </c>
      <c r="C346" s="65">
        <v>25.83</v>
      </c>
      <c r="D346" s="65">
        <v>34.5</v>
      </c>
      <c r="E346" s="65">
        <v>32.644883073895279</v>
      </c>
      <c r="F346" s="65">
        <v>1.8551169261047207</v>
      </c>
      <c r="G346" s="65">
        <v>0.18763542502830649</v>
      </c>
      <c r="H346" s="65">
        <v>0.56665593672944059</v>
      </c>
      <c r="I346" s="65">
        <v>31.529890685178618</v>
      </c>
      <c r="J346" s="65">
        <v>33.759875462611937</v>
      </c>
      <c r="K346" s="65">
        <v>9.903041450260476</v>
      </c>
      <c r="L346" s="65">
        <v>13.158956735743939</v>
      </c>
      <c r="M346" s="65">
        <v>52.130809412046617</v>
      </c>
    </row>
    <row r="347" spans="1:13" x14ac:dyDescent="0.35">
      <c r="A347" s="45" t="s">
        <v>600</v>
      </c>
      <c r="B347" s="64">
        <v>1</v>
      </c>
      <c r="C347" s="65">
        <v>25.83</v>
      </c>
      <c r="D347" s="65">
        <v>34.5</v>
      </c>
      <c r="E347" s="65">
        <v>32.644883073895279</v>
      </c>
      <c r="F347" s="65">
        <v>1.8551169261047207</v>
      </c>
      <c r="G347" s="65">
        <v>0.18763542502830649</v>
      </c>
      <c r="H347" s="65">
        <v>0.56665593672944059</v>
      </c>
      <c r="I347" s="65">
        <v>31.529890685178618</v>
      </c>
      <c r="J347" s="65">
        <v>33.759875462611937</v>
      </c>
      <c r="K347" s="65">
        <v>9.903041450260476</v>
      </c>
      <c r="L347" s="65">
        <v>13.158956735743939</v>
      </c>
      <c r="M347" s="65">
        <v>52.130809412046617</v>
      </c>
    </row>
    <row r="348" spans="1:13" x14ac:dyDescent="0.35">
      <c r="A348" s="45" t="s">
        <v>601</v>
      </c>
      <c r="B348" s="64">
        <v>1</v>
      </c>
      <c r="C348" s="65">
        <v>25.83</v>
      </c>
      <c r="D348" s="65">
        <v>34.5</v>
      </c>
      <c r="E348" s="65">
        <v>32.644883073895279</v>
      </c>
      <c r="F348" s="65">
        <v>1.8551169261047207</v>
      </c>
      <c r="G348" s="65">
        <v>0.18763542502830649</v>
      </c>
      <c r="H348" s="65">
        <v>0.56665593672944059</v>
      </c>
      <c r="I348" s="65">
        <v>31.529890685178618</v>
      </c>
      <c r="J348" s="65">
        <v>33.759875462611937</v>
      </c>
      <c r="K348" s="65">
        <v>9.903041450260476</v>
      </c>
      <c r="L348" s="65">
        <v>13.158956735743939</v>
      </c>
      <c r="M348" s="65">
        <v>52.130809412046617</v>
      </c>
    </row>
    <row r="349" spans="1:13" x14ac:dyDescent="0.35">
      <c r="A349" s="45" t="s">
        <v>602</v>
      </c>
      <c r="B349" s="64">
        <v>1</v>
      </c>
      <c r="C349" s="65">
        <v>25.83</v>
      </c>
      <c r="D349" s="65">
        <v>34.5</v>
      </c>
      <c r="E349" s="65">
        <v>32.644883073895279</v>
      </c>
      <c r="F349" s="65">
        <v>1.8551169261047207</v>
      </c>
      <c r="G349" s="65">
        <v>0.18763542502830649</v>
      </c>
      <c r="H349" s="65">
        <v>0.56665593672944059</v>
      </c>
      <c r="I349" s="65">
        <v>31.529890685178618</v>
      </c>
      <c r="J349" s="65">
        <v>33.759875462611937</v>
      </c>
      <c r="K349" s="65">
        <v>9.903041450260476</v>
      </c>
      <c r="L349" s="65">
        <v>13.158956735743939</v>
      </c>
      <c r="M349" s="65">
        <v>52.130809412046617</v>
      </c>
    </row>
    <row r="350" spans="1:13" x14ac:dyDescent="0.35">
      <c r="A350" s="45" t="s">
        <v>603</v>
      </c>
      <c r="B350" s="64">
        <v>1</v>
      </c>
      <c r="C350" s="65">
        <v>30.83</v>
      </c>
      <c r="D350" s="65">
        <v>29.92</v>
      </c>
      <c r="E350" s="65">
        <v>36.715828875225029</v>
      </c>
      <c r="F350" s="65">
        <v>-6.7958288752250269</v>
      </c>
      <c r="G350" s="65">
        <v>-0.68736273249360935</v>
      </c>
      <c r="H350" s="65">
        <v>0.56831155333165728</v>
      </c>
      <c r="I350" s="65">
        <v>35.597578777922877</v>
      </c>
      <c r="J350" s="65">
        <v>37.83407897252718</v>
      </c>
      <c r="K350" s="65">
        <v>9.903136323236021</v>
      </c>
      <c r="L350" s="65">
        <v>17.229715858281899</v>
      </c>
      <c r="M350" s="65">
        <v>56.201941892168158</v>
      </c>
    </row>
    <row r="351" spans="1:13" x14ac:dyDescent="0.35">
      <c r="A351" s="45" t="s">
        <v>604</v>
      </c>
      <c r="B351" s="64">
        <v>1</v>
      </c>
      <c r="C351" s="65">
        <v>30.83</v>
      </c>
      <c r="D351" s="65">
        <v>30.92</v>
      </c>
      <c r="E351" s="65">
        <v>36.715828875225029</v>
      </c>
      <c r="F351" s="65">
        <v>-5.7958288752250269</v>
      </c>
      <c r="G351" s="65">
        <v>-0.58621793542559175</v>
      </c>
      <c r="H351" s="65">
        <v>0.56831155333165728</v>
      </c>
      <c r="I351" s="65">
        <v>35.597578777922877</v>
      </c>
      <c r="J351" s="65">
        <v>37.83407897252718</v>
      </c>
      <c r="K351" s="65">
        <v>9.903136323236021</v>
      </c>
      <c r="L351" s="65">
        <v>17.229715858281899</v>
      </c>
      <c r="M351" s="65">
        <v>56.201941892168158</v>
      </c>
    </row>
    <row r="352" spans="1:13" x14ac:dyDescent="0.35">
      <c r="A352" s="45" t="s">
        <v>605</v>
      </c>
      <c r="B352" s="64">
        <v>1</v>
      </c>
      <c r="C352" s="65">
        <v>30.83</v>
      </c>
      <c r="D352" s="65">
        <v>31.5</v>
      </c>
      <c r="E352" s="65">
        <v>36.715828875225029</v>
      </c>
      <c r="F352" s="65">
        <v>-5.2158288752250286</v>
      </c>
      <c r="G352" s="65">
        <v>-0.52755395312614184</v>
      </c>
      <c r="H352" s="65">
        <v>0.56831155333165728</v>
      </c>
      <c r="I352" s="65">
        <v>35.597578777922877</v>
      </c>
      <c r="J352" s="65">
        <v>37.83407897252718</v>
      </c>
      <c r="K352" s="65">
        <v>9.903136323236021</v>
      </c>
      <c r="L352" s="65">
        <v>17.229715858281899</v>
      </c>
      <c r="M352" s="65">
        <v>56.201941892168158</v>
      </c>
    </row>
    <row r="353" spans="1:13" x14ac:dyDescent="0.35">
      <c r="A353" s="45" t="s">
        <v>606</v>
      </c>
      <c r="B353" s="64">
        <v>1</v>
      </c>
      <c r="C353" s="65">
        <v>30.83</v>
      </c>
      <c r="D353" s="65">
        <v>34.5</v>
      </c>
      <c r="E353" s="65">
        <v>36.715828875225029</v>
      </c>
      <c r="F353" s="65">
        <v>-2.2158288752250286</v>
      </c>
      <c r="G353" s="65">
        <v>-0.22411956192208912</v>
      </c>
      <c r="H353" s="65">
        <v>0.56831155333165728</v>
      </c>
      <c r="I353" s="65">
        <v>35.597578777922877</v>
      </c>
      <c r="J353" s="65">
        <v>37.83407897252718</v>
      </c>
      <c r="K353" s="65">
        <v>9.903136323236021</v>
      </c>
      <c r="L353" s="65">
        <v>17.229715858281899</v>
      </c>
      <c r="M353" s="65">
        <v>56.201941892168158</v>
      </c>
    </row>
    <row r="354" spans="1:13" x14ac:dyDescent="0.35">
      <c r="A354" s="45" t="s">
        <v>607</v>
      </c>
      <c r="B354" s="64">
        <v>1</v>
      </c>
      <c r="C354" s="65">
        <v>40.83</v>
      </c>
      <c r="D354" s="65">
        <v>66.5</v>
      </c>
      <c r="E354" s="65">
        <v>44.857720477884527</v>
      </c>
      <c r="F354" s="65">
        <v>21.642279522115473</v>
      </c>
      <c r="G354" s="65">
        <v>2.1890039703536814</v>
      </c>
      <c r="H354" s="65">
        <v>0.71528389094407663</v>
      </c>
      <c r="I354" s="65">
        <v>43.450277190909702</v>
      </c>
      <c r="J354" s="65">
        <v>46.265163764859352</v>
      </c>
      <c r="K354" s="65">
        <v>9.9126566600276487</v>
      </c>
      <c r="L354" s="65">
        <v>25.352874571417729</v>
      </c>
      <c r="M354" s="65">
        <v>64.362566384351325</v>
      </c>
    </row>
    <row r="355" spans="1:13" x14ac:dyDescent="0.35">
      <c r="A355" s="45" t="s">
        <v>608</v>
      </c>
      <c r="B355" s="64">
        <v>1</v>
      </c>
      <c r="C355" s="65">
        <v>40.83</v>
      </c>
      <c r="D355" s="65">
        <v>69.5</v>
      </c>
      <c r="E355" s="65">
        <v>44.857720477884527</v>
      </c>
      <c r="F355" s="65">
        <v>24.642279522115473</v>
      </c>
      <c r="G355" s="65">
        <v>2.4924383615577343</v>
      </c>
      <c r="H355" s="65">
        <v>0.71528389094407663</v>
      </c>
      <c r="I355" s="65">
        <v>43.450277190909702</v>
      </c>
      <c r="J355" s="65">
        <v>46.265163764859352</v>
      </c>
      <c r="K355" s="65">
        <v>9.9126566600276487</v>
      </c>
      <c r="L355" s="65">
        <v>25.352874571417729</v>
      </c>
      <c r="M355" s="65">
        <v>64.362566384351325</v>
      </c>
    </row>
    <row r="356" spans="1:13" x14ac:dyDescent="0.35">
      <c r="A356" s="45" t="s">
        <v>609</v>
      </c>
      <c r="B356" s="64">
        <v>1</v>
      </c>
      <c r="C356" s="65">
        <v>40.83</v>
      </c>
      <c r="D356" s="65">
        <v>68.5</v>
      </c>
      <c r="E356" s="65">
        <v>44.857720477884527</v>
      </c>
      <c r="F356" s="65">
        <v>23.642279522115473</v>
      </c>
      <c r="G356" s="65">
        <v>2.3912935644897169</v>
      </c>
      <c r="H356" s="65">
        <v>0.71528389094407663</v>
      </c>
      <c r="I356" s="65">
        <v>43.450277190909702</v>
      </c>
      <c r="J356" s="65">
        <v>46.265163764859352</v>
      </c>
      <c r="K356" s="65">
        <v>9.9126566600276487</v>
      </c>
      <c r="L356" s="65">
        <v>25.352874571417729</v>
      </c>
      <c r="M356" s="65">
        <v>64.362566384351325</v>
      </c>
    </row>
    <row r="357" spans="1:13" x14ac:dyDescent="0.35">
      <c r="A357" s="45" t="s">
        <v>610</v>
      </c>
      <c r="B357" s="64">
        <v>1</v>
      </c>
      <c r="C357" s="65">
        <v>40.53</v>
      </c>
      <c r="D357" s="65">
        <v>66.5</v>
      </c>
      <c r="E357" s="65">
        <v>44.613463729804735</v>
      </c>
      <c r="F357" s="65">
        <v>21.886536270195265</v>
      </c>
      <c r="G357" s="65">
        <v>2.2137092695707059</v>
      </c>
      <c r="H357" s="65">
        <v>0.70879086708546035</v>
      </c>
      <c r="I357" s="65">
        <v>43.218796576834428</v>
      </c>
      <c r="J357" s="65">
        <v>46.008130882775042</v>
      </c>
      <c r="K357" s="65">
        <v>9.9121902477812718</v>
      </c>
      <c r="L357" s="65">
        <v>25.109535569135708</v>
      </c>
      <c r="M357" s="65">
        <v>64.117391890473755</v>
      </c>
    </row>
    <row r="358" spans="1:13" x14ac:dyDescent="0.35">
      <c r="A358" s="45" t="s">
        <v>611</v>
      </c>
      <c r="B358" s="64">
        <v>1</v>
      </c>
      <c r="C358" s="65">
        <v>50.83</v>
      </c>
      <c r="D358" s="65">
        <v>53.34</v>
      </c>
      <c r="E358" s="65">
        <v>52.999612080544011</v>
      </c>
      <c r="F358" s="65">
        <v>0.34038791945599201</v>
      </c>
      <c r="G358" s="65">
        <v>3.4428467037781019E-2</v>
      </c>
      <c r="H358" s="65">
        <v>0.97304191871558476</v>
      </c>
      <c r="I358" s="65">
        <v>51.084985826856403</v>
      </c>
      <c r="J358" s="65">
        <v>54.914238334231619</v>
      </c>
      <c r="K358" s="65">
        <v>9.9345831110582647</v>
      </c>
      <c r="L358" s="65">
        <v>33.451622134765088</v>
      </c>
      <c r="M358" s="65">
        <v>72.547602026322934</v>
      </c>
    </row>
    <row r="359" spans="1:13" x14ac:dyDescent="0.35">
      <c r="A359" s="45" t="s">
        <v>612</v>
      </c>
      <c r="B359" s="64">
        <v>1</v>
      </c>
      <c r="C359" s="65">
        <v>50.83</v>
      </c>
      <c r="D359" s="65">
        <v>54.34</v>
      </c>
      <c r="E359" s="65">
        <v>52.999612080544011</v>
      </c>
      <c r="F359" s="65">
        <v>1.340387919455992</v>
      </c>
      <c r="G359" s="65">
        <v>0.13557326410579856</v>
      </c>
      <c r="H359" s="65">
        <v>0.97304191871558476</v>
      </c>
      <c r="I359" s="65">
        <v>51.084985826856403</v>
      </c>
      <c r="J359" s="65">
        <v>54.914238334231619</v>
      </c>
      <c r="K359" s="65">
        <v>9.9345831110582647</v>
      </c>
      <c r="L359" s="65">
        <v>33.451622134765088</v>
      </c>
      <c r="M359" s="65">
        <v>72.547602026322934</v>
      </c>
    </row>
    <row r="360" spans="1:13" x14ac:dyDescent="0.35">
      <c r="A360" s="45" t="s">
        <v>613</v>
      </c>
      <c r="B360" s="64">
        <v>1</v>
      </c>
      <c r="C360" s="65">
        <v>50.83</v>
      </c>
      <c r="D360" s="65">
        <v>61.76</v>
      </c>
      <c r="E360" s="65">
        <v>52.999612080544011</v>
      </c>
      <c r="F360" s="65">
        <v>8.7603879194559866</v>
      </c>
      <c r="G360" s="65">
        <v>0.88606765835048829</v>
      </c>
      <c r="H360" s="65">
        <v>0.97304191871558476</v>
      </c>
      <c r="I360" s="65">
        <v>51.084985826856403</v>
      </c>
      <c r="J360" s="65">
        <v>54.914238334231619</v>
      </c>
      <c r="K360" s="65">
        <v>9.9345831110582647</v>
      </c>
      <c r="L360" s="65">
        <v>33.451622134765088</v>
      </c>
      <c r="M360" s="65">
        <v>72.547602026322934</v>
      </c>
    </row>
    <row r="361" spans="1:13" x14ac:dyDescent="0.35">
      <c r="A361" s="45" t="s">
        <v>614</v>
      </c>
      <c r="B361" s="64">
        <v>1</v>
      </c>
      <c r="C361" s="65">
        <v>50.83</v>
      </c>
      <c r="D361" s="65">
        <v>51.34</v>
      </c>
      <c r="E361" s="65">
        <v>52.999612080544011</v>
      </c>
      <c r="F361" s="65">
        <v>-1.659612080544008</v>
      </c>
      <c r="G361" s="65">
        <v>-0.1678611270982541</v>
      </c>
      <c r="H361" s="65">
        <v>0.97304191871558476</v>
      </c>
      <c r="I361" s="65">
        <v>51.084985826856403</v>
      </c>
      <c r="J361" s="65">
        <v>54.914238334231619</v>
      </c>
      <c r="K361" s="65">
        <v>9.9345831110582647</v>
      </c>
      <c r="L361" s="65">
        <v>33.451622134765088</v>
      </c>
      <c r="M361" s="65">
        <v>72.547602026322934</v>
      </c>
    </row>
    <row r="362" spans="1:13" x14ac:dyDescent="0.35">
      <c r="A362" s="45" t="s">
        <v>615</v>
      </c>
      <c r="B362" s="64">
        <v>1</v>
      </c>
      <c r="C362" s="65">
        <v>53.42</v>
      </c>
      <c r="D362" s="65">
        <v>52.09</v>
      </c>
      <c r="E362" s="65">
        <v>55.108362005632827</v>
      </c>
      <c r="F362" s="65">
        <v>-3.0183620056328238</v>
      </c>
      <c r="G362" s="65">
        <v>-0.30529161253754644</v>
      </c>
      <c r="H362" s="65">
        <v>1.0486733901493175</v>
      </c>
      <c r="I362" s="65">
        <v>53.044917907588427</v>
      </c>
      <c r="J362" s="65">
        <v>57.171806103677227</v>
      </c>
      <c r="K362" s="65">
        <v>9.9422757401992055</v>
      </c>
      <c r="L362" s="65">
        <v>35.545235497461434</v>
      </c>
      <c r="M362" s="65">
        <v>74.671488513804221</v>
      </c>
    </row>
    <row r="363" spans="1:13" x14ac:dyDescent="0.35">
      <c r="A363" s="45" t="s">
        <v>616</v>
      </c>
      <c r="B363" s="64">
        <v>1</v>
      </c>
      <c r="C363" s="65">
        <v>53.42</v>
      </c>
      <c r="D363" s="65">
        <v>52.09</v>
      </c>
      <c r="E363" s="65">
        <v>55.108362005632827</v>
      </c>
      <c r="F363" s="65">
        <v>-3.0183620056328238</v>
      </c>
      <c r="G363" s="65">
        <v>-0.30529161253754644</v>
      </c>
      <c r="H363" s="65">
        <v>1.0486733901493175</v>
      </c>
      <c r="I363" s="65">
        <v>53.044917907588427</v>
      </c>
      <c r="J363" s="65">
        <v>57.171806103677227</v>
      </c>
      <c r="K363" s="65">
        <v>9.9422757401992055</v>
      </c>
      <c r="L363" s="65">
        <v>35.545235497461434</v>
      </c>
      <c r="M363" s="65">
        <v>74.671488513804221</v>
      </c>
    </row>
    <row r="364" spans="1:13" x14ac:dyDescent="0.35">
      <c r="A364" s="45" t="s">
        <v>617</v>
      </c>
      <c r="B364" s="64">
        <v>1</v>
      </c>
      <c r="C364" s="65">
        <v>53.42</v>
      </c>
      <c r="D364" s="65">
        <v>52.09</v>
      </c>
      <c r="E364" s="65">
        <v>55.108362005632827</v>
      </c>
      <c r="F364" s="65">
        <v>-3.0183620056328238</v>
      </c>
      <c r="G364" s="65">
        <v>-0.30529161253754644</v>
      </c>
      <c r="H364" s="65">
        <v>1.0486733901493175</v>
      </c>
      <c r="I364" s="65">
        <v>53.044917907588427</v>
      </c>
      <c r="J364" s="65">
        <v>57.171806103677227</v>
      </c>
      <c r="K364" s="65">
        <v>9.9422757401992055</v>
      </c>
      <c r="L364" s="65">
        <v>35.545235497461434</v>
      </c>
      <c r="M364" s="65">
        <v>74.671488513804221</v>
      </c>
    </row>
    <row r="365" spans="1:13" x14ac:dyDescent="0.35">
      <c r="A365" s="45" t="s">
        <v>618</v>
      </c>
      <c r="B365" s="64">
        <v>1</v>
      </c>
      <c r="C365" s="65">
        <v>22.58</v>
      </c>
      <c r="D365" s="65">
        <v>38.25</v>
      </c>
      <c r="E365" s="65">
        <v>29.998768303030943</v>
      </c>
      <c r="F365" s="65">
        <v>8.2512316969690573</v>
      </c>
      <c r="G365" s="65">
        <v>0.83456915555112943</v>
      </c>
      <c r="H365" s="65">
        <v>0.59407702736152324</v>
      </c>
      <c r="I365" s="65">
        <v>28.829820232632827</v>
      </c>
      <c r="J365" s="65">
        <v>31.167716373429059</v>
      </c>
      <c r="K365" s="65">
        <v>9.9046483294150889</v>
      </c>
      <c r="L365" s="65">
        <v>10.509680155550786</v>
      </c>
      <c r="M365" s="65">
        <v>49.487856450511103</v>
      </c>
    </row>
    <row r="366" spans="1:13" x14ac:dyDescent="0.35">
      <c r="A366" s="45" t="s">
        <v>619</v>
      </c>
      <c r="B366" s="64">
        <v>1</v>
      </c>
      <c r="C366" s="65">
        <v>22.58</v>
      </c>
      <c r="D366" s="65">
        <v>43.25</v>
      </c>
      <c r="E366" s="65">
        <v>29.998768303030943</v>
      </c>
      <c r="F366" s="65">
        <v>13.251231696969057</v>
      </c>
      <c r="G366" s="65">
        <v>1.3402931408912173</v>
      </c>
      <c r="H366" s="65">
        <v>0.59407702736152324</v>
      </c>
      <c r="I366" s="65">
        <v>28.829820232632827</v>
      </c>
      <c r="J366" s="65">
        <v>31.167716373429059</v>
      </c>
      <c r="K366" s="65">
        <v>9.9046483294150889</v>
      </c>
      <c r="L366" s="65">
        <v>10.509680155550786</v>
      </c>
      <c r="M366" s="65">
        <v>49.487856450511103</v>
      </c>
    </row>
    <row r="367" spans="1:13" x14ac:dyDescent="0.35">
      <c r="A367" s="45" t="s">
        <v>620</v>
      </c>
      <c r="B367" s="64">
        <v>1</v>
      </c>
      <c r="C367" s="65">
        <v>22.58</v>
      </c>
      <c r="D367" s="65">
        <v>50.25</v>
      </c>
      <c r="E367" s="65">
        <v>29.998768303030943</v>
      </c>
      <c r="F367" s="65">
        <v>20.251231696969057</v>
      </c>
      <c r="G367" s="65">
        <v>2.0483067203673402</v>
      </c>
      <c r="H367" s="65">
        <v>0.59407702736152324</v>
      </c>
      <c r="I367" s="65">
        <v>28.829820232632827</v>
      </c>
      <c r="J367" s="65">
        <v>31.167716373429059</v>
      </c>
      <c r="K367" s="65">
        <v>9.9046483294150889</v>
      </c>
      <c r="L367" s="65">
        <v>10.509680155550786</v>
      </c>
      <c r="M367" s="65">
        <v>49.487856450511103</v>
      </c>
    </row>
    <row r="368" spans="1:13" x14ac:dyDescent="0.35">
      <c r="A368" s="45" t="s">
        <v>621</v>
      </c>
      <c r="B368" s="64">
        <v>1</v>
      </c>
      <c r="C368" s="65">
        <v>20.83</v>
      </c>
      <c r="D368" s="65">
        <v>29.5</v>
      </c>
      <c r="E368" s="65">
        <v>28.57393727256553</v>
      </c>
      <c r="F368" s="65">
        <v>0.92606272743446993</v>
      </c>
      <c r="G368" s="65">
        <v>9.3666426638614311E-2</v>
      </c>
      <c r="H368" s="65">
        <v>0.6171316768698043</v>
      </c>
      <c r="I368" s="65">
        <v>27.359625239557879</v>
      </c>
      <c r="J368" s="65">
        <v>29.788249305573181</v>
      </c>
      <c r="K368" s="65">
        <v>9.9060578698866149</v>
      </c>
      <c r="L368" s="65">
        <v>9.0820756133378175</v>
      </c>
      <c r="M368" s="65">
        <v>48.065798931793239</v>
      </c>
    </row>
    <row r="369" spans="1:13" x14ac:dyDescent="0.35">
      <c r="A369" s="45" t="s">
        <v>622</v>
      </c>
      <c r="B369" s="64">
        <v>1</v>
      </c>
      <c r="C369" s="65">
        <v>20.83</v>
      </c>
      <c r="D369" s="65">
        <v>29.5</v>
      </c>
      <c r="E369" s="65">
        <v>28.57393727256553</v>
      </c>
      <c r="F369" s="65">
        <v>0.92606272743446993</v>
      </c>
      <c r="G369" s="65">
        <v>9.3666426638614311E-2</v>
      </c>
      <c r="H369" s="65">
        <v>0.6171316768698043</v>
      </c>
      <c r="I369" s="65">
        <v>27.359625239557879</v>
      </c>
      <c r="J369" s="65">
        <v>29.788249305573181</v>
      </c>
      <c r="K369" s="65">
        <v>9.9060578698866149</v>
      </c>
      <c r="L369" s="65">
        <v>9.0820756133378175</v>
      </c>
      <c r="M369" s="65">
        <v>48.065798931793239</v>
      </c>
    </row>
    <row r="370" spans="1:13" x14ac:dyDescent="0.35">
      <c r="A370" s="45" t="s">
        <v>623</v>
      </c>
      <c r="B370" s="64">
        <v>1</v>
      </c>
      <c r="C370" s="65">
        <v>20.83</v>
      </c>
      <c r="D370" s="65">
        <v>38</v>
      </c>
      <c r="E370" s="65">
        <v>28.57393727256553</v>
      </c>
      <c r="F370" s="65">
        <v>9.4260627274344699</v>
      </c>
      <c r="G370" s="65">
        <v>0.95339720171676356</v>
      </c>
      <c r="H370" s="65">
        <v>0.6171316768698043</v>
      </c>
      <c r="I370" s="65">
        <v>27.359625239557879</v>
      </c>
      <c r="J370" s="65">
        <v>29.788249305573181</v>
      </c>
      <c r="K370" s="65">
        <v>9.9060578698866149</v>
      </c>
      <c r="L370" s="65">
        <v>9.0820756133378175</v>
      </c>
      <c r="M370" s="65">
        <v>48.065798931793239</v>
      </c>
    </row>
    <row r="371" spans="1:13" x14ac:dyDescent="0.35">
      <c r="A371" s="45" t="s">
        <v>624</v>
      </c>
      <c r="B371" s="64">
        <v>1</v>
      </c>
      <c r="C371" s="65">
        <v>25.42</v>
      </c>
      <c r="D371" s="65">
        <v>31.69</v>
      </c>
      <c r="E371" s="65">
        <v>32.31106551818624</v>
      </c>
      <c r="F371" s="65">
        <v>-0.62106551818623856</v>
      </c>
      <c r="G371" s="65">
        <v>-6.2817545802890271E-2</v>
      </c>
      <c r="H371" s="65">
        <v>0.56892791199186643</v>
      </c>
      <c r="I371" s="65">
        <v>31.191602629893456</v>
      </c>
      <c r="J371" s="65">
        <v>33.430528406479027</v>
      </c>
      <c r="K371" s="65">
        <v>9.9031717133446602</v>
      </c>
      <c r="L371" s="65">
        <v>12.824882865156713</v>
      </c>
      <c r="M371" s="65">
        <v>51.79724817121577</v>
      </c>
    </row>
    <row r="372" spans="1:13" x14ac:dyDescent="0.35">
      <c r="A372" s="45" t="s">
        <v>625</v>
      </c>
      <c r="B372" s="64">
        <v>1</v>
      </c>
      <c r="C372" s="65">
        <v>26.67</v>
      </c>
      <c r="D372" s="65">
        <v>27.34</v>
      </c>
      <c r="E372" s="65">
        <v>33.328801968518675</v>
      </c>
      <c r="F372" s="65">
        <v>-5.9888019685186755</v>
      </c>
      <c r="G372" s="65">
        <v>-0.60573615978636552</v>
      </c>
      <c r="H372" s="65">
        <v>0.56312283155211884</v>
      </c>
      <c r="I372" s="65">
        <v>32.22076156799433</v>
      </c>
      <c r="J372" s="65">
        <v>34.436842369043021</v>
      </c>
      <c r="K372" s="65">
        <v>9.9028399127907587</v>
      </c>
      <c r="L372" s="65">
        <v>13.843272189778805</v>
      </c>
      <c r="M372" s="65">
        <v>52.814331747258549</v>
      </c>
    </row>
    <row r="373" spans="1:13" x14ac:dyDescent="0.35">
      <c r="A373" s="45" t="s">
        <v>626</v>
      </c>
      <c r="B373" s="64">
        <v>1</v>
      </c>
      <c r="C373" s="65">
        <v>26.67</v>
      </c>
      <c r="D373" s="65">
        <v>32.340000000000003</v>
      </c>
      <c r="E373" s="65">
        <v>33.328801968518675</v>
      </c>
      <c r="F373" s="65">
        <v>-0.98880196851867197</v>
      </c>
      <c r="G373" s="65">
        <v>-0.10001217444627736</v>
      </c>
      <c r="H373" s="65">
        <v>0.56312283155211884</v>
      </c>
      <c r="I373" s="65">
        <v>32.22076156799433</v>
      </c>
      <c r="J373" s="65">
        <v>34.436842369043021</v>
      </c>
      <c r="K373" s="65">
        <v>9.9028399127907587</v>
      </c>
      <c r="L373" s="65">
        <v>13.843272189778805</v>
      </c>
      <c r="M373" s="65">
        <v>52.814331747258549</v>
      </c>
    </row>
    <row r="374" spans="1:13" x14ac:dyDescent="0.35">
      <c r="A374" s="45" t="s">
        <v>627</v>
      </c>
      <c r="B374" s="64">
        <v>1</v>
      </c>
      <c r="C374" s="65">
        <v>26.67</v>
      </c>
      <c r="D374" s="65">
        <v>26.76</v>
      </c>
      <c r="E374" s="65">
        <v>33.328801968518675</v>
      </c>
      <c r="F374" s="65">
        <v>-6.5688019685186738</v>
      </c>
      <c r="G374" s="65">
        <v>-0.66440014208581555</v>
      </c>
      <c r="H374" s="65">
        <v>0.56312283155211884</v>
      </c>
      <c r="I374" s="65">
        <v>32.22076156799433</v>
      </c>
      <c r="J374" s="65">
        <v>34.436842369043021</v>
      </c>
      <c r="K374" s="65">
        <v>9.9028399127907587</v>
      </c>
      <c r="L374" s="65">
        <v>13.843272189778805</v>
      </c>
      <c r="M374" s="65">
        <v>52.814331747258549</v>
      </c>
    </row>
    <row r="375" spans="1:13" x14ac:dyDescent="0.35">
      <c r="A375" s="45" t="s">
        <v>628</v>
      </c>
      <c r="B375" s="64">
        <v>1</v>
      </c>
      <c r="C375" s="65">
        <v>23.42</v>
      </c>
      <c r="D375" s="65">
        <v>10.51</v>
      </c>
      <c r="E375" s="65">
        <v>30.682687197654342</v>
      </c>
      <c r="F375" s="65">
        <v>-20.172687197654341</v>
      </c>
      <c r="G375" s="65">
        <v>-2.0403623529233439</v>
      </c>
      <c r="H375" s="65">
        <v>0.58498351562800888</v>
      </c>
      <c r="I375" s="65">
        <v>29.531632165539904</v>
      </c>
      <c r="J375" s="65">
        <v>31.833742229768781</v>
      </c>
      <c r="K375" s="65">
        <v>9.9041070636631812</v>
      </c>
      <c r="L375" s="65">
        <v>11.194664083035452</v>
      </c>
      <c r="M375" s="65">
        <v>50.170710312273229</v>
      </c>
    </row>
    <row r="376" spans="1:13" x14ac:dyDescent="0.35">
      <c r="A376" s="45" t="s">
        <v>629</v>
      </c>
      <c r="B376" s="64">
        <v>1</v>
      </c>
      <c r="C376" s="65">
        <v>11.67</v>
      </c>
      <c r="D376" s="65">
        <v>18.34</v>
      </c>
      <c r="E376" s="65">
        <v>21.115964564529435</v>
      </c>
      <c r="F376" s="65">
        <v>-2.7759645645294349</v>
      </c>
      <c r="G376" s="65">
        <v>-0.28077437254733745</v>
      </c>
      <c r="H376" s="65">
        <v>0.80634826983502084</v>
      </c>
      <c r="I376" s="65">
        <v>19.529336550517868</v>
      </c>
      <c r="J376" s="65">
        <v>22.702592578541001</v>
      </c>
      <c r="K376" s="65">
        <v>9.9196435695650038</v>
      </c>
      <c r="L376" s="65">
        <v>1.5973707195873672</v>
      </c>
      <c r="M376" s="65">
        <v>40.634558409471502</v>
      </c>
    </row>
    <row r="377" spans="1:13" x14ac:dyDescent="0.35">
      <c r="A377" s="45" t="s">
        <v>630</v>
      </c>
      <c r="B377" s="64">
        <v>1</v>
      </c>
      <c r="C377" s="65">
        <v>11.67</v>
      </c>
      <c r="D377" s="65">
        <v>18.34</v>
      </c>
      <c r="E377" s="65">
        <v>21.115964564529435</v>
      </c>
      <c r="F377" s="65">
        <v>-2.7759645645294349</v>
      </c>
      <c r="G377" s="65">
        <v>-0.28077437254733745</v>
      </c>
      <c r="H377" s="65">
        <v>0.80634826983502084</v>
      </c>
      <c r="I377" s="65">
        <v>19.529336550517868</v>
      </c>
      <c r="J377" s="65">
        <v>22.702592578541001</v>
      </c>
      <c r="K377" s="65">
        <v>9.9196435695650038</v>
      </c>
      <c r="L377" s="65">
        <v>1.5973707195873672</v>
      </c>
      <c r="M377" s="65">
        <v>40.634558409471502</v>
      </c>
    </row>
    <row r="378" spans="1:13" x14ac:dyDescent="0.35">
      <c r="A378" s="45" t="s">
        <v>631</v>
      </c>
      <c r="B378" s="64">
        <v>1</v>
      </c>
      <c r="C378" s="65">
        <v>11.67</v>
      </c>
      <c r="D378" s="65">
        <v>18.34</v>
      </c>
      <c r="E378" s="65">
        <v>21.115964564529435</v>
      </c>
      <c r="F378" s="65">
        <v>-2.7759645645294349</v>
      </c>
      <c r="G378" s="65">
        <v>-0.28077437254733745</v>
      </c>
      <c r="H378" s="65">
        <v>0.80634826983502084</v>
      </c>
      <c r="I378" s="65">
        <v>19.529336550517868</v>
      </c>
      <c r="J378" s="65">
        <v>22.702592578541001</v>
      </c>
      <c r="K378" s="65">
        <v>9.9196435695650038</v>
      </c>
      <c r="L378" s="65">
        <v>1.5973707195873672</v>
      </c>
      <c r="M378" s="65">
        <v>40.634558409471502</v>
      </c>
    </row>
    <row r="379" spans="1:13" x14ac:dyDescent="0.35">
      <c r="A379" s="45" t="s">
        <v>632</v>
      </c>
      <c r="B379" s="64">
        <v>1</v>
      </c>
      <c r="C379" s="65">
        <v>13.42</v>
      </c>
      <c r="D379" s="65">
        <v>8.09</v>
      </c>
      <c r="E379" s="65">
        <v>22.540795594994847</v>
      </c>
      <c r="F379" s="65">
        <v>-14.450795594994847</v>
      </c>
      <c r="G379" s="65">
        <v>-1.4616227879271559</v>
      </c>
      <c r="H379" s="65">
        <v>0.7633841371719462</v>
      </c>
      <c r="I379" s="65">
        <v>21.038706853938987</v>
      </c>
      <c r="J379" s="65">
        <v>24.042884336050708</v>
      </c>
      <c r="K379" s="65">
        <v>9.9162435607356958</v>
      </c>
      <c r="L379" s="65">
        <v>3.0288918484361638</v>
      </c>
      <c r="M379" s="65">
        <v>42.052699341553534</v>
      </c>
    </row>
    <row r="380" spans="1:13" x14ac:dyDescent="0.35">
      <c r="A380" s="45" t="s">
        <v>633</v>
      </c>
      <c r="B380" s="64">
        <v>1</v>
      </c>
      <c r="C380" s="65">
        <v>11.67</v>
      </c>
      <c r="D380" s="65">
        <v>22.34</v>
      </c>
      <c r="E380" s="65">
        <v>21.115964564529435</v>
      </c>
      <c r="F380" s="65">
        <v>1.2240354354705651</v>
      </c>
      <c r="G380" s="65">
        <v>0.12380481572473281</v>
      </c>
      <c r="H380" s="65">
        <v>0.80634826983502084</v>
      </c>
      <c r="I380" s="65">
        <v>19.529336550517868</v>
      </c>
      <c r="J380" s="65">
        <v>22.702592578541001</v>
      </c>
      <c r="K380" s="65">
        <v>9.9196435695650038</v>
      </c>
      <c r="L380" s="65">
        <v>1.5973707195873672</v>
      </c>
      <c r="M380" s="65">
        <v>40.634558409471502</v>
      </c>
    </row>
    <row r="381" spans="1:13" x14ac:dyDescent="0.35">
      <c r="A381" s="45" t="s">
        <v>634</v>
      </c>
      <c r="B381" s="64">
        <v>1</v>
      </c>
      <c r="C381" s="65">
        <v>11.67</v>
      </c>
      <c r="D381" s="65">
        <v>21.34</v>
      </c>
      <c r="E381" s="65">
        <v>21.115964564529435</v>
      </c>
      <c r="F381" s="65">
        <v>0.22403543547056515</v>
      </c>
      <c r="G381" s="65">
        <v>2.2660018656715256E-2</v>
      </c>
      <c r="H381" s="65">
        <v>0.80634826983502084</v>
      </c>
      <c r="I381" s="65">
        <v>19.529336550517868</v>
      </c>
      <c r="J381" s="65">
        <v>22.702592578541001</v>
      </c>
      <c r="K381" s="65">
        <v>9.9196435695650038</v>
      </c>
      <c r="L381" s="65">
        <v>1.5973707195873672</v>
      </c>
      <c r="M381" s="65">
        <v>40.634558409471502</v>
      </c>
    </row>
    <row r="382" spans="1:13" x14ac:dyDescent="0.35">
      <c r="A382" s="45" t="s">
        <v>635</v>
      </c>
      <c r="B382" s="64">
        <v>1</v>
      </c>
      <c r="C382" s="65">
        <v>11.67</v>
      </c>
      <c r="D382" s="65">
        <v>21.34</v>
      </c>
      <c r="E382" s="65">
        <v>21.115964564529435</v>
      </c>
      <c r="F382" s="65">
        <v>0.22403543547056515</v>
      </c>
      <c r="G382" s="65">
        <v>2.2660018656715256E-2</v>
      </c>
      <c r="H382" s="65">
        <v>0.80634826983502084</v>
      </c>
      <c r="I382" s="65">
        <v>19.529336550517868</v>
      </c>
      <c r="J382" s="65">
        <v>22.702592578541001</v>
      </c>
      <c r="K382" s="65">
        <v>9.9196435695650038</v>
      </c>
      <c r="L382" s="65">
        <v>1.5973707195873672</v>
      </c>
      <c r="M382" s="65">
        <v>40.634558409471502</v>
      </c>
    </row>
    <row r="383" spans="1:13" x14ac:dyDescent="0.35">
      <c r="A383" s="45" t="s">
        <v>636</v>
      </c>
      <c r="B383" s="64">
        <v>1</v>
      </c>
      <c r="C383" s="65">
        <v>13.42</v>
      </c>
      <c r="D383" s="65">
        <v>16.09</v>
      </c>
      <c r="E383" s="65">
        <v>22.540795594994847</v>
      </c>
      <c r="F383" s="65">
        <v>-6.4507955949948474</v>
      </c>
      <c r="G383" s="65">
        <v>-0.65246441138301547</v>
      </c>
      <c r="H383" s="65">
        <v>0.7633841371719462</v>
      </c>
      <c r="I383" s="65">
        <v>21.038706853938987</v>
      </c>
      <c r="J383" s="65">
        <v>24.042884336050708</v>
      </c>
      <c r="K383" s="65">
        <v>9.9162435607356958</v>
      </c>
      <c r="L383" s="65">
        <v>3.0288918484361638</v>
      </c>
      <c r="M383" s="65">
        <v>42.052699341553534</v>
      </c>
    </row>
    <row r="384" spans="1:13" x14ac:dyDescent="0.35">
      <c r="A384" s="45" t="s">
        <v>637</v>
      </c>
      <c r="B384" s="64">
        <v>1</v>
      </c>
      <c r="C384" s="65">
        <v>21.67</v>
      </c>
      <c r="D384" s="65">
        <v>29.34</v>
      </c>
      <c r="E384" s="65">
        <v>29.25785616718893</v>
      </c>
      <c r="F384" s="65">
        <v>8.2143832811070183E-2</v>
      </c>
      <c r="G384" s="65">
        <v>8.3084213000648565E-3</v>
      </c>
      <c r="H384" s="65">
        <v>0.60539719692712746</v>
      </c>
      <c r="I384" s="65">
        <v>28.066633728719278</v>
      </c>
      <c r="J384" s="65">
        <v>30.449078605658581</v>
      </c>
      <c r="K384" s="65">
        <v>9.905333754144463</v>
      </c>
      <c r="L384" s="65">
        <v>9.7674193294246798</v>
      </c>
      <c r="M384" s="65">
        <v>48.748293004953183</v>
      </c>
    </row>
    <row r="385" spans="1:13" x14ac:dyDescent="0.35">
      <c r="A385" s="45" t="s">
        <v>638</v>
      </c>
      <c r="B385" s="64">
        <v>1</v>
      </c>
      <c r="C385" s="65">
        <v>21.67</v>
      </c>
      <c r="D385" s="65">
        <v>30.34</v>
      </c>
      <c r="E385" s="65">
        <v>29.25785616718893</v>
      </c>
      <c r="F385" s="65">
        <v>1.0821438328110702</v>
      </c>
      <c r="G385" s="65">
        <v>0.10945321836808242</v>
      </c>
      <c r="H385" s="65">
        <v>0.60539719692712746</v>
      </c>
      <c r="I385" s="65">
        <v>28.066633728719278</v>
      </c>
      <c r="J385" s="65">
        <v>30.449078605658581</v>
      </c>
      <c r="K385" s="65">
        <v>9.905333754144463</v>
      </c>
      <c r="L385" s="65">
        <v>9.7674193294246798</v>
      </c>
      <c r="M385" s="65">
        <v>48.748293004953183</v>
      </c>
    </row>
    <row r="386" spans="1:13" x14ac:dyDescent="0.35">
      <c r="A386" s="45" t="s">
        <v>639</v>
      </c>
      <c r="B386" s="64">
        <v>1</v>
      </c>
      <c r="C386" s="65">
        <v>21.67</v>
      </c>
      <c r="D386" s="65">
        <v>30.34</v>
      </c>
      <c r="E386" s="65">
        <v>29.25785616718893</v>
      </c>
      <c r="F386" s="65">
        <v>1.0821438328110702</v>
      </c>
      <c r="G386" s="65">
        <v>0.10945321836808242</v>
      </c>
      <c r="H386" s="65">
        <v>0.60539719692712746</v>
      </c>
      <c r="I386" s="65">
        <v>28.066633728719278</v>
      </c>
      <c r="J386" s="65">
        <v>30.449078605658581</v>
      </c>
      <c r="K386" s="65">
        <v>9.905333754144463</v>
      </c>
      <c r="L386" s="65">
        <v>9.7674193294246798</v>
      </c>
      <c r="M386" s="65">
        <v>48.748293004953183</v>
      </c>
    </row>
    <row r="387" spans="1:13" x14ac:dyDescent="0.35">
      <c r="A387" s="45" t="s">
        <v>640</v>
      </c>
      <c r="B387" s="64">
        <v>1</v>
      </c>
      <c r="C387" s="65">
        <v>28.42</v>
      </c>
      <c r="D387" s="65">
        <v>31.09</v>
      </c>
      <c r="E387" s="65">
        <v>34.753632998984088</v>
      </c>
      <c r="F387" s="65">
        <v>-3.6636329989840881</v>
      </c>
      <c r="G387" s="65">
        <v>-0.37055741621393817</v>
      </c>
      <c r="H387" s="65">
        <v>0.56069451608633214</v>
      </c>
      <c r="I387" s="65">
        <v>33.650370724102231</v>
      </c>
      <c r="J387" s="65">
        <v>35.856895273865945</v>
      </c>
      <c r="K387" s="65">
        <v>9.9027021239314106</v>
      </c>
      <c r="L387" s="65">
        <v>15.268374343371082</v>
      </c>
      <c r="M387" s="65">
        <v>54.238891654597097</v>
      </c>
    </row>
    <row r="388" spans="1:13" x14ac:dyDescent="0.35">
      <c r="A388" s="45" t="s">
        <v>641</v>
      </c>
      <c r="B388" s="64">
        <v>1</v>
      </c>
      <c r="C388" s="65">
        <v>26.67</v>
      </c>
      <c r="D388" s="65">
        <v>24.34</v>
      </c>
      <c r="E388" s="65">
        <v>33.328801968518675</v>
      </c>
      <c r="F388" s="65">
        <v>-8.9888019685186755</v>
      </c>
      <c r="G388" s="65">
        <v>-0.90917055099041821</v>
      </c>
      <c r="H388" s="65">
        <v>0.56312283155211884</v>
      </c>
      <c r="I388" s="65">
        <v>32.22076156799433</v>
      </c>
      <c r="J388" s="65">
        <v>34.436842369043021</v>
      </c>
      <c r="K388" s="65">
        <v>9.9028399127907587</v>
      </c>
      <c r="L388" s="65">
        <v>13.843272189778805</v>
      </c>
      <c r="M388" s="65">
        <v>52.814331747258549</v>
      </c>
    </row>
    <row r="389" spans="1:13" x14ac:dyDescent="0.35">
      <c r="A389" s="45" t="s">
        <v>642</v>
      </c>
      <c r="B389" s="64">
        <v>1</v>
      </c>
      <c r="C389" s="65">
        <v>26.67</v>
      </c>
      <c r="D389" s="65">
        <v>35.340000000000003</v>
      </c>
      <c r="E389" s="65">
        <v>33.328801968518675</v>
      </c>
      <c r="F389" s="65">
        <v>2.011198031481328</v>
      </c>
      <c r="G389" s="65">
        <v>0.2034222167577753</v>
      </c>
      <c r="H389" s="65">
        <v>0.56312283155211884</v>
      </c>
      <c r="I389" s="65">
        <v>32.22076156799433</v>
      </c>
      <c r="J389" s="65">
        <v>34.436842369043021</v>
      </c>
      <c r="K389" s="65">
        <v>9.9028399127907587</v>
      </c>
      <c r="L389" s="65">
        <v>13.843272189778805</v>
      </c>
      <c r="M389" s="65">
        <v>52.814331747258549</v>
      </c>
    </row>
    <row r="390" spans="1:13" x14ac:dyDescent="0.35">
      <c r="A390" s="45" t="s">
        <v>643</v>
      </c>
      <c r="B390" s="64">
        <v>1</v>
      </c>
      <c r="C390" s="65">
        <v>26.67</v>
      </c>
      <c r="D390" s="65">
        <v>35.340000000000003</v>
      </c>
      <c r="E390" s="65">
        <v>33.328801968518675</v>
      </c>
      <c r="F390" s="65">
        <v>2.011198031481328</v>
      </c>
      <c r="G390" s="65">
        <v>0.2034222167577753</v>
      </c>
      <c r="H390" s="65">
        <v>0.56312283155211884</v>
      </c>
      <c r="I390" s="65">
        <v>32.22076156799433</v>
      </c>
      <c r="J390" s="65">
        <v>34.436842369043021</v>
      </c>
      <c r="K390" s="65">
        <v>9.9028399127907587</v>
      </c>
      <c r="L390" s="65">
        <v>13.843272189778805</v>
      </c>
      <c r="M390" s="65">
        <v>52.814331747258549</v>
      </c>
    </row>
    <row r="391" spans="1:13" x14ac:dyDescent="0.35">
      <c r="A391" s="45" t="s">
        <v>644</v>
      </c>
      <c r="B391" s="64">
        <v>1</v>
      </c>
      <c r="C391" s="65">
        <v>28.42</v>
      </c>
      <c r="D391" s="65">
        <v>37.090000000000003</v>
      </c>
      <c r="E391" s="65">
        <v>34.753632998984088</v>
      </c>
      <c r="F391" s="65">
        <v>2.3363670010159154</v>
      </c>
      <c r="G391" s="65">
        <v>0.23631136619416754</v>
      </c>
      <c r="H391" s="65">
        <v>0.56069451608633214</v>
      </c>
      <c r="I391" s="65">
        <v>33.650370724102231</v>
      </c>
      <c r="J391" s="65">
        <v>35.856895273865945</v>
      </c>
      <c r="K391" s="65">
        <v>9.9027021239314106</v>
      </c>
      <c r="L391" s="65">
        <v>15.268374343371082</v>
      </c>
      <c r="M391" s="65">
        <v>54.238891654597097</v>
      </c>
    </row>
    <row r="392" spans="1:13" x14ac:dyDescent="0.35">
      <c r="A392" s="45" t="s">
        <v>645</v>
      </c>
      <c r="B392" s="64">
        <v>1</v>
      </c>
      <c r="C392" s="65">
        <v>31.67</v>
      </c>
      <c r="D392" s="65">
        <v>37.340000000000003</v>
      </c>
      <c r="E392" s="65">
        <v>37.399747769848432</v>
      </c>
      <c r="F392" s="65">
        <v>-5.9747769848428334E-2</v>
      </c>
      <c r="G392" s="65">
        <v>-6.0431760565859017E-3</v>
      </c>
      <c r="H392" s="65">
        <v>0.57388196327142649</v>
      </c>
      <c r="I392" s="65">
        <v>36.270536939088295</v>
      </c>
      <c r="J392" s="65">
        <v>38.528958600608568</v>
      </c>
      <c r="K392" s="65">
        <v>9.9034575539411822</v>
      </c>
      <c r="L392" s="65">
        <v>17.913002676599277</v>
      </c>
      <c r="M392" s="65">
        <v>56.886492863097587</v>
      </c>
    </row>
    <row r="393" spans="1:13" x14ac:dyDescent="0.35">
      <c r="A393" s="45" t="s">
        <v>646</v>
      </c>
      <c r="B393" s="64">
        <v>1</v>
      </c>
      <c r="C393" s="65">
        <v>31.67</v>
      </c>
      <c r="D393" s="65">
        <v>37.340000000000003</v>
      </c>
      <c r="E393" s="65">
        <v>37.399747769848432</v>
      </c>
      <c r="F393" s="65">
        <v>-5.9747769848428334E-2</v>
      </c>
      <c r="G393" s="65">
        <v>-6.0431760565859017E-3</v>
      </c>
      <c r="H393" s="65">
        <v>0.57388196327142649</v>
      </c>
      <c r="I393" s="65">
        <v>36.270536939088295</v>
      </c>
      <c r="J393" s="65">
        <v>38.528958600608568</v>
      </c>
      <c r="K393" s="65">
        <v>9.9034575539411822</v>
      </c>
      <c r="L393" s="65">
        <v>17.913002676599277</v>
      </c>
      <c r="M393" s="65">
        <v>56.886492863097587</v>
      </c>
    </row>
    <row r="394" spans="1:13" x14ac:dyDescent="0.35">
      <c r="A394" s="45" t="s">
        <v>647</v>
      </c>
      <c r="B394" s="64">
        <v>1</v>
      </c>
      <c r="C394" s="65">
        <v>31.67</v>
      </c>
      <c r="D394" s="65">
        <v>39.76</v>
      </c>
      <c r="E394" s="65">
        <v>37.399747769848432</v>
      </c>
      <c r="F394" s="65">
        <v>2.3602522301515663</v>
      </c>
      <c r="G394" s="65">
        <v>0.23872723284801603</v>
      </c>
      <c r="H394" s="65">
        <v>0.57388196327142649</v>
      </c>
      <c r="I394" s="65">
        <v>36.270536939088295</v>
      </c>
      <c r="J394" s="65">
        <v>38.528958600608568</v>
      </c>
      <c r="K394" s="65">
        <v>9.9034575539411822</v>
      </c>
      <c r="L394" s="65">
        <v>17.913002676599277</v>
      </c>
      <c r="M394" s="65">
        <v>56.886492863097587</v>
      </c>
    </row>
    <row r="395" spans="1:13" x14ac:dyDescent="0.35">
      <c r="A395" s="45" t="s">
        <v>648</v>
      </c>
      <c r="B395" s="64">
        <v>1</v>
      </c>
      <c r="C395" s="65">
        <v>38.42</v>
      </c>
      <c r="D395" s="65">
        <v>63.09</v>
      </c>
      <c r="E395" s="65">
        <v>42.895524601643586</v>
      </c>
      <c r="F395" s="65">
        <v>20.194475398356417</v>
      </c>
      <c r="G395" s="65">
        <v>2.0425661160618329</v>
      </c>
      <c r="H395" s="65">
        <v>0.66604690146390033</v>
      </c>
      <c r="I395" s="65">
        <v>41.584963505351482</v>
      </c>
      <c r="J395" s="65">
        <v>44.206085697935691</v>
      </c>
      <c r="K395" s="65">
        <v>9.9092254737641365</v>
      </c>
      <c r="L395" s="65">
        <v>23.397430140489735</v>
      </c>
      <c r="M395" s="65">
        <v>62.393619062797441</v>
      </c>
    </row>
    <row r="396" spans="1:13" x14ac:dyDescent="0.35">
      <c r="A396" s="45" t="s">
        <v>649</v>
      </c>
      <c r="B396" s="64">
        <v>1</v>
      </c>
      <c r="C396" s="65">
        <v>41.67</v>
      </c>
      <c r="D396" s="65">
        <v>67.34</v>
      </c>
      <c r="E396" s="65">
        <v>45.541639372507916</v>
      </c>
      <c r="F396" s="65">
        <v>21.798360627492087</v>
      </c>
      <c r="G396" s="65">
        <v>2.2047907620831513</v>
      </c>
      <c r="H396" s="65">
        <v>0.73396304908970922</v>
      </c>
      <c r="I396" s="65">
        <v>44.097441649886967</v>
      </c>
      <c r="J396" s="65">
        <v>46.985837095128865</v>
      </c>
      <c r="K396" s="65">
        <v>9.9140220280356175</v>
      </c>
      <c r="L396" s="65">
        <v>26.034106871164042</v>
      </c>
      <c r="M396" s="65">
        <v>65.04917187385179</v>
      </c>
    </row>
    <row r="397" spans="1:13" x14ac:dyDescent="0.35">
      <c r="A397" s="45" t="s">
        <v>650</v>
      </c>
      <c r="B397" s="64">
        <v>1</v>
      </c>
      <c r="C397" s="65">
        <v>41.67</v>
      </c>
      <c r="D397" s="65">
        <v>67.34</v>
      </c>
      <c r="E397" s="65">
        <v>45.541639372507916</v>
      </c>
      <c r="F397" s="65">
        <v>21.798360627492087</v>
      </c>
      <c r="G397" s="65">
        <v>2.2047907620831513</v>
      </c>
      <c r="H397" s="65">
        <v>0.73396304908970922</v>
      </c>
      <c r="I397" s="65">
        <v>44.097441649886967</v>
      </c>
      <c r="J397" s="65">
        <v>46.985837095128865</v>
      </c>
      <c r="K397" s="65">
        <v>9.9140220280356175</v>
      </c>
      <c r="L397" s="65">
        <v>26.034106871164042</v>
      </c>
      <c r="M397" s="65">
        <v>65.04917187385179</v>
      </c>
    </row>
    <row r="398" spans="1:13" x14ac:dyDescent="0.35">
      <c r="A398" s="45" t="s">
        <v>651</v>
      </c>
      <c r="B398" s="64">
        <v>1</v>
      </c>
      <c r="C398" s="65">
        <v>41.67</v>
      </c>
      <c r="D398" s="65">
        <v>67.34</v>
      </c>
      <c r="E398" s="65">
        <v>45.541639372507916</v>
      </c>
      <c r="F398" s="65">
        <v>21.798360627492087</v>
      </c>
      <c r="G398" s="65">
        <v>2.2047907620831513</v>
      </c>
      <c r="H398" s="65">
        <v>0.73396304908970922</v>
      </c>
      <c r="I398" s="65">
        <v>44.097441649886967</v>
      </c>
      <c r="J398" s="65">
        <v>46.985837095128865</v>
      </c>
      <c r="K398" s="65">
        <v>9.9140220280356175</v>
      </c>
      <c r="L398" s="65">
        <v>26.034106871164042</v>
      </c>
      <c r="M398" s="65">
        <v>65.04917187385179</v>
      </c>
    </row>
    <row r="399" spans="1:13" x14ac:dyDescent="0.35">
      <c r="A399" s="45" t="s">
        <v>652</v>
      </c>
      <c r="B399" s="64">
        <v>1</v>
      </c>
      <c r="C399" s="65">
        <v>53.42</v>
      </c>
      <c r="D399" s="65">
        <v>64.09</v>
      </c>
      <c r="E399" s="65">
        <v>55.108362005632827</v>
      </c>
      <c r="F399" s="65">
        <v>8.9816379943671762</v>
      </c>
      <c r="G399" s="65">
        <v>0.90844595227866431</v>
      </c>
      <c r="H399" s="65">
        <v>1.0486733901493175</v>
      </c>
      <c r="I399" s="65">
        <v>53.044917907588427</v>
      </c>
      <c r="J399" s="65">
        <v>57.171806103677227</v>
      </c>
      <c r="K399" s="65">
        <v>9.9422757401992055</v>
      </c>
      <c r="L399" s="65">
        <v>35.545235497461434</v>
      </c>
      <c r="M399" s="65">
        <v>74.671488513804221</v>
      </c>
    </row>
    <row r="400" spans="1:13" x14ac:dyDescent="0.35">
      <c r="A400" s="45" t="s">
        <v>653</v>
      </c>
      <c r="B400" s="64">
        <v>1</v>
      </c>
      <c r="C400" s="65">
        <v>51.67</v>
      </c>
      <c r="D400" s="65">
        <v>51.34</v>
      </c>
      <c r="E400" s="65">
        <v>53.683530975167415</v>
      </c>
      <c r="F400" s="65">
        <v>-2.3435309751674112</v>
      </c>
      <c r="G400" s="65">
        <v>-0.2370359649059211</v>
      </c>
      <c r="H400" s="65">
        <v>0.99729108841381475</v>
      </c>
      <c r="I400" s="65">
        <v>51.721190336270539</v>
      </c>
      <c r="J400" s="65">
        <v>55.645871614064291</v>
      </c>
      <c r="K400" s="65">
        <v>9.9369874977266637</v>
      </c>
      <c r="L400" s="65">
        <v>34.130809987743945</v>
      </c>
      <c r="M400" s="65">
        <v>73.236251962590885</v>
      </c>
    </row>
    <row r="401" spans="1:13" x14ac:dyDescent="0.35">
      <c r="A401" s="45" t="s">
        <v>654</v>
      </c>
      <c r="B401" s="64">
        <v>1</v>
      </c>
      <c r="C401" s="65">
        <v>51.67</v>
      </c>
      <c r="D401" s="65">
        <v>50.76</v>
      </c>
      <c r="E401" s="65">
        <v>53.683530975167415</v>
      </c>
      <c r="F401" s="65">
        <v>-2.9235309751674166</v>
      </c>
      <c r="G401" s="65">
        <v>-0.29569994720537185</v>
      </c>
      <c r="H401" s="65">
        <v>0.99729108841381475</v>
      </c>
      <c r="I401" s="65">
        <v>51.721190336270539</v>
      </c>
      <c r="J401" s="65">
        <v>55.645871614064291</v>
      </c>
      <c r="K401" s="65">
        <v>9.9369874977266637</v>
      </c>
      <c r="L401" s="65">
        <v>34.130809987743945</v>
      </c>
      <c r="M401" s="65">
        <v>73.236251962590885</v>
      </c>
    </row>
    <row r="402" spans="1:13" x14ac:dyDescent="0.35">
      <c r="A402" s="45" t="s">
        <v>655</v>
      </c>
      <c r="B402" s="64">
        <v>1</v>
      </c>
      <c r="C402" s="65">
        <v>51.67</v>
      </c>
      <c r="D402" s="65">
        <v>46.34</v>
      </c>
      <c r="E402" s="65">
        <v>53.683530975167415</v>
      </c>
      <c r="F402" s="65">
        <v>-7.3435309751674112</v>
      </c>
      <c r="G402" s="65">
        <v>-0.74275995024600894</v>
      </c>
      <c r="H402" s="65">
        <v>0.99729108841381475</v>
      </c>
      <c r="I402" s="65">
        <v>51.721190336270539</v>
      </c>
      <c r="J402" s="65">
        <v>55.645871614064291</v>
      </c>
      <c r="K402" s="65">
        <v>9.9369874977266637</v>
      </c>
      <c r="L402" s="65">
        <v>34.130809987743945</v>
      </c>
      <c r="M402" s="65">
        <v>73.236251962590885</v>
      </c>
    </row>
    <row r="403" spans="1:13" x14ac:dyDescent="0.35">
      <c r="A403" s="45" t="s">
        <v>656</v>
      </c>
      <c r="B403" s="64">
        <v>1</v>
      </c>
      <c r="C403" s="65">
        <v>53.42</v>
      </c>
      <c r="D403" s="65">
        <v>50.09</v>
      </c>
      <c r="E403" s="65">
        <v>55.108362005632827</v>
      </c>
      <c r="F403" s="65">
        <v>-5.0183620056328238</v>
      </c>
      <c r="G403" s="65">
        <v>-0.50758120667358153</v>
      </c>
      <c r="H403" s="65">
        <v>1.0486733901493175</v>
      </c>
      <c r="I403" s="65">
        <v>53.044917907588427</v>
      </c>
      <c r="J403" s="65">
        <v>57.171806103677227</v>
      </c>
      <c r="K403" s="65">
        <v>9.9422757401992055</v>
      </c>
      <c r="L403" s="65">
        <v>35.545235497461434</v>
      </c>
      <c r="M403" s="65">
        <v>74.671488513804221</v>
      </c>
    </row>
    <row r="404" spans="1:13" ht="16" thickBot="1" x14ac:dyDescent="0.4">
      <c r="A404" s="49" t="s">
        <v>657</v>
      </c>
      <c r="B404" s="51">
        <v>1</v>
      </c>
      <c r="C404" s="53">
        <v>53.42</v>
      </c>
      <c r="D404" s="53">
        <v>49.09</v>
      </c>
      <c r="E404" s="53">
        <v>55.108362005632827</v>
      </c>
      <c r="F404" s="53">
        <v>-6.0183620056328238</v>
      </c>
      <c r="G404" s="53">
        <v>-0.60872600374159913</v>
      </c>
      <c r="H404" s="53">
        <v>1.0486733901493175</v>
      </c>
      <c r="I404" s="53">
        <v>53.044917907588427</v>
      </c>
      <c r="J404" s="53">
        <v>57.171806103677227</v>
      </c>
      <c r="K404" s="53">
        <v>9.9422757401992055</v>
      </c>
      <c r="L404" s="53">
        <v>35.545235497461434</v>
      </c>
      <c r="M404" s="53">
        <v>74.671488513804221</v>
      </c>
    </row>
    <row r="423" spans="3:3" x14ac:dyDescent="0.35">
      <c r="C423" t="s">
        <v>298</v>
      </c>
    </row>
    <row r="442" spans="3:3" x14ac:dyDescent="0.35">
      <c r="C442" t="s">
        <v>298</v>
      </c>
    </row>
    <row r="461" spans="1:3" x14ac:dyDescent="0.35">
      <c r="C461" t="s">
        <v>298</v>
      </c>
    </row>
    <row r="464" spans="1:3" x14ac:dyDescent="0.35">
      <c r="A464" s="1" t="s">
        <v>659</v>
      </c>
    </row>
    <row r="466" spans="1:4" x14ac:dyDescent="0.35">
      <c r="A466" s="80" t="s">
        <v>660</v>
      </c>
      <c r="B466" s="81"/>
      <c r="C466" s="81"/>
      <c r="D466" s="81"/>
    </row>
    <row r="467" spans="1:4" x14ac:dyDescent="0.35">
      <c r="A467" s="81"/>
      <c r="B467" s="81"/>
      <c r="C467" s="81"/>
      <c r="D467" s="81"/>
    </row>
    <row r="469" spans="1:4" x14ac:dyDescent="0.35">
      <c r="A469" s="80" t="s">
        <v>444</v>
      </c>
      <c r="B469" s="81"/>
      <c r="C469" s="81"/>
      <c r="D469" s="81"/>
    </row>
    <row r="470" spans="1:4" x14ac:dyDescent="0.35">
      <c r="A470" s="81"/>
      <c r="B470" s="81"/>
      <c r="C470" s="81"/>
      <c r="D470" s="81"/>
    </row>
    <row r="471" spans="1:4" x14ac:dyDescent="0.35">
      <c r="A471" s="81"/>
      <c r="B471" s="81"/>
      <c r="C471" s="81"/>
      <c r="D471" s="81"/>
    </row>
    <row r="997" spans="648:648" x14ac:dyDescent="0.35">
      <c r="XX997" s="44">
        <v>166765</v>
      </c>
    </row>
  </sheetData>
  <mergeCells count="2">
    <mergeCell ref="A466:D467"/>
    <mergeCell ref="A469:D471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D838547">
              <controlPr defaultSize="0" autoFill="0" autoPict="0" macro="[0]!GoToResultsNew141120251431126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2</xdr:col>
                    <xdr:colOff>1187450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_HID"/>
  <dimension ref="A1:X100"/>
  <sheetViews>
    <sheetView rightToLeft="1" workbookViewId="0">
      <selection activeCell="U1" sqref="U1"/>
    </sheetView>
  </sheetViews>
  <sheetFormatPr defaultRowHeight="15.5" x14ac:dyDescent="0.35"/>
  <sheetData>
    <row r="1" spans="1:24" x14ac:dyDescent="0.35">
      <c r="A1">
        <v>1</v>
      </c>
      <c r="C1">
        <f t="shared" ref="C1:C32" si="0">-1.117+(A1-1)*1.02034782608696</f>
        <v>-1.117</v>
      </c>
      <c r="D1">
        <f t="shared" ref="D1:D32" si="1">11.6143770642258+0.81418916026595*C1-19.4540000315864*(0.00321543408360129+(C1-28.1775562700965)^2/79301.1119427652)^0.5</f>
        <v>8.4000506237205421</v>
      </c>
      <c r="E1">
        <v>1</v>
      </c>
      <c r="G1">
        <f t="shared" ref="G1:G32" si="2">-1.117+(E1-1)*1.02034782608696</f>
        <v>-1.117</v>
      </c>
      <c r="H1">
        <f t="shared" ref="H1:H32" si="3">11.6143770642258+0.81418916026595*G1+19.4540000315864*(0.00321543408360129+(G1-28.1775562700965)^2/79301.1119427652)^0.5</f>
        <v>13.009804920696926</v>
      </c>
      <c r="I1">
        <v>1</v>
      </c>
      <c r="K1">
        <f t="shared" ref="K1:K32" si="4">-1.117+(I1-1)*0.711151515151515</f>
        <v>-1.117</v>
      </c>
      <c r="L1">
        <f t="shared" ref="L1:L32" si="5">11.6143770642258+0.81418916026595*K1-19.4540000315864*(1.0032154340836+(K1-28.1775562700965)^2/79301.1119427652)^0.5</f>
        <v>-8.8851354206088473</v>
      </c>
      <c r="M1">
        <v>1</v>
      </c>
      <c r="O1">
        <f t="shared" ref="O1:O32" si="6">-1.117+(M1-1)*0.711151515151515</f>
        <v>-1.117</v>
      </c>
      <c r="P1">
        <f t="shared" ref="P1:P32" si="7">11.6143770642258+0.81418916026595*O1+19.4540000315864*(1.0032154340836+(O1-28.1775562700965)^2/79301.1119427652)^0.5</f>
        <v>30.294990965026315</v>
      </c>
      <c r="Q1">
        <v>1</v>
      </c>
      <c r="S1">
        <f t="shared" ref="S1:S32" si="8">13.5710364541769+(Q1-1)*0.903322722837302</f>
        <v>13.5710364541769</v>
      </c>
      <c r="T1">
        <f t="shared" ref="T1:T32" si="9">0+1*S1-19.4540000315864*(1.0032154340836+(S1-34.5562379421222)^2/52569.0234147739)^0.5</f>
        <v>-5.9953997415468709</v>
      </c>
      <c r="U1">
        <v>1</v>
      </c>
      <c r="W1">
        <f t="shared" ref="W1:W32" si="10">12.3854204603913+(U1-1)*0.92050556332695</f>
        <v>12.3854204603913</v>
      </c>
      <c r="X1">
        <f t="shared" ref="X1:X32" si="11">0+1*W1+19.4540000315864*(1.0032154340836+(W1-34.5562379421222)^2/52569.0234147739)^0.5</f>
        <v>31.961267470010867</v>
      </c>
    </row>
    <row r="2" spans="1:24" x14ac:dyDescent="0.35">
      <c r="A2">
        <v>2</v>
      </c>
      <c r="C2">
        <f t="shared" si="0"/>
        <v>-9.6652173913039929E-2</v>
      </c>
      <c r="D2">
        <f t="shared" si="1"/>
        <v>9.2924438429060991</v>
      </c>
      <c r="E2">
        <v>2</v>
      </c>
      <c r="G2">
        <f t="shared" si="2"/>
        <v>-9.6652173913039929E-2</v>
      </c>
      <c r="H2">
        <f t="shared" si="3"/>
        <v>13.77892398091323</v>
      </c>
      <c r="I2">
        <v>2</v>
      </c>
      <c r="K2">
        <f t="shared" si="4"/>
        <v>-0.40584848484848501</v>
      </c>
      <c r="L2">
        <f t="shared" si="5"/>
        <v>-8.3011093424693652</v>
      </c>
      <c r="M2">
        <v>2</v>
      </c>
      <c r="O2">
        <f t="shared" si="6"/>
        <v>-0.40584848484848501</v>
      </c>
      <c r="P2">
        <f t="shared" si="7"/>
        <v>30.868988596772972</v>
      </c>
      <c r="Q2">
        <v>2</v>
      </c>
      <c r="S2">
        <f t="shared" si="8"/>
        <v>14.474359177014202</v>
      </c>
      <c r="T2">
        <f t="shared" si="9"/>
        <v>-5.0852511377459546</v>
      </c>
      <c r="U2">
        <v>2</v>
      </c>
      <c r="W2">
        <f t="shared" si="10"/>
        <v>13.30592602371825</v>
      </c>
      <c r="X2">
        <f t="shared" si="11"/>
        <v>32.874422033046365</v>
      </c>
    </row>
    <row r="3" spans="1:24" x14ac:dyDescent="0.35">
      <c r="A3">
        <v>3</v>
      </c>
      <c r="C3">
        <f t="shared" si="0"/>
        <v>0.92369565217392013</v>
      </c>
      <c r="D3">
        <f t="shared" si="1"/>
        <v>10.184301062541675</v>
      </c>
      <c r="E3">
        <v>3</v>
      </c>
      <c r="G3">
        <f t="shared" si="2"/>
        <v>0.92369565217392013</v>
      </c>
      <c r="H3">
        <f t="shared" si="3"/>
        <v>14.548579040679513</v>
      </c>
      <c r="I3">
        <v>3</v>
      </c>
      <c r="K3">
        <f t="shared" si="4"/>
        <v>0.30530303030302997</v>
      </c>
      <c r="L3">
        <f t="shared" si="5"/>
        <v>-7.7172052475862039</v>
      </c>
      <c r="M3">
        <v>3</v>
      </c>
      <c r="O3">
        <f t="shared" si="6"/>
        <v>0.30530303030302997</v>
      </c>
      <c r="P3">
        <f t="shared" si="7"/>
        <v>31.443108211775954</v>
      </c>
      <c r="Q3">
        <v>3</v>
      </c>
      <c r="S3">
        <f t="shared" si="8"/>
        <v>15.377681899851504</v>
      </c>
      <c r="T3">
        <f t="shared" si="9"/>
        <v>-4.175400593889707</v>
      </c>
      <c r="U3">
        <v>3</v>
      </c>
      <c r="W3">
        <f t="shared" si="10"/>
        <v>14.2264315870452</v>
      </c>
      <c r="X3">
        <f t="shared" si="11"/>
        <v>33.787885681687293</v>
      </c>
    </row>
    <row r="4" spans="1:24" x14ac:dyDescent="0.35">
      <c r="A4">
        <v>4</v>
      </c>
      <c r="C4">
        <f t="shared" si="0"/>
        <v>1.9440434782608804</v>
      </c>
      <c r="D4">
        <f t="shared" si="1"/>
        <v>11.075575972960021</v>
      </c>
      <c r="E4">
        <v>4</v>
      </c>
      <c r="G4">
        <f t="shared" si="2"/>
        <v>1.9440434782608804</v>
      </c>
      <c r="H4">
        <f t="shared" si="3"/>
        <v>15.318816409663025</v>
      </c>
      <c r="I4">
        <v>4</v>
      </c>
      <c r="K4">
        <f t="shared" si="4"/>
        <v>1.0164545454545451</v>
      </c>
      <c r="L4">
        <f t="shared" si="5"/>
        <v>-7.133423227416765</v>
      </c>
      <c r="M4">
        <v>4</v>
      </c>
      <c r="O4">
        <f t="shared" si="6"/>
        <v>1.0164545454545451</v>
      </c>
      <c r="P4">
        <f t="shared" si="7"/>
        <v>32.017349901492658</v>
      </c>
      <c r="Q4">
        <v>4</v>
      </c>
      <c r="S4">
        <f t="shared" si="8"/>
        <v>16.281004622688805</v>
      </c>
      <c r="T4">
        <f t="shared" si="9"/>
        <v>-3.2658484085963266</v>
      </c>
      <c r="U4">
        <v>4</v>
      </c>
      <c r="W4">
        <f t="shared" si="10"/>
        <v>15.14693715037215</v>
      </c>
      <c r="X4">
        <f t="shared" si="11"/>
        <v>34.70165874985112</v>
      </c>
    </row>
    <row r="5" spans="1:24" x14ac:dyDescent="0.35">
      <c r="A5">
        <v>5</v>
      </c>
      <c r="C5">
        <f t="shared" si="0"/>
        <v>2.9643913043478403</v>
      </c>
      <c r="D5">
        <f t="shared" si="1"/>
        <v>11.966217295394983</v>
      </c>
      <c r="E5">
        <v>5</v>
      </c>
      <c r="G5">
        <f t="shared" si="2"/>
        <v>2.9643913043478403</v>
      </c>
      <c r="H5">
        <f t="shared" si="3"/>
        <v>16.089687366629924</v>
      </c>
      <c r="I5">
        <v>5</v>
      </c>
      <c r="K5">
        <f t="shared" si="4"/>
        <v>1.7276060606060599</v>
      </c>
      <c r="L5">
        <f t="shared" si="5"/>
        <v>-6.5497633712243921</v>
      </c>
      <c r="M5">
        <v>5</v>
      </c>
      <c r="O5">
        <f t="shared" si="6"/>
        <v>1.7276060606060599</v>
      </c>
      <c r="P5">
        <f t="shared" si="7"/>
        <v>32.591713755186419</v>
      </c>
      <c r="Q5">
        <v>5</v>
      </c>
      <c r="S5">
        <f t="shared" si="8"/>
        <v>17.184327345526107</v>
      </c>
      <c r="T5">
        <f t="shared" si="9"/>
        <v>-2.3565948672075265</v>
      </c>
      <c r="U5">
        <v>5</v>
      </c>
      <c r="W5">
        <f t="shared" si="10"/>
        <v>16.067442713699101</v>
      </c>
      <c r="X5">
        <f t="shared" si="11"/>
        <v>35.615741557233008</v>
      </c>
    </row>
    <row r="6" spans="1:24" x14ac:dyDescent="0.35">
      <c r="A6">
        <v>6</v>
      </c>
      <c r="C6">
        <f t="shared" si="0"/>
        <v>3.9847391304348001</v>
      </c>
      <c r="D6">
        <f t="shared" si="1"/>
        <v>12.85616818743846</v>
      </c>
      <c r="E6">
        <v>6</v>
      </c>
      <c r="G6">
        <f t="shared" si="2"/>
        <v>3.9847391304348001</v>
      </c>
      <c r="H6">
        <f t="shared" si="3"/>
        <v>16.861248753988306</v>
      </c>
      <c r="I6">
        <v>6</v>
      </c>
      <c r="K6">
        <f t="shared" si="4"/>
        <v>2.4387575757575748</v>
      </c>
      <c r="L6">
        <f t="shared" si="5"/>
        <v>-5.9662257660701421</v>
      </c>
      <c r="M6">
        <v>6</v>
      </c>
      <c r="O6">
        <f t="shared" si="6"/>
        <v>2.4387575757575748</v>
      </c>
      <c r="P6">
        <f t="shared" si="7"/>
        <v>33.166199859918308</v>
      </c>
      <c r="Q6">
        <v>6</v>
      </c>
      <c r="S6">
        <f t="shared" si="8"/>
        <v>18.087650068363409</v>
      </c>
      <c r="T6">
        <f t="shared" si="9"/>
        <v>-1.4476402417237928</v>
      </c>
      <c r="U6">
        <v>6</v>
      </c>
      <c r="W6">
        <f t="shared" si="10"/>
        <v>16.987948277026049</v>
      </c>
      <c r="X6">
        <f t="shared" si="11"/>
        <v>36.530134409230627</v>
      </c>
    </row>
    <row r="7" spans="1:24" x14ac:dyDescent="0.35">
      <c r="A7">
        <v>7</v>
      </c>
      <c r="C7">
        <f t="shared" si="0"/>
        <v>5.0050869565217608</v>
      </c>
      <c r="D7">
        <f t="shared" si="1"/>
        <v>13.745365580514704</v>
      </c>
      <c r="E7">
        <v>7</v>
      </c>
      <c r="G7">
        <f t="shared" si="2"/>
        <v>5.0050869565217608</v>
      </c>
      <c r="H7">
        <f t="shared" si="3"/>
        <v>17.63356364031392</v>
      </c>
      <c r="I7">
        <v>7</v>
      </c>
      <c r="K7">
        <f t="shared" si="4"/>
        <v>3.1499090909090901</v>
      </c>
      <c r="L7">
        <f t="shared" si="5"/>
        <v>-5.382810496804689</v>
      </c>
      <c r="M7">
        <v>7</v>
      </c>
      <c r="O7">
        <f t="shared" si="6"/>
        <v>3.1499090909090901</v>
      </c>
      <c r="P7">
        <f t="shared" si="7"/>
        <v>33.740808300539001</v>
      </c>
      <c r="Q7">
        <v>7</v>
      </c>
      <c r="S7">
        <f t="shared" si="8"/>
        <v>18.990972791200711</v>
      </c>
      <c r="T7">
        <f t="shared" si="9"/>
        <v>-0.53898479074252137</v>
      </c>
      <c r="U7">
        <v>7</v>
      </c>
      <c r="W7">
        <f t="shared" si="10"/>
        <v>17.908453840353001</v>
      </c>
      <c r="X7">
        <f t="shared" si="11"/>
        <v>37.444837596872247</v>
      </c>
    </row>
    <row r="8" spans="1:24" x14ac:dyDescent="0.35">
      <c r="A8">
        <v>8</v>
      </c>
      <c r="C8">
        <f t="shared" si="0"/>
        <v>6.0254347826087207</v>
      </c>
      <c r="D8">
        <f t="shared" si="1"/>
        <v>14.633739445451473</v>
      </c>
      <c r="E8">
        <v>8</v>
      </c>
      <c r="G8">
        <f t="shared" si="2"/>
        <v>6.0254347826087207</v>
      </c>
      <c r="H8">
        <f t="shared" si="3"/>
        <v>18.406702054779011</v>
      </c>
      <c r="I8">
        <v>8</v>
      </c>
      <c r="K8">
        <f t="shared" si="4"/>
        <v>3.8610606060606045</v>
      </c>
      <c r="L8">
        <f t="shared" si="5"/>
        <v>-4.7995176460605204</v>
      </c>
      <c r="M8">
        <v>8</v>
      </c>
      <c r="O8">
        <f t="shared" si="6"/>
        <v>3.8610606060606045</v>
      </c>
      <c r="P8">
        <f t="shared" si="7"/>
        <v>34.315539159680966</v>
      </c>
      <c r="Q8">
        <v>8</v>
      </c>
      <c r="S8">
        <f t="shared" si="8"/>
        <v>19.894295514038014</v>
      </c>
      <c r="T8">
        <f t="shared" si="9"/>
        <v>0.36937124060096949</v>
      </c>
      <c r="U8">
        <v>8</v>
      </c>
      <c r="W8">
        <f t="shared" si="10"/>
        <v>18.828959403679949</v>
      </c>
      <c r="X8">
        <f t="shared" si="11"/>
        <v>38.359851396747985</v>
      </c>
    </row>
    <row r="9" spans="1:24" x14ac:dyDescent="0.35">
      <c r="A9">
        <v>9</v>
      </c>
      <c r="C9">
        <f t="shared" si="0"/>
        <v>7.0457826086956805</v>
      </c>
      <c r="D9">
        <f t="shared" si="1"/>
        <v>15.521211984013577</v>
      </c>
      <c r="E9">
        <v>9</v>
      </c>
      <c r="G9">
        <f t="shared" si="2"/>
        <v>7.0457826086956805</v>
      </c>
      <c r="H9">
        <f t="shared" si="3"/>
        <v>19.180741795618772</v>
      </c>
      <c r="I9">
        <v>9</v>
      </c>
      <c r="K9">
        <f t="shared" si="4"/>
        <v>4.5722121212121198</v>
      </c>
      <c r="L9">
        <f t="shared" si="5"/>
        <v>-4.2163472942441906</v>
      </c>
      <c r="M9">
        <v>9</v>
      </c>
      <c r="O9">
        <f t="shared" si="6"/>
        <v>4.5722121212121198</v>
      </c>
      <c r="P9">
        <f t="shared" si="7"/>
        <v>34.890392517750783</v>
      </c>
      <c r="Q9">
        <v>9</v>
      </c>
      <c r="S9">
        <f t="shared" si="8"/>
        <v>20.797618236875316</v>
      </c>
      <c r="T9">
        <f t="shared" si="9"/>
        <v>1.2774276206893447</v>
      </c>
      <c r="U9">
        <v>9</v>
      </c>
      <c r="W9">
        <f t="shared" si="10"/>
        <v>19.749464967006901</v>
      </c>
      <c r="X9">
        <f t="shared" si="11"/>
        <v>39.275176070944433</v>
      </c>
    </row>
    <row r="10" spans="1:24" x14ac:dyDescent="0.35">
      <c r="A10">
        <v>10</v>
      </c>
      <c r="C10">
        <f t="shared" si="0"/>
        <v>8.0661304347826395</v>
      </c>
      <c r="D10">
        <f t="shared" si="1"/>
        <v>16.407696747182605</v>
      </c>
      <c r="E10">
        <v>10</v>
      </c>
      <c r="G10">
        <f t="shared" si="2"/>
        <v>8.0661304347826395</v>
      </c>
      <c r="H10">
        <f t="shared" si="3"/>
        <v>19.955769311851597</v>
      </c>
      <c r="I10">
        <v>10</v>
      </c>
      <c r="K10">
        <f t="shared" si="4"/>
        <v>5.2833636363636352</v>
      </c>
      <c r="L10">
        <f t="shared" si="5"/>
        <v>-3.6332995195289239</v>
      </c>
      <c r="M10">
        <v>10</v>
      </c>
      <c r="O10">
        <f t="shared" si="6"/>
        <v>5.2833636363636352</v>
      </c>
      <c r="P10">
        <f t="shared" si="7"/>
        <v>35.465368452921652</v>
      </c>
      <c r="Q10">
        <v>10</v>
      </c>
      <c r="S10">
        <f t="shared" si="8"/>
        <v>21.700940959712618</v>
      </c>
      <c r="T10">
        <f t="shared" si="9"/>
        <v>2.1851841314762908</v>
      </c>
      <c r="U10">
        <v>10</v>
      </c>
      <c r="W10">
        <f t="shared" si="10"/>
        <v>20.669970530333849</v>
      </c>
      <c r="X10">
        <f t="shared" si="11"/>
        <v>40.190811866982472</v>
      </c>
    </row>
    <row r="11" spans="1:24" x14ac:dyDescent="0.35">
      <c r="A11">
        <v>11</v>
      </c>
      <c r="C11">
        <f t="shared" si="0"/>
        <v>9.0864782608696011</v>
      </c>
      <c r="D11">
        <f t="shared" si="1"/>
        <v>17.293097685453166</v>
      </c>
      <c r="E11">
        <v>11</v>
      </c>
      <c r="G11">
        <f t="shared" si="2"/>
        <v>9.0864782608696011</v>
      </c>
      <c r="H11">
        <f t="shared" si="3"/>
        <v>20.731880652982898</v>
      </c>
      <c r="I11">
        <v>11</v>
      </c>
      <c r="K11">
        <f t="shared" si="4"/>
        <v>5.9945151515151496</v>
      </c>
      <c r="L11">
        <f t="shared" si="5"/>
        <v>-3.0503743978472926</v>
      </c>
      <c r="M11">
        <v>11</v>
      </c>
      <c r="O11">
        <f t="shared" si="6"/>
        <v>5.9945151515151496</v>
      </c>
      <c r="P11">
        <f t="shared" si="7"/>
        <v>36.040467041126163</v>
      </c>
      <c r="Q11">
        <v>11</v>
      </c>
      <c r="S11">
        <f t="shared" si="8"/>
        <v>22.60426368254992</v>
      </c>
      <c r="T11">
        <f t="shared" si="9"/>
        <v>3.0926405685364351</v>
      </c>
      <c r="U11">
        <v>11</v>
      </c>
      <c r="W11">
        <f t="shared" si="10"/>
        <v>21.590476093660801</v>
      </c>
      <c r="X11">
        <f t="shared" si="11"/>
        <v>41.106759017758577</v>
      </c>
    </row>
    <row r="12" spans="1:24" x14ac:dyDescent="0.35">
      <c r="A12">
        <v>12</v>
      </c>
      <c r="C12">
        <f t="shared" si="0"/>
        <v>10.106826086956559</v>
      </c>
      <c r="D12">
        <f t="shared" si="1"/>
        <v>18.177308143021442</v>
      </c>
      <c r="E12">
        <v>12</v>
      </c>
      <c r="G12">
        <f t="shared" si="2"/>
        <v>10.106826086956559</v>
      </c>
      <c r="H12">
        <f t="shared" si="3"/>
        <v>21.509182474816477</v>
      </c>
      <c r="I12">
        <v>12</v>
      </c>
      <c r="K12">
        <f t="shared" si="4"/>
        <v>6.7056666666666649</v>
      </c>
      <c r="L12">
        <f t="shared" si="5"/>
        <v>-2.4675720028841432</v>
      </c>
      <c r="M12">
        <v>12</v>
      </c>
      <c r="O12">
        <f t="shared" si="6"/>
        <v>6.7056666666666649</v>
      </c>
      <c r="P12">
        <f t="shared" si="7"/>
        <v>36.615688356049148</v>
      </c>
      <c r="Q12">
        <v>12</v>
      </c>
      <c r="S12">
        <f t="shared" si="8"/>
        <v>23.507586405387222</v>
      </c>
      <c r="T12">
        <f t="shared" si="9"/>
        <v>3.9997967411122843</v>
      </c>
      <c r="U12">
        <v>12</v>
      </c>
      <c r="W12">
        <f t="shared" si="10"/>
        <v>22.510981656987752</v>
      </c>
      <c r="X12">
        <f t="shared" si="11"/>
        <v>42.023017741489312</v>
      </c>
    </row>
    <row r="13" spans="1:24" x14ac:dyDescent="0.35">
      <c r="A13">
        <v>13</v>
      </c>
      <c r="C13">
        <f t="shared" si="0"/>
        <v>11.127173913043521</v>
      </c>
      <c r="D13">
        <f t="shared" si="1"/>
        <v>19.060209817130342</v>
      </c>
      <c r="E13">
        <v>13</v>
      </c>
      <c r="G13">
        <f t="shared" si="2"/>
        <v>11.127173913043521</v>
      </c>
      <c r="H13">
        <f t="shared" si="3"/>
        <v>22.287793080109438</v>
      </c>
      <c r="I13">
        <v>13</v>
      </c>
      <c r="K13">
        <f t="shared" si="4"/>
        <v>7.4168181818181802</v>
      </c>
      <c r="L13">
        <f t="shared" si="5"/>
        <v>-1.8848924060697279</v>
      </c>
      <c r="M13">
        <v>13</v>
      </c>
      <c r="O13">
        <f t="shared" si="6"/>
        <v>7.4168181818181802</v>
      </c>
      <c r="P13">
        <f t="shared" si="7"/>
        <v>37.191032469120884</v>
      </c>
      <c r="Q13">
        <v>13</v>
      </c>
      <c r="S13">
        <f t="shared" si="8"/>
        <v>24.410909128224525</v>
      </c>
      <c r="T13">
        <f t="shared" si="9"/>
        <v>4.9066524721580471</v>
      </c>
      <c r="U13">
        <v>13</v>
      </c>
      <c r="W13">
        <f t="shared" si="10"/>
        <v>23.4314872203147</v>
      </c>
      <c r="X13">
        <f t="shared" si="11"/>
        <v>42.93958824165945</v>
      </c>
    </row>
    <row r="14" spans="1:24" x14ac:dyDescent="0.35">
      <c r="A14">
        <v>14</v>
      </c>
      <c r="C14">
        <f t="shared" si="0"/>
        <v>12.147521739130482</v>
      </c>
      <c r="D14">
        <f t="shared" si="1"/>
        <v>19.94167171675641</v>
      </c>
      <c r="E14">
        <v>14</v>
      </c>
      <c r="G14">
        <f t="shared" si="2"/>
        <v>12.147521739130482</v>
      </c>
      <c r="H14">
        <f t="shared" si="3"/>
        <v>23.067843459885232</v>
      </c>
      <c r="I14">
        <v>14</v>
      </c>
      <c r="K14">
        <f t="shared" si="4"/>
        <v>8.1279696969696964</v>
      </c>
      <c r="L14">
        <f t="shared" si="5"/>
        <v>-1.3023356765730298</v>
      </c>
      <c r="M14">
        <v>14</v>
      </c>
      <c r="O14">
        <f t="shared" si="6"/>
        <v>8.1279696969696964</v>
      </c>
      <c r="P14">
        <f t="shared" si="7"/>
        <v>37.76649944951032</v>
      </c>
      <c r="Q14">
        <v>14</v>
      </c>
      <c r="S14">
        <f t="shared" si="8"/>
        <v>25.314231851061827</v>
      </c>
      <c r="T14">
        <f t="shared" si="9"/>
        <v>5.8132075983803979</v>
      </c>
      <c r="U14">
        <v>14</v>
      </c>
      <c r="W14">
        <f t="shared" si="10"/>
        <v>24.351992783641649</v>
      </c>
      <c r="X14">
        <f t="shared" si="11"/>
        <v>43.85647070697334</v>
      </c>
    </row>
    <row r="15" spans="1:24" x14ac:dyDescent="0.35">
      <c r="A15">
        <v>15</v>
      </c>
      <c r="C15">
        <f t="shared" si="0"/>
        <v>13.16786956521744</v>
      </c>
      <c r="D15">
        <f t="shared" si="1"/>
        <v>20.821549172038218</v>
      </c>
      <c r="E15">
        <v>15</v>
      </c>
      <c r="G15">
        <f t="shared" si="2"/>
        <v>13.16786956521744</v>
      </c>
      <c r="H15">
        <f t="shared" si="3"/>
        <v>23.849478284005279</v>
      </c>
      <c r="I15">
        <v>15</v>
      </c>
      <c r="K15">
        <f t="shared" si="4"/>
        <v>8.8391212121212099</v>
      </c>
      <c r="L15">
        <f t="shared" si="5"/>
        <v>-0.71990188129528576</v>
      </c>
      <c r="M15">
        <v>15</v>
      </c>
      <c r="O15">
        <f t="shared" si="6"/>
        <v>8.8391212121212099</v>
      </c>
      <c r="P15">
        <f t="shared" si="7"/>
        <v>38.342089364118713</v>
      </c>
      <c r="Q15">
        <v>15</v>
      </c>
      <c r="S15">
        <f t="shared" si="8"/>
        <v>26.217554573899129</v>
      </c>
      <c r="T15">
        <f t="shared" si="9"/>
        <v>6.7194619702760896</v>
      </c>
      <c r="U15">
        <v>15</v>
      </c>
      <c r="W15">
        <f t="shared" si="10"/>
        <v>25.2724983469686</v>
      </c>
      <c r="X15">
        <f t="shared" si="11"/>
        <v>44.773665311309848</v>
      </c>
    </row>
    <row r="16" spans="1:24" x14ac:dyDescent="0.35">
      <c r="A16">
        <v>16</v>
      </c>
      <c r="C16">
        <f t="shared" si="0"/>
        <v>14.188217391304402</v>
      </c>
      <c r="D16">
        <f t="shared" si="1"/>
        <v>21.699682967966623</v>
      </c>
      <c r="E16">
        <v>16</v>
      </c>
      <c r="G16">
        <f t="shared" si="2"/>
        <v>14.188217391304402</v>
      </c>
      <c r="H16">
        <f t="shared" si="3"/>
        <v>24.632856767478735</v>
      </c>
      <c r="I16">
        <v>16</v>
      </c>
      <c r="K16">
        <f t="shared" si="4"/>
        <v>9.5502727272727235</v>
      </c>
      <c r="L16">
        <f t="shared" si="5"/>
        <v>-0.13759108486370408</v>
      </c>
      <c r="M16">
        <v>16</v>
      </c>
      <c r="O16">
        <f t="shared" si="6"/>
        <v>9.5502727272727235</v>
      </c>
      <c r="P16">
        <f t="shared" si="7"/>
        <v>38.917802277573273</v>
      </c>
      <c r="Q16">
        <v>16</v>
      </c>
      <c r="S16">
        <f t="shared" si="8"/>
        <v>27.120877296736431</v>
      </c>
      <c r="T16">
        <f t="shared" si="9"/>
        <v>7.6254154521664468</v>
      </c>
      <c r="U16">
        <v>16</v>
      </c>
      <c r="W16">
        <f t="shared" si="10"/>
        <v>26.193003910295552</v>
      </c>
      <c r="X16">
        <f t="shared" si="11"/>
        <v>45.691172213680765</v>
      </c>
    </row>
    <row r="17" spans="1:24" x14ac:dyDescent="0.35">
      <c r="A17">
        <v>17</v>
      </c>
      <c r="C17">
        <f t="shared" si="0"/>
        <v>15.20856521739136</v>
      </c>
      <c r="D17">
        <f t="shared" si="1"/>
        <v>22.575898703073538</v>
      </c>
      <c r="E17">
        <v>17</v>
      </c>
      <c r="G17">
        <f t="shared" si="2"/>
        <v>15.20856521739136</v>
      </c>
      <c r="H17">
        <f t="shared" si="3"/>
        <v>25.418153311773676</v>
      </c>
      <c r="I17">
        <v>17</v>
      </c>
      <c r="K17">
        <f t="shared" si="4"/>
        <v>10.261424242424241</v>
      </c>
      <c r="L17">
        <f t="shared" si="5"/>
        <v>0.44459665037457796</v>
      </c>
      <c r="M17">
        <v>17</v>
      </c>
      <c r="O17">
        <f t="shared" si="6"/>
        <v>10.261424242424241</v>
      </c>
      <c r="P17">
        <f t="shared" si="7"/>
        <v>39.493638252221132</v>
      </c>
      <c r="Q17">
        <v>17</v>
      </c>
      <c r="S17">
        <f t="shared" si="8"/>
        <v>28.024200019573733</v>
      </c>
      <c r="T17">
        <f t="shared" si="9"/>
        <v>8.5310679222287042</v>
      </c>
      <c r="U17">
        <v>17</v>
      </c>
      <c r="W17">
        <f t="shared" si="10"/>
        <v>27.1135094736225</v>
      </c>
      <c r="X17">
        <f t="shared" si="11"/>
        <v>46.608991558192699</v>
      </c>
    </row>
    <row r="18" spans="1:24" x14ac:dyDescent="0.35">
      <c r="A18">
        <v>18</v>
      </c>
      <c r="C18">
        <f t="shared" si="0"/>
        <v>16.228913043478322</v>
      </c>
      <c r="D18">
        <f t="shared" si="1"/>
        <v>23.450006505492688</v>
      </c>
      <c r="E18">
        <v>18</v>
      </c>
      <c r="G18">
        <f t="shared" si="2"/>
        <v>16.228913043478322</v>
      </c>
      <c r="H18">
        <f t="shared" si="3"/>
        <v>26.205557788756387</v>
      </c>
      <c r="I18">
        <v>18</v>
      </c>
      <c r="K18">
        <f t="shared" si="4"/>
        <v>10.972575757575754</v>
      </c>
      <c r="L18">
        <f t="shared" si="5"/>
        <v>1.0266612643583457</v>
      </c>
      <c r="M18">
        <v>18</v>
      </c>
      <c r="O18">
        <f t="shared" si="6"/>
        <v>10.972575757575754</v>
      </c>
      <c r="P18">
        <f t="shared" si="7"/>
        <v>40.069597348123501</v>
      </c>
      <c r="Q18">
        <v>18</v>
      </c>
      <c r="S18">
        <f t="shared" si="8"/>
        <v>28.927522742411035</v>
      </c>
      <c r="T18">
        <f t="shared" si="9"/>
        <v>9.4364192725241551</v>
      </c>
      <c r="U18">
        <v>18</v>
      </c>
      <c r="W18">
        <f t="shared" si="10"/>
        <v>28.034015036949448</v>
      </c>
      <c r="X18">
        <f t="shared" si="11"/>
        <v>47.527123474012512</v>
      </c>
    </row>
    <row r="19" spans="1:24" x14ac:dyDescent="0.35">
      <c r="A19">
        <v>19</v>
      </c>
      <c r="C19">
        <f t="shared" si="0"/>
        <v>17.24926086956528</v>
      </c>
      <c r="D19">
        <f t="shared" si="1"/>
        <v>24.321801272656131</v>
      </c>
      <c r="E19">
        <v>19</v>
      </c>
      <c r="G19">
        <f t="shared" si="2"/>
        <v>17.24926086956528</v>
      </c>
      <c r="H19">
        <f t="shared" si="3"/>
        <v>26.995275300994805</v>
      </c>
      <c r="I19">
        <v>19</v>
      </c>
      <c r="K19">
        <f t="shared" si="4"/>
        <v>11.683727272727271</v>
      </c>
      <c r="L19">
        <f t="shared" si="5"/>
        <v>1.6086026993179949</v>
      </c>
      <c r="M19">
        <v>19</v>
      </c>
      <c r="O19">
        <f t="shared" si="6"/>
        <v>11.683727272727271</v>
      </c>
      <c r="P19">
        <f t="shared" si="7"/>
        <v>40.64567962305</v>
      </c>
      <c r="Q19">
        <v>19</v>
      </c>
      <c r="S19">
        <f t="shared" si="8"/>
        <v>29.830845465248338</v>
      </c>
      <c r="T19">
        <f t="shared" si="9"/>
        <v>10.341469409023134</v>
      </c>
      <c r="U19">
        <v>19</v>
      </c>
      <c r="W19">
        <f t="shared" si="10"/>
        <v>28.954520600276403</v>
      </c>
      <c r="X19">
        <f t="shared" si="11"/>
        <v>48.445568075336354</v>
      </c>
    </row>
    <row r="20" spans="1:24" x14ac:dyDescent="0.35">
      <c r="A20">
        <v>20</v>
      </c>
      <c r="C20">
        <f t="shared" si="0"/>
        <v>18.269608695652241</v>
      </c>
      <c r="D20">
        <f t="shared" si="1"/>
        <v>25.191063632600219</v>
      </c>
      <c r="E20">
        <v>20</v>
      </c>
      <c r="G20">
        <f t="shared" si="2"/>
        <v>18.269608695652241</v>
      </c>
      <c r="H20">
        <f t="shared" si="3"/>
        <v>27.787525220452579</v>
      </c>
      <c r="I20">
        <v>20</v>
      </c>
      <c r="K20">
        <f t="shared" si="4"/>
        <v>12.394878787878785</v>
      </c>
      <c r="L20">
        <f t="shared" si="5"/>
        <v>2.1904208997809036</v>
      </c>
      <c r="M20">
        <v>20</v>
      </c>
      <c r="O20">
        <f t="shared" si="6"/>
        <v>12.394878787878785</v>
      </c>
      <c r="P20">
        <f t="shared" si="7"/>
        <v>41.221885132473226</v>
      </c>
      <c r="Q20">
        <v>20</v>
      </c>
      <c r="S20">
        <f t="shared" si="8"/>
        <v>30.73416818808564</v>
      </c>
      <c r="T20">
        <f t="shared" si="9"/>
        <v>11.246218251626789</v>
      </c>
      <c r="U20">
        <v>20</v>
      </c>
      <c r="W20">
        <f t="shared" si="10"/>
        <v>29.875026163603351</v>
      </c>
      <c r="X20">
        <f t="shared" si="11"/>
        <v>49.364325461362185</v>
      </c>
    </row>
    <row r="21" spans="1:24" x14ac:dyDescent="0.35">
      <c r="A21">
        <v>21</v>
      </c>
      <c r="C21">
        <f t="shared" si="0"/>
        <v>19.2899565217392</v>
      </c>
      <c r="D21">
        <f t="shared" si="1"/>
        <v>26.057561846904417</v>
      </c>
      <c r="E21">
        <v>21</v>
      </c>
      <c r="G21">
        <f t="shared" si="2"/>
        <v>19.2899565217392</v>
      </c>
      <c r="H21">
        <f t="shared" si="3"/>
        <v>28.582539285550229</v>
      </c>
      <c r="I21">
        <v>21</v>
      </c>
      <c r="K21">
        <f t="shared" si="4"/>
        <v>13.106030303030298</v>
      </c>
      <c r="L21">
        <f t="shared" si="5"/>
        <v>2.7721158125767289</v>
      </c>
      <c r="M21">
        <v>21</v>
      </c>
      <c r="O21">
        <f t="shared" si="6"/>
        <v>13.106030303030298</v>
      </c>
      <c r="P21">
        <f t="shared" si="7"/>
        <v>41.798213929563538</v>
      </c>
      <c r="Q21">
        <v>21</v>
      </c>
      <c r="S21">
        <f t="shared" si="8"/>
        <v>31.637490910922942</v>
      </c>
      <c r="T21">
        <f t="shared" si="9"/>
        <v>12.15066573418563</v>
      </c>
      <c r="U21">
        <v>21</v>
      </c>
      <c r="W21">
        <f t="shared" si="10"/>
        <v>30.795531726930299</v>
      </c>
      <c r="X21">
        <f t="shared" si="11"/>
        <v>50.283395716265943</v>
      </c>
    </row>
    <row r="22" spans="1:24" x14ac:dyDescent="0.35">
      <c r="A22">
        <v>22</v>
      </c>
      <c r="C22">
        <f t="shared" si="0"/>
        <v>20.310304347826161</v>
      </c>
      <c r="D22">
        <f t="shared" si="1"/>
        <v>26.921054876733223</v>
      </c>
      <c r="E22">
        <v>22</v>
      </c>
      <c r="G22">
        <f t="shared" si="2"/>
        <v>20.310304347826161</v>
      </c>
      <c r="H22">
        <f t="shared" si="3"/>
        <v>29.380558535123285</v>
      </c>
      <c r="I22">
        <v>22</v>
      </c>
      <c r="K22">
        <f t="shared" si="4"/>
        <v>13.817181818181815</v>
      </c>
      <c r="L22">
        <f t="shared" si="5"/>
        <v>3.3536873868423847</v>
      </c>
      <c r="M22">
        <v>22</v>
      </c>
      <c r="O22">
        <f t="shared" si="6"/>
        <v>13.817181818181815</v>
      </c>
      <c r="P22">
        <f t="shared" si="7"/>
        <v>42.37466606518403</v>
      </c>
      <c r="Q22">
        <v>22</v>
      </c>
      <c r="S22">
        <f t="shared" si="8"/>
        <v>32.540813633760244</v>
      </c>
      <c r="T22">
        <f t="shared" si="9"/>
        <v>13.05481180451487</v>
      </c>
      <c r="U22">
        <v>22</v>
      </c>
      <c r="W22">
        <f t="shared" si="10"/>
        <v>31.716037290257248</v>
      </c>
      <c r="X22">
        <f t="shared" si="11"/>
        <v>51.202778909181319</v>
      </c>
    </row>
    <row r="23" spans="1:24" x14ac:dyDescent="0.35">
      <c r="A23">
        <v>23</v>
      </c>
      <c r="C23">
        <f t="shared" si="0"/>
        <v>21.330652173913119</v>
      </c>
      <c r="D23">
        <f t="shared" si="1"/>
        <v>27.78129680042462</v>
      </c>
      <c r="E23">
        <v>23</v>
      </c>
      <c r="G23">
        <f t="shared" si="2"/>
        <v>21.330652173913119</v>
      </c>
      <c r="H23">
        <f t="shared" si="3"/>
        <v>30.181828890833749</v>
      </c>
      <c r="I23">
        <v>23</v>
      </c>
      <c r="K23">
        <f t="shared" si="4"/>
        <v>14.528333333333329</v>
      </c>
      <c r="L23">
        <f t="shared" si="5"/>
        <v>3.9351355740268268</v>
      </c>
      <c r="M23">
        <v>23</v>
      </c>
      <c r="O23">
        <f t="shared" si="6"/>
        <v>14.528333333333329</v>
      </c>
      <c r="P23">
        <f t="shared" si="7"/>
        <v>42.951241587885718</v>
      </c>
      <c r="Q23">
        <v>23</v>
      </c>
      <c r="S23">
        <f t="shared" si="8"/>
        <v>33.444136356597546</v>
      </c>
      <c r="T23">
        <f t="shared" si="9"/>
        <v>13.958656424406509</v>
      </c>
      <c r="U23">
        <v>23</v>
      </c>
      <c r="W23">
        <f t="shared" si="10"/>
        <v>32.636542853584203</v>
      </c>
      <c r="X23">
        <f t="shared" si="11"/>
        <v>52.122475094183059</v>
      </c>
    </row>
    <row r="24" spans="1:24" x14ac:dyDescent="0.35">
      <c r="A24">
        <v>24</v>
      </c>
      <c r="C24">
        <f t="shared" si="0"/>
        <v>22.351000000000081</v>
      </c>
      <c r="D24">
        <f t="shared" si="1"/>
        <v>28.638042689050138</v>
      </c>
      <c r="E24">
        <v>24</v>
      </c>
      <c r="G24">
        <f t="shared" si="2"/>
        <v>22.351000000000081</v>
      </c>
      <c r="H24">
        <f t="shared" si="3"/>
        <v>30.986595281610093</v>
      </c>
      <c r="I24">
        <v>24</v>
      </c>
      <c r="K24">
        <f t="shared" si="4"/>
        <v>15.239484848484842</v>
      </c>
      <c r="L24">
        <f t="shared" si="5"/>
        <v>4.5164603278956896</v>
      </c>
      <c r="M24">
        <v>24</v>
      </c>
      <c r="O24">
        <f t="shared" si="6"/>
        <v>15.239484848484842</v>
      </c>
      <c r="P24">
        <f t="shared" si="7"/>
        <v>43.527940543903</v>
      </c>
      <c r="Q24">
        <v>24</v>
      </c>
      <c r="S24">
        <f t="shared" si="8"/>
        <v>34.347459079434849</v>
      </c>
      <c r="T24">
        <f t="shared" si="9"/>
        <v>14.862199569638232</v>
      </c>
      <c r="U24">
        <v>24</v>
      </c>
      <c r="W24">
        <f t="shared" si="10"/>
        <v>33.557048416911151</v>
      </c>
      <c r="X24">
        <f t="shared" si="11"/>
        <v>53.042484310273977</v>
      </c>
    </row>
    <row r="25" spans="1:24" x14ac:dyDescent="0.35">
      <c r="A25">
        <v>25</v>
      </c>
      <c r="C25">
        <f t="shared" si="0"/>
        <v>23.371347826087042</v>
      </c>
      <c r="D25">
        <f t="shared" si="1"/>
        <v>29.491055904874287</v>
      </c>
      <c r="E25">
        <v>25</v>
      </c>
      <c r="G25">
        <f t="shared" si="2"/>
        <v>23.371347826087042</v>
      </c>
      <c r="H25">
        <f t="shared" si="3"/>
        <v>31.795094345187806</v>
      </c>
      <c r="I25">
        <v>25</v>
      </c>
      <c r="K25">
        <f t="shared" si="4"/>
        <v>15.95063636363636</v>
      </c>
      <c r="L25">
        <f t="shared" si="5"/>
        <v>5.0976616045356096</v>
      </c>
      <c r="M25">
        <v>25</v>
      </c>
      <c r="O25">
        <f t="shared" si="6"/>
        <v>15.95063636363636</v>
      </c>
      <c r="P25">
        <f t="shared" si="7"/>
        <v>44.104762977149221</v>
      </c>
      <c r="Q25">
        <v>25</v>
      </c>
      <c r="S25">
        <f t="shared" si="8"/>
        <v>35.250781802272144</v>
      </c>
      <c r="T25">
        <f t="shared" si="9"/>
        <v>15.765441229978986</v>
      </c>
      <c r="U25">
        <v>25</v>
      </c>
      <c r="W25">
        <f t="shared" si="10"/>
        <v>34.477553980238099</v>
      </c>
      <c r="X25">
        <f t="shared" si="11"/>
        <v>53.962806581375588</v>
      </c>
    </row>
    <row r="26" spans="1:24" x14ac:dyDescent="0.35">
      <c r="A26">
        <v>26</v>
      </c>
      <c r="C26">
        <f t="shared" si="0"/>
        <v>24.391695652174</v>
      </c>
      <c r="D26">
        <f t="shared" si="1"/>
        <v>30.34011658718401</v>
      </c>
      <c r="E26">
        <v>26</v>
      </c>
      <c r="G26">
        <f t="shared" si="2"/>
        <v>24.391695652174</v>
      </c>
      <c r="H26">
        <f t="shared" si="3"/>
        <v>32.607545942279941</v>
      </c>
      <c r="I26">
        <v>26</v>
      </c>
      <c r="K26">
        <f t="shared" si="4"/>
        <v>16.661787878787873</v>
      </c>
      <c r="L26">
        <f t="shared" si="5"/>
        <v>5.6787393623584101</v>
      </c>
      <c r="M26">
        <v>26</v>
      </c>
      <c r="O26">
        <f t="shared" si="6"/>
        <v>16.661787878787873</v>
      </c>
      <c r="P26">
        <f t="shared" si="7"/>
        <v>44.681708929212562</v>
      </c>
      <c r="Q26">
        <v>26</v>
      </c>
      <c r="S26">
        <f t="shared" si="8"/>
        <v>36.154104525109446</v>
      </c>
      <c r="T26">
        <f t="shared" si="9"/>
        <v>16.668381409191404</v>
      </c>
      <c r="U26">
        <v>26</v>
      </c>
      <c r="W26">
        <f t="shared" si="10"/>
        <v>35.398059543565047</v>
      </c>
      <c r="X26">
        <f t="shared" si="11"/>
        <v>54.883441916322283</v>
      </c>
    </row>
    <row r="27" spans="1:24" x14ac:dyDescent="0.35">
      <c r="A27">
        <v>27</v>
      </c>
      <c r="C27">
        <f t="shared" si="0"/>
        <v>25.412043478260962</v>
      </c>
      <c r="D27">
        <f t="shared" si="1"/>
        <v>31.185030849614733</v>
      </c>
      <c r="E27">
        <v>27</v>
      </c>
      <c r="G27">
        <f t="shared" si="2"/>
        <v>25.412043478260962</v>
      </c>
      <c r="H27">
        <f t="shared" si="3"/>
        <v>33.424143959251083</v>
      </c>
      <c r="I27">
        <v>27</v>
      </c>
      <c r="K27">
        <f t="shared" si="4"/>
        <v>17.37293939393939</v>
      </c>
      <c r="L27">
        <f t="shared" si="5"/>
        <v>6.259693562105042</v>
      </c>
      <c r="M27">
        <v>27</v>
      </c>
      <c r="O27">
        <f t="shared" si="6"/>
        <v>17.37293939393939</v>
      </c>
      <c r="P27">
        <f t="shared" si="7"/>
        <v>45.258778439352071</v>
      </c>
      <c r="Q27">
        <v>27</v>
      </c>
      <c r="S27">
        <f t="shared" si="8"/>
        <v>37.057427247946748</v>
      </c>
      <c r="T27">
        <f t="shared" si="9"/>
        <v>17.571020125030895</v>
      </c>
      <c r="U27">
        <v>27</v>
      </c>
      <c r="W27">
        <f t="shared" si="10"/>
        <v>36.318565106892002</v>
      </c>
      <c r="X27">
        <f t="shared" si="11"/>
        <v>55.80439030885924</v>
      </c>
    </row>
    <row r="28" spans="1:24" x14ac:dyDescent="0.35">
      <c r="A28">
        <v>28</v>
      </c>
      <c r="C28">
        <f t="shared" si="0"/>
        <v>26.43239130434792</v>
      </c>
      <c r="D28">
        <f t="shared" si="1"/>
        <v>32.02563997486115</v>
      </c>
      <c r="E28">
        <v>28</v>
      </c>
      <c r="G28">
        <f t="shared" si="2"/>
        <v>26.43239130434792</v>
      </c>
      <c r="H28">
        <f t="shared" si="3"/>
        <v>34.245047113406514</v>
      </c>
      <c r="I28">
        <v>28</v>
      </c>
      <c r="K28">
        <f t="shared" si="4"/>
        <v>18.084090909090904</v>
      </c>
      <c r="L28">
        <f t="shared" si="5"/>
        <v>6.8405241668492849</v>
      </c>
      <c r="M28">
        <v>28</v>
      </c>
      <c r="O28">
        <f t="shared" si="6"/>
        <v>18.084090909090904</v>
      </c>
      <c r="P28">
        <f t="shared" si="7"/>
        <v>45.835971544493965</v>
      </c>
      <c r="Q28">
        <v>28</v>
      </c>
      <c r="S28">
        <f t="shared" si="8"/>
        <v>37.96074997078405</v>
      </c>
      <c r="T28">
        <f t="shared" si="9"/>
        <v>18.473357409241515</v>
      </c>
      <c r="U28">
        <v>28</v>
      </c>
      <c r="W28">
        <f t="shared" si="10"/>
        <v>37.23907067021895</v>
      </c>
      <c r="X28">
        <f t="shared" si="11"/>
        <v>56.725651737643901</v>
      </c>
    </row>
    <row r="29" spans="1:24" x14ac:dyDescent="0.35">
      <c r="A29">
        <v>29</v>
      </c>
      <c r="C29">
        <f t="shared" si="0"/>
        <v>27.452739130434882</v>
      </c>
      <c r="D29">
        <f t="shared" si="1"/>
        <v>32.861828717654689</v>
      </c>
      <c r="E29">
        <v>29</v>
      </c>
      <c r="G29">
        <f t="shared" si="2"/>
        <v>27.452739130434882</v>
      </c>
      <c r="H29">
        <f t="shared" si="3"/>
        <v>35.070370650014837</v>
      </c>
      <c r="I29">
        <v>29</v>
      </c>
      <c r="K29">
        <f t="shared" si="4"/>
        <v>18.795242424242417</v>
      </c>
      <c r="L29">
        <f t="shared" si="5"/>
        <v>7.4212311420012647</v>
      </c>
      <c r="M29">
        <v>29</v>
      </c>
      <c r="O29">
        <f t="shared" si="6"/>
        <v>18.795242424242417</v>
      </c>
      <c r="P29">
        <f t="shared" si="7"/>
        <v>46.413288279228126</v>
      </c>
      <c r="Q29">
        <v>29</v>
      </c>
      <c r="S29">
        <f t="shared" si="8"/>
        <v>38.864072693621353</v>
      </c>
      <c r="T29">
        <f t="shared" si="9"/>
        <v>19.375393307548645</v>
      </c>
      <c r="U29">
        <v>29</v>
      </c>
      <c r="W29">
        <f t="shared" si="10"/>
        <v>38.159576233545899</v>
      </c>
      <c r="X29">
        <f t="shared" si="11"/>
        <v>57.647226166251173</v>
      </c>
    </row>
    <row r="30" spans="1:24" x14ac:dyDescent="0.35">
      <c r="A30">
        <v>30</v>
      </c>
      <c r="C30">
        <f t="shared" si="0"/>
        <v>28.47308695652184</v>
      </c>
      <c r="D30">
        <f t="shared" si="1"/>
        <v>33.693531780150636</v>
      </c>
      <c r="E30">
        <v>30</v>
      </c>
      <c r="G30">
        <f t="shared" si="2"/>
        <v>28.47308695652184</v>
      </c>
      <c r="H30">
        <f t="shared" si="3"/>
        <v>35.900179866920752</v>
      </c>
      <c r="I30">
        <v>30</v>
      </c>
      <c r="K30">
        <f t="shared" si="4"/>
        <v>19.506393939393934</v>
      </c>
      <c r="L30">
        <f t="shared" si="5"/>
        <v>8.0018144553107327</v>
      </c>
      <c r="M30">
        <v>30</v>
      </c>
      <c r="O30">
        <f t="shared" si="6"/>
        <v>19.506393939393934</v>
      </c>
      <c r="P30">
        <f t="shared" si="7"/>
        <v>46.990728675804789</v>
      </c>
      <c r="Q30">
        <v>30</v>
      </c>
      <c r="S30">
        <f t="shared" si="8"/>
        <v>39.767395416458655</v>
      </c>
      <c r="T30">
        <f t="shared" si="9"/>
        <v>20.277127879648344</v>
      </c>
      <c r="U30">
        <v>30</v>
      </c>
      <c r="W30">
        <f t="shared" si="10"/>
        <v>39.080081796872847</v>
      </c>
      <c r="X30">
        <f t="shared" si="11"/>
        <v>58.569113543182141</v>
      </c>
    </row>
    <row r="31" spans="1:24" x14ac:dyDescent="0.35">
      <c r="A31">
        <v>31</v>
      </c>
      <c r="C31">
        <f t="shared" si="0"/>
        <v>29.493434782608801</v>
      </c>
      <c r="D31">
        <f t="shared" si="1"/>
        <v>34.520737649890087</v>
      </c>
      <c r="E31">
        <v>31</v>
      </c>
      <c r="G31">
        <f t="shared" si="2"/>
        <v>29.493434782608801</v>
      </c>
      <c r="H31">
        <f t="shared" si="3"/>
        <v>36.734486276583162</v>
      </c>
      <c r="I31">
        <v>31</v>
      </c>
      <c r="K31">
        <f t="shared" si="4"/>
        <v>20.217545454545448</v>
      </c>
      <c r="L31">
        <f t="shared" si="5"/>
        <v>8.5822740768701351</v>
      </c>
      <c r="M31">
        <v>31</v>
      </c>
      <c r="O31">
        <f t="shared" si="6"/>
        <v>20.217545454545448</v>
      </c>
      <c r="P31">
        <f t="shared" si="7"/>
        <v>47.568292764131527</v>
      </c>
      <c r="Q31">
        <v>31</v>
      </c>
      <c r="S31">
        <f t="shared" si="8"/>
        <v>40.670718139295957</v>
      </c>
      <c r="T31">
        <f t="shared" si="9"/>
        <v>21.178561199193545</v>
      </c>
      <c r="U31">
        <v>31</v>
      </c>
      <c r="W31">
        <f t="shared" si="10"/>
        <v>40.000587360199802</v>
      </c>
      <c r="X31">
        <f t="shared" si="11"/>
        <v>59.491313801876501</v>
      </c>
    </row>
    <row r="32" spans="1:24" x14ac:dyDescent="0.35">
      <c r="A32">
        <v>32</v>
      </c>
      <c r="C32">
        <f t="shared" si="0"/>
        <v>30.51378260869576</v>
      </c>
      <c r="D32">
        <f t="shared" si="1"/>
        <v>35.34348928923054</v>
      </c>
      <c r="E32">
        <v>32</v>
      </c>
      <c r="G32">
        <f t="shared" si="2"/>
        <v>30.51378260869576</v>
      </c>
      <c r="H32">
        <f t="shared" si="3"/>
        <v>37.573246916644557</v>
      </c>
      <c r="I32">
        <v>32</v>
      </c>
      <c r="K32">
        <f t="shared" si="4"/>
        <v>20.928696969696965</v>
      </c>
      <c r="L32">
        <f t="shared" si="5"/>
        <v>9.1626099791174482</v>
      </c>
      <c r="M32">
        <v>32</v>
      </c>
      <c r="O32">
        <f t="shared" si="6"/>
        <v>20.928696969696965</v>
      </c>
      <c r="P32">
        <f t="shared" si="7"/>
        <v>48.145980571770366</v>
      </c>
      <c r="Q32">
        <v>32</v>
      </c>
      <c r="S32">
        <f t="shared" si="8"/>
        <v>41.574040862133259</v>
      </c>
      <c r="T32">
        <f t="shared" si="9"/>
        <v>22.079693353776946</v>
      </c>
      <c r="U32">
        <v>32</v>
      </c>
      <c r="W32">
        <f t="shared" si="10"/>
        <v>40.92109292352675</v>
      </c>
      <c r="X32">
        <f t="shared" si="11"/>
        <v>60.413826860728562</v>
      </c>
    </row>
    <row r="33" spans="1:24" x14ac:dyDescent="0.35">
      <c r="A33">
        <v>33</v>
      </c>
      <c r="C33">
        <f t="shared" ref="C33:C64" si="12">-1.117+(A33-1)*1.02034782608696</f>
        <v>31.534130434782721</v>
      </c>
      <c r="D33">
        <f t="shared" ref="D33:D64" si="13">11.6143770642258+0.81418916026595*C33-19.4540000315864*(0.00321543408360129+(C33-28.1775562700965)^2/79301.1119427652)^0.5</f>
        <v>36.161881582058847</v>
      </c>
      <c r="E33">
        <v>33</v>
      </c>
      <c r="G33">
        <f t="shared" ref="G33:G64" si="14">-1.117+(E33-1)*1.02034782608696</f>
        <v>31.534130434782721</v>
      </c>
      <c r="H33">
        <f t="shared" ref="H33:H64" si="15">11.6143770642258+0.81418916026595*G33+19.4540000315864*(0.00321543408360129+(G33-28.1775562700965)^2/79301.1119427652)^0.5</f>
        <v>38.416366903218112</v>
      </c>
      <c r="I33">
        <v>33</v>
      </c>
      <c r="K33">
        <f t="shared" ref="K33:K64" si="16">-1.117+(I33-1)*0.711151515151515</f>
        <v>21.639848484848478</v>
      </c>
      <c r="L33">
        <f t="shared" ref="L33:L64" si="17">11.6143770642258+0.81418916026595*K33-19.4540000315864*(1.0032154340836+(K33-28.1775562700965)^2/79301.1119427652)^0.5</f>
        <v>9.742822136838786</v>
      </c>
      <c r="M33">
        <v>33</v>
      </c>
      <c r="O33">
        <f t="shared" ref="O33:O64" si="18">-1.117+(M33-1)*0.711151515151515</f>
        <v>21.639848484848478</v>
      </c>
      <c r="P33">
        <f t="shared" ref="P33:P64" si="19">11.6143770642258+0.81418916026595*O33+19.4540000315864*(1.0032154340836+(O33-28.1775562700965)^2/79301.1119427652)^0.5</f>
        <v>48.723792123935169</v>
      </c>
      <c r="Q33">
        <v>33</v>
      </c>
      <c r="S33">
        <f t="shared" ref="S33:S64" si="20">13.5710364541769+(Q33-1)*0.903322722837302</f>
        <v>42.477363584970561</v>
      </c>
      <c r="T33">
        <f t="shared" ref="T33:T64" si="21">0+1*S33-19.4540000315864*(1.0032154340836+(S33-34.5562379421222)^2/52569.0234147739)^0.5</f>
        <v>22.980524444910767</v>
      </c>
      <c r="U33">
        <v>33</v>
      </c>
      <c r="W33">
        <f t="shared" ref="W33:W64" si="22">12.3854204603913+(U33-1)*0.92050556332695</f>
        <v>41.841598486853698</v>
      </c>
      <c r="X33">
        <f t="shared" ref="X33:X64" si="23">0+1*W33+19.4540000315864*(1.0032154340836+(W33-34.5562379421222)^2/52569.0234147739)^0.5</f>
        <v>61.3366526231069</v>
      </c>
    </row>
    <row r="34" spans="1:24" x14ac:dyDescent="0.35">
      <c r="A34">
        <v>34</v>
      </c>
      <c r="C34">
        <f t="shared" si="12"/>
        <v>32.554478260869686</v>
      </c>
      <c r="D34">
        <f t="shared" si="13"/>
        <v>36.976055883003916</v>
      </c>
      <c r="E34">
        <v>34</v>
      </c>
      <c r="G34">
        <f t="shared" si="14"/>
        <v>32.554478260869686</v>
      </c>
      <c r="H34">
        <f t="shared" si="15"/>
        <v>39.263704881674919</v>
      </c>
      <c r="I34">
        <v>34</v>
      </c>
      <c r="K34">
        <f t="shared" si="16"/>
        <v>22.350999999999992</v>
      </c>
      <c r="L34">
        <f t="shared" si="17"/>
        <v>10.322910527170823</v>
      </c>
      <c r="M34">
        <v>34</v>
      </c>
      <c r="O34">
        <f t="shared" si="18"/>
        <v>22.350999999999992</v>
      </c>
      <c r="P34">
        <f t="shared" si="19"/>
        <v>49.30172744348927</v>
      </c>
      <c r="Q34">
        <v>34</v>
      </c>
      <c r="S34">
        <f t="shared" si="20"/>
        <v>43.380686307807863</v>
      </c>
      <c r="T34">
        <f t="shared" si="21"/>
        <v>23.881054588003213</v>
      </c>
      <c r="U34">
        <v>34</v>
      </c>
      <c r="W34">
        <f t="shared" si="22"/>
        <v>42.762104050180653</v>
      </c>
      <c r="X34">
        <f t="shared" si="23"/>
        <v>62.259790977377612</v>
      </c>
    </row>
    <row r="35" spans="1:24" x14ac:dyDescent="0.35">
      <c r="A35">
        <v>35</v>
      </c>
      <c r="C35">
        <f t="shared" si="12"/>
        <v>33.574826086956648</v>
      </c>
      <c r="D35">
        <f t="shared" si="13"/>
        <v>37.786192372413112</v>
      </c>
      <c r="E35">
        <v>35</v>
      </c>
      <c r="G35">
        <f t="shared" si="14"/>
        <v>33.574826086956648</v>
      </c>
      <c r="H35">
        <f t="shared" si="15"/>
        <v>40.115080671667585</v>
      </c>
      <c r="I35">
        <v>35</v>
      </c>
      <c r="K35">
        <f t="shared" si="16"/>
        <v>23.062151515151509</v>
      </c>
      <c r="L35">
        <f t="shared" si="17"/>
        <v>10.902875129602965</v>
      </c>
      <c r="M35">
        <v>35</v>
      </c>
      <c r="O35">
        <f t="shared" si="18"/>
        <v>23.062151515151509</v>
      </c>
      <c r="P35">
        <f t="shared" si="19"/>
        <v>49.879786550943265</v>
      </c>
      <c r="Q35">
        <v>35</v>
      </c>
      <c r="S35">
        <f t="shared" si="20"/>
        <v>44.284009030645166</v>
      </c>
      <c r="T35">
        <f t="shared" si="21"/>
        <v>24.781283912331823</v>
      </c>
      <c r="U35">
        <v>35</v>
      </c>
      <c r="W35">
        <f t="shared" si="22"/>
        <v>43.682609613507601</v>
      </c>
      <c r="X35">
        <f t="shared" si="23"/>
        <v>63.183241796931085</v>
      </c>
    </row>
    <row r="36" spans="1:24" x14ac:dyDescent="0.35">
      <c r="A36">
        <v>36</v>
      </c>
      <c r="C36">
        <f t="shared" si="12"/>
        <v>34.595173913043602</v>
      </c>
      <c r="D36">
        <f t="shared" si="13"/>
        <v>38.59250112219965</v>
      </c>
      <c r="E36">
        <v>36</v>
      </c>
      <c r="G36">
        <f t="shared" si="14"/>
        <v>34.595173913043602</v>
      </c>
      <c r="H36">
        <f t="shared" si="15"/>
        <v>40.970284201282894</v>
      </c>
      <c r="I36">
        <v>36</v>
      </c>
      <c r="K36">
        <f t="shared" si="16"/>
        <v>23.773303030303023</v>
      </c>
      <c r="L36">
        <f t="shared" si="17"/>
        <v>11.482715925979292</v>
      </c>
      <c r="M36">
        <v>36</v>
      </c>
      <c r="O36">
        <f t="shared" si="18"/>
        <v>23.773303030303023</v>
      </c>
      <c r="P36">
        <f t="shared" si="19"/>
        <v>50.457969464453072</v>
      </c>
      <c r="Q36">
        <v>36</v>
      </c>
      <c r="S36">
        <f t="shared" si="20"/>
        <v>45.187331753482468</v>
      </c>
      <c r="T36">
        <f t="shared" si="21"/>
        <v>25.681212561013577</v>
      </c>
      <c r="U36">
        <v>36</v>
      </c>
      <c r="W36">
        <f t="shared" si="22"/>
        <v>44.60311517683455</v>
      </c>
      <c r="X36">
        <f t="shared" si="23"/>
        <v>64.10700494021242</v>
      </c>
    </row>
    <row r="37" spans="1:24" x14ac:dyDescent="0.35">
      <c r="A37">
        <v>37</v>
      </c>
      <c r="C37">
        <f t="shared" si="12"/>
        <v>35.615521739130564</v>
      </c>
      <c r="D37">
        <f t="shared" si="13"/>
        <v>39.395212800307498</v>
      </c>
      <c r="E37">
        <v>37</v>
      </c>
      <c r="G37">
        <f t="shared" si="14"/>
        <v>35.615521739130564</v>
      </c>
      <c r="H37">
        <f t="shared" si="15"/>
        <v>41.829084802576908</v>
      </c>
      <c r="I37">
        <v>37</v>
      </c>
      <c r="K37">
        <f t="shared" si="16"/>
        <v>24.48445454545454</v>
      </c>
      <c r="L37">
        <f t="shared" si="17"/>
        <v>12.062432900500291</v>
      </c>
      <c r="M37">
        <v>37</v>
      </c>
      <c r="O37">
        <f t="shared" si="18"/>
        <v>24.48445454545454</v>
      </c>
      <c r="P37">
        <f t="shared" si="19"/>
        <v>51.036276199818225</v>
      </c>
      <c r="Q37">
        <v>37</v>
      </c>
      <c r="S37">
        <f t="shared" si="20"/>
        <v>46.09065447631977</v>
      </c>
      <c r="T37">
        <f t="shared" si="21"/>
        <v>26.580840690971883</v>
      </c>
      <c r="U37">
        <v>37</v>
      </c>
      <c r="W37">
        <f t="shared" si="22"/>
        <v>45.523620740161505</v>
      </c>
      <c r="X37">
        <f t="shared" si="23"/>
        <v>65.031080250755409</v>
      </c>
    </row>
    <row r="38" spans="1:24" x14ac:dyDescent="0.35">
      <c r="A38">
        <v>38</v>
      </c>
      <c r="C38">
        <f t="shared" si="12"/>
        <v>36.635869565217526</v>
      </c>
      <c r="D38">
        <f t="shared" si="13"/>
        <v>40.194569813145307</v>
      </c>
      <c r="E38">
        <v>38</v>
      </c>
      <c r="G38">
        <f t="shared" si="14"/>
        <v>36.635869565217526</v>
      </c>
      <c r="H38">
        <f t="shared" si="15"/>
        <v>42.69124006914096</v>
      </c>
      <c r="I38">
        <v>38</v>
      </c>
      <c r="K38">
        <f t="shared" si="16"/>
        <v>25.195606060606053</v>
      </c>
      <c r="L38">
        <f t="shared" si="17"/>
        <v>12.64202603972435</v>
      </c>
      <c r="M38">
        <v>38</v>
      </c>
      <c r="O38">
        <f t="shared" si="18"/>
        <v>25.195606060606053</v>
      </c>
      <c r="P38">
        <f t="shared" si="19"/>
        <v>51.614706770480304</v>
      </c>
      <c r="Q38">
        <v>38</v>
      </c>
      <c r="S38">
        <f t="shared" si="20"/>
        <v>46.993977199157072</v>
      </c>
      <c r="T38">
        <f t="shared" si="21"/>
        <v>27.480168472900374</v>
      </c>
      <c r="U38">
        <v>38</v>
      </c>
      <c r="W38">
        <f t="shared" si="22"/>
        <v>46.444126303488453</v>
      </c>
      <c r="X38">
        <f t="shared" si="23"/>
        <v>65.955467557219976</v>
      </c>
    </row>
    <row r="39" spans="1:24" x14ac:dyDescent="0.35">
      <c r="A39">
        <v>39</v>
      </c>
      <c r="C39">
        <f t="shared" si="12"/>
        <v>37.656217391304487</v>
      </c>
      <c r="D39">
        <f t="shared" si="13"/>
        <v>40.990818465555456</v>
      </c>
      <c r="E39">
        <v>39</v>
      </c>
      <c r="G39">
        <f t="shared" si="14"/>
        <v>37.656217391304487</v>
      </c>
      <c r="H39">
        <f t="shared" si="15"/>
        <v>43.556503696132673</v>
      </c>
      <c r="I39">
        <v>39</v>
      </c>
      <c r="K39">
        <f t="shared" si="16"/>
        <v>25.906757575757567</v>
      </c>
      <c r="L39">
        <f t="shared" si="17"/>
        <v>13.221495332569056</v>
      </c>
      <c r="M39">
        <v>39</v>
      </c>
      <c r="O39">
        <f t="shared" si="18"/>
        <v>25.906757575757567</v>
      </c>
      <c r="P39">
        <f t="shared" si="19"/>
        <v>52.193261187521735</v>
      </c>
      <c r="Q39">
        <v>39</v>
      </c>
      <c r="S39">
        <f t="shared" si="20"/>
        <v>47.897299921994374</v>
      </c>
      <c r="T39">
        <f t="shared" si="21"/>
        <v>28.379196091223609</v>
      </c>
      <c r="U39">
        <v>39</v>
      </c>
      <c r="W39">
        <f t="shared" si="22"/>
        <v>47.364631866815401</v>
      </c>
      <c r="X39">
        <f t="shared" si="23"/>
        <v>66.880166673433195</v>
      </c>
    </row>
    <row r="40" spans="1:24" x14ac:dyDescent="0.35">
      <c r="A40">
        <v>40</v>
      </c>
      <c r="C40">
        <f t="shared" si="12"/>
        <v>38.676565217391442</v>
      </c>
      <c r="D40">
        <f t="shared" si="13"/>
        <v>41.784202471998661</v>
      </c>
      <c r="E40">
        <v>40</v>
      </c>
      <c r="G40">
        <f t="shared" si="14"/>
        <v>38.676565217391442</v>
      </c>
      <c r="H40">
        <f t="shared" si="15"/>
        <v>44.424631969091315</v>
      </c>
      <c r="I40">
        <v>40</v>
      </c>
      <c r="K40">
        <f t="shared" si="16"/>
        <v>26.617909090909084</v>
      </c>
      <c r="L40">
        <f t="shared" si="17"/>
        <v>13.800840770312259</v>
      </c>
      <c r="M40">
        <v>40</v>
      </c>
      <c r="O40">
        <f t="shared" si="18"/>
        <v>26.617909090909084</v>
      </c>
      <c r="P40">
        <f t="shared" si="19"/>
        <v>52.771939459664665</v>
      </c>
      <c r="Q40">
        <v>40</v>
      </c>
      <c r="S40">
        <f t="shared" si="20"/>
        <v>48.800622644831677</v>
      </c>
      <c r="T40">
        <f t="shared" si="21"/>
        <v>29.277923744054693</v>
      </c>
      <c r="U40">
        <v>40</v>
      </c>
      <c r="W40">
        <f t="shared" si="22"/>
        <v>48.285137430142349</v>
      </c>
      <c r="X40">
        <f t="shared" si="23"/>
        <v>67.805177398433798</v>
      </c>
    </row>
    <row r="41" spans="1:24" x14ac:dyDescent="0.35">
      <c r="A41">
        <v>41</v>
      </c>
      <c r="C41">
        <f t="shared" si="12"/>
        <v>39.696913043478403</v>
      </c>
      <c r="D41">
        <f t="shared" si="13"/>
        <v>42.574957931782656</v>
      </c>
      <c r="E41">
        <v>41</v>
      </c>
      <c r="G41">
        <f t="shared" si="14"/>
        <v>39.696913043478403</v>
      </c>
      <c r="H41">
        <f t="shared" si="15"/>
        <v>45.295388788709182</v>
      </c>
      <c r="I41">
        <v>41</v>
      </c>
      <c r="K41">
        <f t="shared" si="16"/>
        <v>27.329060606060597</v>
      </c>
      <c r="L41">
        <f t="shared" si="17"/>
        <v>14.380062346592879</v>
      </c>
      <c r="M41">
        <v>41</v>
      </c>
      <c r="O41">
        <f t="shared" si="18"/>
        <v>27.329060606060597</v>
      </c>
      <c r="P41">
        <f t="shared" si="19"/>
        <v>53.350741593270186</v>
      </c>
      <c r="Q41">
        <v>41</v>
      </c>
      <c r="S41">
        <f t="shared" si="20"/>
        <v>49.703945367668979</v>
      </c>
      <c r="T41">
        <f t="shared" si="21"/>
        <v>30.176351643149722</v>
      </c>
      <c r="U41">
        <v>41</v>
      </c>
      <c r="W41">
        <f t="shared" si="22"/>
        <v>49.205642993469304</v>
      </c>
      <c r="X41">
        <f t="shared" si="23"/>
        <v>68.73049951652014</v>
      </c>
    </row>
    <row r="42" spans="1:24" x14ac:dyDescent="0.35">
      <c r="A42">
        <v>42</v>
      </c>
      <c r="C42">
        <f t="shared" si="12"/>
        <v>40.717260869565365</v>
      </c>
      <c r="D42">
        <f t="shared" si="13"/>
        <v>43.363309713885322</v>
      </c>
      <c r="E42">
        <v>42</v>
      </c>
      <c r="G42">
        <f t="shared" si="14"/>
        <v>40.717260869565365</v>
      </c>
      <c r="H42">
        <f t="shared" si="15"/>
        <v>46.168549286008378</v>
      </c>
      <c r="I42">
        <v>42</v>
      </c>
      <c r="K42">
        <f t="shared" si="16"/>
        <v>28.040212121212114</v>
      </c>
      <c r="L42">
        <f t="shared" si="17"/>
        <v>14.95916005741153</v>
      </c>
      <c r="M42">
        <v>42</v>
      </c>
      <c r="O42">
        <f t="shared" si="18"/>
        <v>28.040212121212114</v>
      </c>
      <c r="P42">
        <f t="shared" si="19"/>
        <v>53.929667592337687</v>
      </c>
      <c r="Q42">
        <v>42</v>
      </c>
      <c r="S42">
        <f t="shared" si="20"/>
        <v>50.607268090506281</v>
      </c>
      <c r="T42">
        <f t="shared" si="21"/>
        <v>31.074480013859272</v>
      </c>
      <c r="U42">
        <v>42</v>
      </c>
      <c r="W42">
        <f t="shared" si="22"/>
        <v>50.126148556796252</v>
      </c>
      <c r="X42">
        <f t="shared" si="23"/>
        <v>69.656132797301581</v>
      </c>
    </row>
    <row r="43" spans="1:24" x14ac:dyDescent="0.35">
      <c r="A43">
        <v>43</v>
      </c>
      <c r="C43">
        <f t="shared" si="12"/>
        <v>41.737608695652327</v>
      </c>
      <c r="D43">
        <f t="shared" si="13"/>
        <v>44.149469090701274</v>
      </c>
      <c r="E43">
        <v>43</v>
      </c>
      <c r="G43">
        <f t="shared" si="14"/>
        <v>41.737608695652327</v>
      </c>
      <c r="H43">
        <f t="shared" si="15"/>
        <v>47.043902188594288</v>
      </c>
      <c r="I43">
        <v>43</v>
      </c>
      <c r="K43">
        <f t="shared" si="16"/>
        <v>28.751363636363628</v>
      </c>
      <c r="L43">
        <f t="shared" si="17"/>
        <v>15.53813390113087</v>
      </c>
      <c r="M43">
        <v>43</v>
      </c>
      <c r="O43">
        <f t="shared" si="18"/>
        <v>28.751363636363628</v>
      </c>
      <c r="P43">
        <f t="shared" si="19"/>
        <v>54.508717458504485</v>
      </c>
      <c r="Q43">
        <v>43</v>
      </c>
      <c r="S43">
        <f t="shared" si="20"/>
        <v>51.510590813343583</v>
      </c>
      <c r="T43">
        <f t="shared" si="21"/>
        <v>31.97230909507682</v>
      </c>
      <c r="U43">
        <v>43</v>
      </c>
      <c r="W43">
        <f t="shared" si="22"/>
        <v>51.0466541201232</v>
      </c>
      <c r="X43">
        <f t="shared" si="23"/>
        <v>70.582076995753312</v>
      </c>
    </row>
    <row r="44" spans="1:24" x14ac:dyDescent="0.35">
      <c r="A44">
        <v>44</v>
      </c>
      <c r="C44">
        <f t="shared" si="12"/>
        <v>42.757956521739288</v>
      </c>
      <c r="D44">
        <f t="shared" si="13"/>
        <v>44.933632408073542</v>
      </c>
      <c r="E44">
        <v>44</v>
      </c>
      <c r="G44">
        <f t="shared" si="14"/>
        <v>42.757956521739288</v>
      </c>
      <c r="H44">
        <f t="shared" si="15"/>
        <v>47.921251150623881</v>
      </c>
      <c r="I44">
        <v>44</v>
      </c>
      <c r="K44">
        <f t="shared" si="16"/>
        <v>29.462515151515142</v>
      </c>
      <c r="L44">
        <f t="shared" si="17"/>
        <v>16.116983878475811</v>
      </c>
      <c r="M44">
        <v>44</v>
      </c>
      <c r="O44">
        <f t="shared" si="18"/>
        <v>29.462515151515142</v>
      </c>
      <c r="P44">
        <f t="shared" si="19"/>
        <v>55.087891191045685</v>
      </c>
      <c r="Q44">
        <v>44</v>
      </c>
      <c r="S44">
        <f t="shared" si="20"/>
        <v>52.413913536180885</v>
      </c>
      <c r="T44">
        <f t="shared" si="21"/>
        <v>32.869839139184094</v>
      </c>
      <c r="U44">
        <v>44</v>
      </c>
      <c r="W44">
        <f t="shared" si="22"/>
        <v>51.967159683450149</v>
      </c>
      <c r="X44">
        <f t="shared" si="23"/>
        <v>71.508331852274551</v>
      </c>
    </row>
    <row r="45" spans="1:24" x14ac:dyDescent="0.35">
      <c r="A45">
        <v>45</v>
      </c>
      <c r="C45">
        <f t="shared" si="12"/>
        <v>43.778304347826243</v>
      </c>
      <c r="D45">
        <f t="shared" si="13"/>
        <v>45.71598056771878</v>
      </c>
      <c r="E45">
        <v>45</v>
      </c>
      <c r="G45">
        <f t="shared" si="14"/>
        <v>43.778304347826243</v>
      </c>
      <c r="H45">
        <f t="shared" si="15"/>
        <v>48.800415270380491</v>
      </c>
      <c r="I45">
        <v>45</v>
      </c>
      <c r="K45">
        <f t="shared" si="16"/>
        <v>30.173666666666659</v>
      </c>
      <c r="L45">
        <f t="shared" si="17"/>
        <v>16.695709992533402</v>
      </c>
      <c r="M45">
        <v>45</v>
      </c>
      <c r="O45">
        <f t="shared" si="18"/>
        <v>30.173666666666659</v>
      </c>
      <c r="P45">
        <f t="shared" si="19"/>
        <v>55.667188786874227</v>
      </c>
      <c r="Q45">
        <v>45</v>
      </c>
      <c r="S45">
        <f t="shared" si="20"/>
        <v>53.317236259018188</v>
      </c>
      <c r="T45">
        <f t="shared" si="21"/>
        <v>33.767070411993558</v>
      </c>
      <c r="U45">
        <v>45</v>
      </c>
      <c r="W45">
        <f t="shared" si="22"/>
        <v>52.887665246777104</v>
      </c>
      <c r="X45">
        <f t="shared" si="23"/>
        <v>72.434897092750163</v>
      </c>
    </row>
    <row r="46" spans="1:24" x14ac:dyDescent="0.35">
      <c r="A46">
        <v>46</v>
      </c>
      <c r="C46">
        <f t="shared" si="12"/>
        <v>44.798652173913204</v>
      </c>
      <c r="D46">
        <f t="shared" si="13"/>
        <v>46.496679113066271</v>
      </c>
      <c r="E46">
        <v>46</v>
      </c>
      <c r="G46">
        <f t="shared" si="14"/>
        <v>44.798652173913204</v>
      </c>
      <c r="H46">
        <f t="shared" si="15"/>
        <v>49.681229004434861</v>
      </c>
      <c r="I46">
        <v>46</v>
      </c>
      <c r="K46">
        <f t="shared" si="16"/>
        <v>30.884818181818172</v>
      </c>
      <c r="L46">
        <f t="shared" si="17"/>
        <v>17.274312248752569</v>
      </c>
      <c r="M46">
        <v>46</v>
      </c>
      <c r="O46">
        <f t="shared" si="18"/>
        <v>30.884818181818172</v>
      </c>
      <c r="P46">
        <f t="shared" si="19"/>
        <v>56.246610240541202</v>
      </c>
      <c r="Q46">
        <v>46</v>
      </c>
      <c r="S46">
        <f t="shared" si="20"/>
        <v>54.22055898185549</v>
      </c>
      <c r="T46">
        <f t="shared" si="21"/>
        <v>34.664003192687879</v>
      </c>
      <c r="U46">
        <v>46</v>
      </c>
      <c r="W46">
        <f t="shared" si="22"/>
        <v>53.808170810104052</v>
      </c>
      <c r="X46">
        <f t="shared" si="23"/>
        <v>73.361772428615396</v>
      </c>
    </row>
    <row r="47" spans="1:24" x14ac:dyDescent="0.35">
      <c r="A47">
        <v>47</v>
      </c>
      <c r="C47">
        <f t="shared" si="12"/>
        <v>45.819000000000166</v>
      </c>
      <c r="D47">
        <f t="shared" si="13"/>
        <v>47.275878738284902</v>
      </c>
      <c r="E47">
        <v>47</v>
      </c>
      <c r="G47">
        <f t="shared" si="14"/>
        <v>45.819000000000166</v>
      </c>
      <c r="H47">
        <f t="shared" si="15"/>
        <v>50.563541658618092</v>
      </c>
      <c r="I47">
        <v>47</v>
      </c>
      <c r="K47">
        <f t="shared" si="16"/>
        <v>31.595969696969686</v>
      </c>
      <c r="L47">
        <f t="shared" si="17"/>
        <v>17.852790654943568</v>
      </c>
      <c r="M47">
        <v>47</v>
      </c>
      <c r="O47">
        <f t="shared" si="18"/>
        <v>31.595969696969686</v>
      </c>
      <c r="P47">
        <f t="shared" si="19"/>
        <v>56.826155544236336</v>
      </c>
      <c r="Q47">
        <v>47</v>
      </c>
      <c r="S47">
        <f t="shared" si="20"/>
        <v>55.123881704692792</v>
      </c>
      <c r="T47">
        <f t="shared" si="21"/>
        <v>35.560637773756469</v>
      </c>
      <c r="U47">
        <v>47</v>
      </c>
      <c r="W47">
        <f t="shared" si="22"/>
        <v>54.728676373431</v>
      </c>
      <c r="X47">
        <f t="shared" si="23"/>
        <v>74.288957556924146</v>
      </c>
    </row>
    <row r="48" spans="1:24" x14ac:dyDescent="0.35">
      <c r="A48">
        <v>48</v>
      </c>
      <c r="C48">
        <f t="shared" si="12"/>
        <v>46.839347826087128</v>
      </c>
      <c r="D48">
        <f t="shared" si="13"/>
        <v>48.053716073946021</v>
      </c>
      <c r="E48">
        <v>48</v>
      </c>
      <c r="G48">
        <f t="shared" si="14"/>
        <v>46.839347826087128</v>
      </c>
      <c r="H48">
        <f t="shared" si="15"/>
        <v>51.447216602358836</v>
      </c>
      <c r="I48">
        <v>48</v>
      </c>
      <c r="K48">
        <f t="shared" si="16"/>
        <v>32.30712121212121</v>
      </c>
      <c r="L48">
        <f t="shared" si="17"/>
        <v>18.431145221277266</v>
      </c>
      <c r="M48">
        <v>48</v>
      </c>
      <c r="O48">
        <f t="shared" si="18"/>
        <v>32.30712121212121</v>
      </c>
      <c r="P48">
        <f t="shared" si="19"/>
        <v>57.405824687788794</v>
      </c>
      <c r="Q48">
        <v>48</v>
      </c>
      <c r="S48">
        <f t="shared" si="20"/>
        <v>56.027204427530094</v>
      </c>
      <c r="T48">
        <f t="shared" si="21"/>
        <v>36.456974460929224</v>
      </c>
      <c r="U48">
        <v>48</v>
      </c>
      <c r="W48">
        <f t="shared" si="22"/>
        <v>55.649181936757948</v>
      </c>
      <c r="X48">
        <f t="shared" si="23"/>
        <v>75.21645216042026</v>
      </c>
    </row>
    <row r="49" spans="1:24" x14ac:dyDescent="0.35">
      <c r="A49">
        <v>49</v>
      </c>
      <c r="C49">
        <f t="shared" si="12"/>
        <v>47.859695652174089</v>
      </c>
      <c r="D49">
        <f t="shared" si="13"/>
        <v>48.830314635730559</v>
      </c>
      <c r="E49">
        <v>49</v>
      </c>
      <c r="G49">
        <f t="shared" si="14"/>
        <v>47.859695652174089</v>
      </c>
      <c r="H49">
        <f t="shared" si="15"/>
        <v>52.332130319976159</v>
      </c>
      <c r="I49">
        <v>49</v>
      </c>
      <c r="K49">
        <f t="shared" si="16"/>
        <v>33.018272727272723</v>
      </c>
      <c r="L49">
        <f t="shared" si="17"/>
        <v>19.009375960284128</v>
      </c>
      <c r="M49">
        <v>49</v>
      </c>
      <c r="O49">
        <f t="shared" si="18"/>
        <v>33.018272727272723</v>
      </c>
      <c r="P49">
        <f t="shared" si="19"/>
        <v>57.985617658668062</v>
      </c>
      <c r="Q49">
        <v>49</v>
      </c>
      <c r="S49">
        <f t="shared" si="20"/>
        <v>56.930527150367389</v>
      </c>
      <c r="T49">
        <f t="shared" si="21"/>
        <v>37.353013573107305</v>
      </c>
      <c r="U49">
        <v>49</v>
      </c>
      <c r="W49">
        <f t="shared" si="22"/>
        <v>56.569687500084903</v>
      </c>
      <c r="X49">
        <f t="shared" si="23"/>
        <v>76.144255907612276</v>
      </c>
    </row>
    <row r="50" spans="1:24" x14ac:dyDescent="0.35">
      <c r="A50">
        <v>50</v>
      </c>
      <c r="C50">
        <f t="shared" si="12"/>
        <v>48.880043478261044</v>
      </c>
      <c r="D50">
        <f t="shared" si="13"/>
        <v>49.605785851817117</v>
      </c>
      <c r="E50">
        <v>50</v>
      </c>
      <c r="G50">
        <f t="shared" si="14"/>
        <v>48.880043478261044</v>
      </c>
      <c r="H50">
        <f t="shared" si="15"/>
        <v>53.218171383291448</v>
      </c>
      <c r="I50">
        <v>50</v>
      </c>
      <c r="K50">
        <f t="shared" si="16"/>
        <v>33.729424242424237</v>
      </c>
      <c r="L50">
        <f t="shared" si="17"/>
        <v>19.587482886853071</v>
      </c>
      <c r="M50">
        <v>50</v>
      </c>
      <c r="O50">
        <f t="shared" si="18"/>
        <v>33.729424242424237</v>
      </c>
      <c r="P50">
        <f t="shared" si="19"/>
        <v>58.565534441985264</v>
      </c>
      <c r="Q50">
        <v>50</v>
      </c>
      <c r="S50">
        <f t="shared" si="20"/>
        <v>57.833849873204692</v>
      </c>
      <c r="T50">
        <f t="shared" si="21"/>
        <v>38.248755442291227</v>
      </c>
      <c r="U50">
        <v>50</v>
      </c>
      <c r="W50">
        <f t="shared" si="22"/>
        <v>57.490193063411851</v>
      </c>
      <c r="X50">
        <f t="shared" si="23"/>
        <v>77.072368452850981</v>
      </c>
    </row>
    <row r="51" spans="1:24" x14ac:dyDescent="0.35">
      <c r="A51">
        <v>51</v>
      </c>
      <c r="C51">
        <f t="shared" si="12"/>
        <v>49.900391304348005</v>
      </c>
      <c r="D51">
        <f t="shared" si="13"/>
        <v>50.380230108867202</v>
      </c>
      <c r="E51">
        <v>51</v>
      </c>
      <c r="G51">
        <f t="shared" si="14"/>
        <v>49.900391304348005</v>
      </c>
      <c r="H51">
        <f t="shared" si="15"/>
        <v>54.105239405643225</v>
      </c>
      <c r="I51">
        <v>51</v>
      </c>
      <c r="K51">
        <f t="shared" si="16"/>
        <v>34.440575757575751</v>
      </c>
      <c r="L51">
        <f t="shared" si="17"/>
        <v>20.165466018230045</v>
      </c>
      <c r="M51">
        <v>51</v>
      </c>
      <c r="O51">
        <f t="shared" si="18"/>
        <v>34.440575757575751</v>
      </c>
      <c r="P51">
        <f t="shared" si="19"/>
        <v>59.14557502049442</v>
      </c>
      <c r="Q51">
        <v>51</v>
      </c>
      <c r="S51">
        <f t="shared" si="20"/>
        <v>58.737172596041994</v>
      </c>
      <c r="T51">
        <f t="shared" si="21"/>
        <v>39.144200413506056</v>
      </c>
      <c r="U51">
        <v>51</v>
      </c>
      <c r="W51">
        <f t="shared" si="22"/>
        <v>58.4106986267388</v>
      </c>
      <c r="X51">
        <f t="shared" si="23"/>
        <v>78.000789436410457</v>
      </c>
    </row>
    <row r="52" spans="1:24" x14ac:dyDescent="0.35">
      <c r="A52">
        <v>52</v>
      </c>
      <c r="C52">
        <f t="shared" si="12"/>
        <v>50.920739130434967</v>
      </c>
      <c r="D52">
        <f t="shared" si="13"/>
        <v>51.153737775743892</v>
      </c>
      <c r="E52">
        <v>52</v>
      </c>
      <c r="G52">
        <f t="shared" si="14"/>
        <v>50.920739130434967</v>
      </c>
      <c r="H52">
        <f t="shared" si="15"/>
        <v>54.993244018168397</v>
      </c>
      <c r="I52">
        <v>52</v>
      </c>
      <c r="K52">
        <f t="shared" si="16"/>
        <v>35.151727272727264</v>
      </c>
      <c r="L52">
        <f t="shared" si="17"/>
        <v>20.74332537401634</v>
      </c>
      <c r="M52">
        <v>52</v>
      </c>
      <c r="O52">
        <f t="shared" si="18"/>
        <v>35.151727272727264</v>
      </c>
      <c r="P52">
        <f t="shared" si="19"/>
        <v>59.725739374594269</v>
      </c>
      <c r="Q52">
        <v>52</v>
      </c>
      <c r="S52">
        <f t="shared" si="20"/>
        <v>59.640495318879296</v>
      </c>
      <c r="T52">
        <f t="shared" si="21"/>
        <v>40.039348844724003</v>
      </c>
      <c r="U52">
        <v>52</v>
      </c>
      <c r="W52">
        <f t="shared" si="22"/>
        <v>59.331204190065755</v>
      </c>
      <c r="X52">
        <f t="shared" si="23"/>
        <v>78.929518484572029</v>
      </c>
    </row>
    <row r="53" spans="1:24" x14ac:dyDescent="0.35">
      <c r="A53">
        <v>53</v>
      </c>
      <c r="C53">
        <f t="shared" si="12"/>
        <v>51.941086956521929</v>
      </c>
      <c r="D53">
        <f t="shared" si="13"/>
        <v>51.926390178739148</v>
      </c>
      <c r="E53">
        <v>53</v>
      </c>
      <c r="G53">
        <f t="shared" si="14"/>
        <v>51.941086956521929</v>
      </c>
      <c r="H53">
        <f t="shared" si="15"/>
        <v>55.882103894575003</v>
      </c>
      <c r="I53">
        <v>53</v>
      </c>
      <c r="K53">
        <f t="shared" si="16"/>
        <v>35.862878787878785</v>
      </c>
      <c r="L53">
        <f t="shared" si="17"/>
        <v>21.321060976166784</v>
      </c>
      <c r="M53">
        <v>53</v>
      </c>
      <c r="O53">
        <f t="shared" si="18"/>
        <v>35.862878787878785</v>
      </c>
      <c r="P53">
        <f t="shared" si="19"/>
        <v>60.306027482329974</v>
      </c>
      <c r="Q53">
        <v>53</v>
      </c>
      <c r="S53">
        <f t="shared" si="20"/>
        <v>60.543818041716598</v>
      </c>
      <c r="T53">
        <f t="shared" si="21"/>
        <v>40.934201106784172</v>
      </c>
      <c r="U53">
        <v>53</v>
      </c>
      <c r="W53">
        <f t="shared" si="22"/>
        <v>60.251709753392703</v>
      </c>
      <c r="X53">
        <f t="shared" si="23"/>
        <v>79.85855520971117</v>
      </c>
    </row>
    <row r="54" spans="1:24" x14ac:dyDescent="0.35">
      <c r="A54">
        <v>54</v>
      </c>
      <c r="C54">
        <f t="shared" si="12"/>
        <v>52.961434782608883</v>
      </c>
      <c r="D54">
        <f t="shared" si="13"/>
        <v>52.69826051286482</v>
      </c>
      <c r="E54">
        <v>54</v>
      </c>
      <c r="G54">
        <f t="shared" si="14"/>
        <v>52.961434782608883</v>
      </c>
      <c r="H54">
        <f t="shared" si="15"/>
        <v>56.771745839851178</v>
      </c>
      <c r="I54">
        <v>54</v>
      </c>
      <c r="K54">
        <f t="shared" si="16"/>
        <v>36.574030303030298</v>
      </c>
      <c r="L54">
        <f t="shared" si="17"/>
        <v>21.898672848987584</v>
      </c>
      <c r="M54">
        <v>54</v>
      </c>
      <c r="O54">
        <f t="shared" si="18"/>
        <v>36.574030303030298</v>
      </c>
      <c r="P54">
        <f t="shared" si="19"/>
        <v>60.886439319395308</v>
      </c>
      <c r="Q54">
        <v>54</v>
      </c>
      <c r="S54">
        <f t="shared" si="20"/>
        <v>61.4471407645539</v>
      </c>
      <c r="T54">
        <f t="shared" si="21"/>
        <v>41.828757583309809</v>
      </c>
      <c r="U54">
        <v>54</v>
      </c>
      <c r="W54">
        <f t="shared" si="22"/>
        <v>61.172215316719651</v>
      </c>
      <c r="X54">
        <f t="shared" si="23"/>
        <v>80.787899210387579</v>
      </c>
    </row>
    <row r="55" spans="1:24" x14ac:dyDescent="0.35">
      <c r="A55">
        <v>55</v>
      </c>
      <c r="C55">
        <f t="shared" si="12"/>
        <v>53.981782608695845</v>
      </c>
      <c r="D55">
        <f t="shared" si="13"/>
        <v>53.469414681452022</v>
      </c>
      <c r="E55">
        <v>55</v>
      </c>
      <c r="G55">
        <f t="shared" si="14"/>
        <v>53.981782608695845</v>
      </c>
      <c r="H55">
        <f t="shared" si="15"/>
        <v>57.662103950665838</v>
      </c>
      <c r="I55">
        <v>55</v>
      </c>
      <c r="K55">
        <f t="shared" si="16"/>
        <v>37.285181818181812</v>
      </c>
      <c r="L55">
        <f t="shared" si="17"/>
        <v>22.476161019134082</v>
      </c>
      <c r="M55">
        <v>55</v>
      </c>
      <c r="O55">
        <f t="shared" si="18"/>
        <v>37.285181818181812</v>
      </c>
      <c r="P55">
        <f t="shared" si="19"/>
        <v>61.46697485913495</v>
      </c>
      <c r="Q55">
        <v>55</v>
      </c>
      <c r="S55">
        <f t="shared" si="20"/>
        <v>62.350463487391202</v>
      </c>
      <c r="T55">
        <f t="shared" si="21"/>
        <v>42.723018670622821</v>
      </c>
      <c r="U55">
        <v>55</v>
      </c>
      <c r="W55">
        <f t="shared" si="22"/>
        <v>62.092720880046599</v>
      </c>
      <c r="X55">
        <f t="shared" si="23"/>
        <v>81.717550071438069</v>
      </c>
    </row>
    <row r="56" spans="1:24" x14ac:dyDescent="0.35">
      <c r="A56">
        <v>56</v>
      </c>
      <c r="C56">
        <f t="shared" si="12"/>
        <v>55.002130434782806</v>
      </c>
      <c r="D56">
        <f t="shared" si="13"/>
        <v>54.239912061607711</v>
      </c>
      <c r="E56">
        <v>56</v>
      </c>
      <c r="G56">
        <f t="shared" si="14"/>
        <v>55.002130434782806</v>
      </c>
      <c r="H56">
        <f t="shared" si="15"/>
        <v>58.553118849912011</v>
      </c>
      <c r="I56">
        <v>56</v>
      </c>
      <c r="K56">
        <f t="shared" si="16"/>
        <v>37.996333333333325</v>
      </c>
      <c r="L56">
        <f t="shared" si="17"/>
        <v>23.053525515608186</v>
      </c>
      <c r="M56">
        <v>56</v>
      </c>
      <c r="O56">
        <f t="shared" si="18"/>
        <v>37.996333333333325</v>
      </c>
      <c r="P56">
        <f t="shared" si="19"/>
        <v>62.047634072546984</v>
      </c>
      <c r="Q56">
        <v>56</v>
      </c>
      <c r="S56">
        <f t="shared" si="20"/>
        <v>63.253786210228505</v>
      </c>
      <c r="T56">
        <f t="shared" si="21"/>
        <v>43.616984777655809</v>
      </c>
      <c r="U56">
        <v>56</v>
      </c>
      <c r="W56">
        <f t="shared" si="22"/>
        <v>63.013226443373554</v>
      </c>
      <c r="X56">
        <f t="shared" si="23"/>
        <v>82.647507364072396</v>
      </c>
    </row>
    <row r="57" spans="1:24" x14ac:dyDescent="0.35">
      <c r="A57">
        <v>57</v>
      </c>
      <c r="C57">
        <f t="shared" si="12"/>
        <v>56.022478260869768</v>
      </c>
      <c r="D57">
        <f t="shared" si="13"/>
        <v>55.00980619659579</v>
      </c>
      <c r="E57">
        <v>57</v>
      </c>
      <c r="G57">
        <f t="shared" si="14"/>
        <v>56.022478260869768</v>
      </c>
      <c r="H57">
        <f t="shared" si="15"/>
        <v>59.444736994325794</v>
      </c>
      <c r="I57">
        <v>57</v>
      </c>
      <c r="K57">
        <f t="shared" si="16"/>
        <v>38.707484848484839</v>
      </c>
      <c r="L57">
        <f t="shared" si="17"/>
        <v>23.630766369755598</v>
      </c>
      <c r="M57">
        <v>57</v>
      </c>
      <c r="O57">
        <f t="shared" si="18"/>
        <v>38.707484848484839</v>
      </c>
      <c r="P57">
        <f t="shared" si="19"/>
        <v>62.628416928285709</v>
      </c>
      <c r="Q57">
        <v>57</v>
      </c>
      <c r="S57">
        <f t="shared" si="20"/>
        <v>64.157108933065814</v>
      </c>
      <c r="T57">
        <f t="shared" si="21"/>
        <v>44.510656325861504</v>
      </c>
      <c r="U57">
        <v>57</v>
      </c>
      <c r="W57">
        <f t="shared" si="22"/>
        <v>63.933732006700502</v>
      </c>
      <c r="X57">
        <f t="shared" si="23"/>
        <v>83.577770645971867</v>
      </c>
    </row>
    <row r="58" spans="1:24" x14ac:dyDescent="0.35">
      <c r="A58">
        <v>58</v>
      </c>
      <c r="C58">
        <f t="shared" si="12"/>
        <v>57.04282608695673</v>
      </c>
      <c r="D58">
        <f t="shared" si="13"/>
        <v>55.779145418426168</v>
      </c>
      <c r="E58">
        <v>58</v>
      </c>
      <c r="G58">
        <f t="shared" si="14"/>
        <v>57.04282608695673</v>
      </c>
      <c r="H58">
        <f t="shared" si="15"/>
        <v>60.336910051897277</v>
      </c>
      <c r="I58">
        <v>58</v>
      </c>
      <c r="K58">
        <f t="shared" si="16"/>
        <v>39.418636363636359</v>
      </c>
      <c r="L58">
        <f t="shared" si="17"/>
        <v>24.207883615262887</v>
      </c>
      <c r="M58">
        <v>58</v>
      </c>
      <c r="O58">
        <f t="shared" si="18"/>
        <v>39.418636363636359</v>
      </c>
      <c r="P58">
        <f t="shared" si="19"/>
        <v>63.209323392664572</v>
      </c>
      <c r="Q58">
        <v>58</v>
      </c>
      <c r="S58">
        <f t="shared" si="20"/>
        <v>65.060431655903116</v>
      </c>
      <c r="T58">
        <f t="shared" si="21"/>
        <v>45.404033749119819</v>
      </c>
      <c r="U58">
        <v>58</v>
      </c>
      <c r="W58">
        <f t="shared" si="22"/>
        <v>64.85423757002745</v>
      </c>
      <c r="X58">
        <f t="shared" si="23"/>
        <v>84.508339461390847</v>
      </c>
    </row>
    <row r="59" spans="1:24" x14ac:dyDescent="0.35">
      <c r="A59">
        <v>59</v>
      </c>
      <c r="C59">
        <f t="shared" si="12"/>
        <v>58.063173913043684</v>
      </c>
      <c r="D59">
        <f t="shared" si="13"/>
        <v>56.547973405224404</v>
      </c>
      <c r="E59">
        <v>59</v>
      </c>
      <c r="G59">
        <f t="shared" si="14"/>
        <v>58.063173913043684</v>
      </c>
      <c r="H59">
        <f t="shared" si="15"/>
        <v>61.229594344500903</v>
      </c>
      <c r="I59">
        <v>59</v>
      </c>
      <c r="K59">
        <f t="shared" si="16"/>
        <v>40.129787878787873</v>
      </c>
      <c r="L59">
        <f t="shared" si="17"/>
        <v>24.784877288154217</v>
      </c>
      <c r="M59">
        <v>59</v>
      </c>
      <c r="O59">
        <f t="shared" si="18"/>
        <v>40.129787878787873</v>
      </c>
      <c r="P59">
        <f t="shared" si="19"/>
        <v>63.790353429659376</v>
      </c>
      <c r="Q59">
        <v>59</v>
      </c>
      <c r="S59">
        <f t="shared" si="20"/>
        <v>65.963754378740418</v>
      </c>
      <c r="T59">
        <f t="shared" si="21"/>
        <v>46.297117493642361</v>
      </c>
      <c r="U59">
        <v>59</v>
      </c>
      <c r="W59">
        <f t="shared" si="22"/>
        <v>65.774743133354391</v>
      </c>
      <c r="X59">
        <f t="shared" si="23"/>
        <v>85.439213341260881</v>
      </c>
    </row>
    <row r="60" spans="1:24" x14ac:dyDescent="0.35">
      <c r="A60">
        <v>60</v>
      </c>
      <c r="C60">
        <f t="shared" si="12"/>
        <v>59.083521739130646</v>
      </c>
      <c r="D60">
        <f t="shared" si="13"/>
        <v>57.316329678600951</v>
      </c>
      <c r="E60">
        <v>60</v>
      </c>
      <c r="G60">
        <f t="shared" si="14"/>
        <v>59.083521739130646</v>
      </c>
      <c r="H60">
        <f t="shared" si="15"/>
        <v>62.122750350526218</v>
      </c>
      <c r="I60">
        <v>60</v>
      </c>
      <c r="K60">
        <f t="shared" si="16"/>
        <v>40.840939393939387</v>
      </c>
      <c r="L60">
        <f t="shared" si="17"/>
        <v>25.361747426788007</v>
      </c>
      <c r="M60">
        <v>60</v>
      </c>
      <c r="O60">
        <f t="shared" si="18"/>
        <v>40.840939393939387</v>
      </c>
      <c r="P60">
        <f t="shared" si="19"/>
        <v>64.37150700091172</v>
      </c>
      <c r="Q60">
        <v>60</v>
      </c>
      <c r="S60">
        <f t="shared" si="20"/>
        <v>66.867077101577721</v>
      </c>
      <c r="T60">
        <f t="shared" si="21"/>
        <v>47.189908017874686</v>
      </c>
      <c r="U60">
        <v>60</v>
      </c>
      <c r="W60">
        <f t="shared" si="22"/>
        <v>66.695248696681347</v>
      </c>
      <c r="X60">
        <f t="shared" si="23"/>
        <v>86.370391803297636</v>
      </c>
    </row>
    <row r="61" spans="1:24" x14ac:dyDescent="0.35">
      <c r="A61">
        <v>61</v>
      </c>
      <c r="C61">
        <f t="shared" si="12"/>
        <v>60.103869565217607</v>
      </c>
      <c r="D61">
        <f t="shared" si="13"/>
        <v>58.084250046451693</v>
      </c>
      <c r="E61">
        <v>61</v>
      </c>
      <c r="G61">
        <f t="shared" si="14"/>
        <v>60.103869565217607</v>
      </c>
      <c r="H61">
        <f t="shared" si="15"/>
        <v>63.016342262077337</v>
      </c>
      <c r="I61">
        <v>61</v>
      </c>
      <c r="K61">
        <f t="shared" si="16"/>
        <v>41.5520909090909</v>
      </c>
      <c r="L61">
        <f t="shared" si="17"/>
        <v>25.938494071853242</v>
      </c>
      <c r="M61">
        <v>61</v>
      </c>
      <c r="O61">
        <f t="shared" si="18"/>
        <v>41.5520909090909</v>
      </c>
      <c r="P61">
        <f t="shared" si="19"/>
        <v>64.952784065732629</v>
      </c>
      <c r="Q61">
        <v>61</v>
      </c>
      <c r="S61">
        <f t="shared" si="20"/>
        <v>67.770399824415023</v>
      </c>
      <c r="T61">
        <f t="shared" si="21"/>
        <v>48.082405792396131</v>
      </c>
      <c r="U61">
        <v>61</v>
      </c>
      <c r="W61">
        <f t="shared" si="22"/>
        <v>67.615754260008302</v>
      </c>
      <c r="X61">
        <f t="shared" si="23"/>
        <v>87.301874352110218</v>
      </c>
    </row>
    <row r="62" spans="1:24" x14ac:dyDescent="0.35">
      <c r="A62">
        <v>62</v>
      </c>
      <c r="C62">
        <f t="shared" si="12"/>
        <v>61.124217391304569</v>
      </c>
      <c r="D62">
        <f t="shared" si="13"/>
        <v>58.85176699655208</v>
      </c>
      <c r="E62">
        <v>62</v>
      </c>
      <c r="G62">
        <f t="shared" si="14"/>
        <v>61.124217391304569</v>
      </c>
      <c r="H62">
        <f t="shared" si="15"/>
        <v>63.910337591378813</v>
      </c>
      <c r="I62">
        <v>62</v>
      </c>
      <c r="K62">
        <f t="shared" si="16"/>
        <v>42.263242424242414</v>
      </c>
      <c r="L62">
        <f t="shared" si="17"/>
        <v>26.515117266365642</v>
      </c>
      <c r="M62">
        <v>62</v>
      </c>
      <c r="O62">
        <f t="shared" si="18"/>
        <v>42.263242424242414</v>
      </c>
      <c r="P62">
        <f t="shared" si="19"/>
        <v>65.534184581106359</v>
      </c>
      <c r="Q62">
        <v>62</v>
      </c>
      <c r="S62">
        <f t="shared" si="20"/>
        <v>68.673722547252325</v>
      </c>
      <c r="T62">
        <f t="shared" si="21"/>
        <v>48.97461129981734</v>
      </c>
      <c r="U62">
        <v>62</v>
      </c>
      <c r="W62">
        <f t="shared" si="22"/>
        <v>68.536259823335243</v>
      </c>
      <c r="X62">
        <f t="shared" si="23"/>
        <v>88.233660479313357</v>
      </c>
    </row>
    <row r="63" spans="1:24" x14ac:dyDescent="0.35">
      <c r="A63">
        <v>63</v>
      </c>
      <c r="C63">
        <f t="shared" si="12"/>
        <v>62.144565217391524</v>
      </c>
      <c r="D63">
        <f t="shared" si="13"/>
        <v>59.6189100460631</v>
      </c>
      <c r="E63">
        <v>63</v>
      </c>
      <c r="G63">
        <f t="shared" si="14"/>
        <v>62.144565217391524</v>
      </c>
      <c r="H63">
        <f t="shared" si="15"/>
        <v>64.804706821269633</v>
      </c>
      <c r="I63">
        <v>63</v>
      </c>
      <c r="K63">
        <f t="shared" si="16"/>
        <v>42.974393939393934</v>
      </c>
      <c r="L63">
        <f t="shared" si="17"/>
        <v>27.091617055663583</v>
      </c>
      <c r="M63">
        <v>63</v>
      </c>
      <c r="O63">
        <f t="shared" si="18"/>
        <v>42.974393939393934</v>
      </c>
      <c r="P63">
        <f t="shared" si="19"/>
        <v>66.11570850169457</v>
      </c>
      <c r="Q63">
        <v>63</v>
      </c>
      <c r="S63">
        <f t="shared" si="20"/>
        <v>69.577045270089627</v>
      </c>
      <c r="T63">
        <f t="shared" si="21"/>
        <v>49.866525034675703</v>
      </c>
      <c r="U63">
        <v>63</v>
      </c>
      <c r="W63">
        <f t="shared" si="22"/>
        <v>69.456765386662198</v>
      </c>
      <c r="X63">
        <f t="shared" si="23"/>
        <v>89.165749663641975</v>
      </c>
    </row>
    <row r="64" spans="1:24" x14ac:dyDescent="0.35">
      <c r="A64">
        <v>64</v>
      </c>
      <c r="C64">
        <f t="shared" si="12"/>
        <v>63.164913043478485</v>
      </c>
      <c r="D64">
        <f t="shared" si="13"/>
        <v>60.385706051723481</v>
      </c>
      <c r="E64">
        <v>64</v>
      </c>
      <c r="G64">
        <f t="shared" si="14"/>
        <v>63.164913043478485</v>
      </c>
      <c r="H64">
        <f t="shared" si="15"/>
        <v>65.699423095011127</v>
      </c>
      <c r="I64">
        <v>64</v>
      </c>
      <c r="K64">
        <f t="shared" si="16"/>
        <v>43.685545454545448</v>
      </c>
      <c r="L64">
        <f t="shared" si="17"/>
        <v>27.667993487403781</v>
      </c>
      <c r="M64">
        <v>64</v>
      </c>
      <c r="O64">
        <f t="shared" si="18"/>
        <v>43.685545454545448</v>
      </c>
      <c r="P64">
        <f t="shared" si="19"/>
        <v>66.697355779840521</v>
      </c>
      <c r="Q64">
        <v>64</v>
      </c>
      <c r="S64">
        <f t="shared" si="20"/>
        <v>70.480367992926929</v>
      </c>
      <c r="T64">
        <f t="shared" si="21"/>
        <v>50.758147503328445</v>
      </c>
      <c r="U64">
        <v>64</v>
      </c>
      <c r="W64">
        <f t="shared" si="22"/>
        <v>70.377270949989153</v>
      </c>
      <c r="X64">
        <f t="shared" si="23"/>
        <v>90.098141371068053</v>
      </c>
    </row>
    <row r="65" spans="1:24" x14ac:dyDescent="0.35">
      <c r="A65">
        <v>65</v>
      </c>
      <c r="C65">
        <f t="shared" ref="C65:C70" si="24">-1.117+(A65-1)*1.02034782608696</f>
        <v>64.18526086956544</v>
      </c>
      <c r="D65">
        <f t="shared" ref="D65:D70" si="25">11.6143770642258+0.81418916026595*C65-19.4540000315864*(0.00321543408360129+(C65-28.1775562700965)^2/79301.1119427652)^0.5</f>
        <v>61.152179485109137</v>
      </c>
      <c r="E65">
        <v>65</v>
      </c>
      <c r="G65">
        <f t="shared" ref="G65:G70" si="26">-1.117+(E65-1)*1.02034782608696</f>
        <v>64.18526086956544</v>
      </c>
      <c r="H65">
        <f t="shared" ref="H65:H70" si="27">11.6143770642258+0.81418916026595*G65+19.4540000315864*(0.00321543408360129+(G65-28.1775562700965)^2/79301.1119427652)^0.5</f>
        <v>66.594461941027305</v>
      </c>
      <c r="I65">
        <v>65</v>
      </c>
      <c r="K65">
        <f t="shared" ref="K65:K100" si="28">-1.117+(I65-1)*0.711151515151515</f>
        <v>44.396696969696961</v>
      </c>
      <c r="L65">
        <f t="shared" ref="L65:L96" si="29">11.6143770642258+0.81418916026595*K65-19.4540000315864*(1.0032154340836+(K65-28.1775562700965)^2/79301.1119427652)^0.5</f>
        <v>28.244246611556846</v>
      </c>
      <c r="M65">
        <v>65</v>
      </c>
      <c r="O65">
        <f t="shared" ref="O65:O100" si="30">-1.117+(M65-1)*0.711151515151515</f>
        <v>44.396696969696961</v>
      </c>
      <c r="P65">
        <f t="shared" ref="P65:P96" si="31">11.6143770642258+0.81418916026595*O65+19.4540000315864*(1.0032154340836+(O65-28.1775562700965)^2/79301.1119427652)^0.5</f>
        <v>67.279126365573589</v>
      </c>
      <c r="Q65">
        <v>65</v>
      </c>
      <c r="S65">
        <f t="shared" ref="S65:S70" si="32">13.5710364541769+(Q65-1)*0.903322722837302</f>
        <v>71.383690715764232</v>
      </c>
      <c r="T65">
        <f t="shared" ref="T65:T70" si="33">0+1*S65-19.4540000315864*(1.0032154340836+(S65-34.5562379421222)^2/52569.0234147739)^0.5</f>
        <v>51.64947922384367</v>
      </c>
      <c r="U65">
        <v>65</v>
      </c>
      <c r="W65">
        <f t="shared" ref="W65:W70" si="34">12.3854204603913+(U65-1)*0.92050556332695</f>
        <v>71.297776513316094</v>
      </c>
      <c r="X65">
        <f t="shared" ref="X65:X70" si="35">0+1*W65+19.4540000315864*(1.0032154340836+(W65-34.5562379421222)^2/52569.0234147739)^0.5</f>
        <v>91.030835054920175</v>
      </c>
    </row>
    <row r="66" spans="1:24" x14ac:dyDescent="0.35">
      <c r="A66">
        <v>66</v>
      </c>
      <c r="C66">
        <f t="shared" si="24"/>
        <v>65.205608695652401</v>
      </c>
      <c r="D66">
        <f t="shared" si="25"/>
        <v>61.918352676933097</v>
      </c>
      <c r="E66">
        <v>66</v>
      </c>
      <c r="G66">
        <f t="shared" si="26"/>
        <v>65.205608695652401</v>
      </c>
      <c r="H66">
        <f t="shared" si="27"/>
        <v>67.489801028605228</v>
      </c>
      <c r="I66">
        <v>66</v>
      </c>
      <c r="K66">
        <f t="shared" si="28"/>
        <v>45.107848484848475</v>
      </c>
      <c r="L66">
        <f t="shared" si="29"/>
        <v>28.820376480402516</v>
      </c>
      <c r="M66">
        <v>66</v>
      </c>
      <c r="O66">
        <f t="shared" si="30"/>
        <v>45.107848484848475</v>
      </c>
      <c r="P66">
        <f t="shared" si="31"/>
        <v>67.861020206614057</v>
      </c>
      <c r="Q66">
        <v>66</v>
      </c>
      <c r="S66">
        <f t="shared" si="32"/>
        <v>72.287013438601534</v>
      </c>
      <c r="T66">
        <f t="shared" si="33"/>
        <v>52.540520725889365</v>
      </c>
      <c r="U66">
        <v>66</v>
      </c>
      <c r="W66">
        <f t="shared" si="34"/>
        <v>72.21828207664305</v>
      </c>
      <c r="X66">
        <f t="shared" si="35"/>
        <v>91.963830156005216</v>
      </c>
    </row>
    <row r="67" spans="1:24" x14ac:dyDescent="0.35">
      <c r="A67">
        <v>67</v>
      </c>
      <c r="C67">
        <f t="shared" si="24"/>
        <v>66.225956521739363</v>
      </c>
      <c r="D67">
        <f t="shared" si="25"/>
        <v>62.68424603395647</v>
      </c>
      <c r="E67">
        <v>67</v>
      </c>
      <c r="G67">
        <f t="shared" si="26"/>
        <v>66.225956521739363</v>
      </c>
      <c r="H67">
        <f t="shared" si="27"/>
        <v>68.385419950983703</v>
      </c>
      <c r="I67">
        <v>67</v>
      </c>
      <c r="K67">
        <f t="shared" si="28"/>
        <v>45.818999999999988</v>
      </c>
      <c r="L67">
        <f t="shared" si="29"/>
        <v>29.396383148524734</v>
      </c>
      <c r="M67">
        <v>67</v>
      </c>
      <c r="O67">
        <f t="shared" si="30"/>
        <v>45.818999999999988</v>
      </c>
      <c r="P67">
        <f t="shared" si="31"/>
        <v>68.443037248377976</v>
      </c>
      <c r="Q67">
        <v>67</v>
      </c>
      <c r="S67">
        <f t="shared" si="32"/>
        <v>73.190336161438836</v>
      </c>
      <c r="T67">
        <f t="shared" si="33"/>
        <v>53.431272550620264</v>
      </c>
      <c r="U67">
        <v>67</v>
      </c>
      <c r="W67">
        <f t="shared" si="34"/>
        <v>73.138787639970005</v>
      </c>
      <c r="X67">
        <f t="shared" si="35"/>
        <v>92.897126102732301</v>
      </c>
    </row>
    <row r="68" spans="1:24" x14ac:dyDescent="0.35">
      <c r="A68">
        <v>68</v>
      </c>
      <c r="C68">
        <f t="shared" si="24"/>
        <v>67.246304347826324</v>
      </c>
      <c r="D68">
        <f t="shared" si="25"/>
        <v>63.449878231699266</v>
      </c>
      <c r="E68">
        <v>68</v>
      </c>
      <c r="G68">
        <f t="shared" si="26"/>
        <v>67.246304347826324</v>
      </c>
      <c r="H68">
        <f t="shared" si="27"/>
        <v>69.28130003264279</v>
      </c>
      <c r="I68">
        <v>68</v>
      </c>
      <c r="K68">
        <f t="shared" si="28"/>
        <v>46.530151515151509</v>
      </c>
      <c r="L68">
        <f t="shared" si="29"/>
        <v>29.972266672806516</v>
      </c>
      <c r="M68">
        <v>68</v>
      </c>
      <c r="O68">
        <f t="shared" si="30"/>
        <v>46.530151515151509</v>
      </c>
      <c r="P68">
        <f t="shared" si="31"/>
        <v>69.02517743398235</v>
      </c>
      <c r="Q68">
        <v>68</v>
      </c>
      <c r="S68">
        <f t="shared" si="32"/>
        <v>74.093658884276138</v>
      </c>
      <c r="T68">
        <f t="shared" si="33"/>
        <v>54.321735250562881</v>
      </c>
      <c r="U68">
        <v>68</v>
      </c>
      <c r="W68">
        <f t="shared" si="34"/>
        <v>74.059293203296946</v>
      </c>
      <c r="X68">
        <f t="shared" si="35"/>
        <v>93.830722311239072</v>
      </c>
    </row>
    <row r="69" spans="1:24" x14ac:dyDescent="0.35">
      <c r="A69">
        <v>69</v>
      </c>
      <c r="C69">
        <f t="shared" si="24"/>
        <v>68.266652173913286</v>
      </c>
      <c r="D69">
        <f t="shared" si="25"/>
        <v>64.215266385783337</v>
      </c>
      <c r="E69">
        <v>69</v>
      </c>
      <c r="G69">
        <f t="shared" si="26"/>
        <v>68.266652173913286</v>
      </c>
      <c r="H69">
        <f t="shared" si="27"/>
        <v>70.177424157960559</v>
      </c>
      <c r="I69">
        <v>69</v>
      </c>
      <c r="K69">
        <f t="shared" si="28"/>
        <v>47.241303030303023</v>
      </c>
      <c r="L69">
        <f t="shared" si="29"/>
        <v>30.54802711242457</v>
      </c>
      <c r="M69">
        <v>69</v>
      </c>
      <c r="O69">
        <f t="shared" si="30"/>
        <v>47.241303030303023</v>
      </c>
      <c r="P69">
        <f t="shared" si="31"/>
        <v>69.607440704250422</v>
      </c>
      <c r="Q69">
        <v>69</v>
      </c>
      <c r="S69">
        <f t="shared" si="32"/>
        <v>74.99698160711344</v>
      </c>
      <c r="T69">
        <f t="shared" si="33"/>
        <v>55.211909389498523</v>
      </c>
      <c r="U69">
        <v>69</v>
      </c>
      <c r="W69">
        <f t="shared" si="34"/>
        <v>74.979798766623901</v>
      </c>
      <c r="X69">
        <f t="shared" si="35"/>
        <v>94.764618185520078</v>
      </c>
    </row>
    <row r="70" spans="1:24" x14ac:dyDescent="0.35">
      <c r="A70">
        <v>70</v>
      </c>
      <c r="C70">
        <f t="shared" si="24"/>
        <v>69.287000000000234</v>
      </c>
      <c r="D70">
        <f t="shared" si="25"/>
        <v>64.980426204415352</v>
      </c>
      <c r="E70">
        <v>70</v>
      </c>
      <c r="G70">
        <f t="shared" si="26"/>
        <v>69.287000000000234</v>
      </c>
      <c r="H70">
        <f t="shared" si="27"/>
        <v>71.073776618730392</v>
      </c>
      <c r="I70">
        <v>70</v>
      </c>
      <c r="K70">
        <f t="shared" si="28"/>
        <v>47.952454545454536</v>
      </c>
      <c r="L70">
        <f t="shared" si="29"/>
        <v>31.123664528843765</v>
      </c>
      <c r="M70">
        <v>70</v>
      </c>
      <c r="O70">
        <f t="shared" si="30"/>
        <v>47.952454545454536</v>
      </c>
      <c r="P70">
        <f t="shared" si="31"/>
        <v>70.189826997717375</v>
      </c>
      <c r="Q70">
        <v>70</v>
      </c>
      <c r="S70">
        <f t="shared" si="32"/>
        <v>75.900304329950742</v>
      </c>
      <c r="T70">
        <f t="shared" si="33"/>
        <v>56.101795542344519</v>
      </c>
      <c r="U70">
        <v>70</v>
      </c>
      <c r="W70">
        <f t="shared" si="34"/>
        <v>75.900304329950842</v>
      </c>
      <c r="X70">
        <f t="shared" si="35"/>
        <v>95.698813117557066</v>
      </c>
    </row>
    <row r="71" spans="1:24" x14ac:dyDescent="0.35">
      <c r="I71">
        <v>71</v>
      </c>
      <c r="K71">
        <f t="shared" si="28"/>
        <v>48.66360606060605</v>
      </c>
      <c r="L71">
        <f t="shared" si="29"/>
        <v>31.699178985811319</v>
      </c>
      <c r="M71">
        <v>71</v>
      </c>
      <c r="O71">
        <f t="shared" si="30"/>
        <v>48.66360606060605</v>
      </c>
      <c r="P71">
        <f t="shared" si="31"/>
        <v>70.772336250635959</v>
      </c>
    </row>
    <row r="72" spans="1:24" x14ac:dyDescent="0.35">
      <c r="I72">
        <v>72</v>
      </c>
      <c r="K72">
        <f t="shared" si="28"/>
        <v>49.374757575757563</v>
      </c>
      <c r="L72">
        <f t="shared" si="29"/>
        <v>32.274570549350841</v>
      </c>
      <c r="M72">
        <v>72</v>
      </c>
      <c r="O72">
        <f t="shared" si="30"/>
        <v>49.374757575757563</v>
      </c>
      <c r="P72">
        <f t="shared" si="31"/>
        <v>71.354968396982571</v>
      </c>
    </row>
    <row r="73" spans="1:24" x14ac:dyDescent="0.35">
      <c r="I73">
        <v>73</v>
      </c>
      <c r="K73">
        <f t="shared" si="28"/>
        <v>50.085909090909084</v>
      </c>
      <c r="L73">
        <f t="shared" si="29"/>
        <v>32.849839287756126</v>
      </c>
      <c r="M73">
        <v>73</v>
      </c>
      <c r="O73">
        <f t="shared" si="30"/>
        <v>50.085909090909084</v>
      </c>
      <c r="P73">
        <f t="shared" si="31"/>
        <v>71.937723368463423</v>
      </c>
    </row>
    <row r="74" spans="1:24" x14ac:dyDescent="0.35">
      <c r="I74">
        <v>74</v>
      </c>
      <c r="K74">
        <f t="shared" si="28"/>
        <v>50.797060606060597</v>
      </c>
      <c r="L74">
        <f t="shared" si="29"/>
        <v>33.424985271584788</v>
      </c>
      <c r="M74">
        <v>74</v>
      </c>
      <c r="O74">
        <f t="shared" si="30"/>
        <v>50.797060606060597</v>
      </c>
      <c r="P74">
        <f t="shared" si="31"/>
        <v>72.520601094520899</v>
      </c>
    </row>
    <row r="75" spans="1:24" x14ac:dyDescent="0.35">
      <c r="I75">
        <v>75</v>
      </c>
      <c r="K75">
        <f t="shared" si="28"/>
        <v>51.508212121212111</v>
      </c>
      <c r="L75">
        <f t="shared" si="29"/>
        <v>34.000008573651606</v>
      </c>
      <c r="M75">
        <v>75</v>
      </c>
      <c r="O75">
        <f t="shared" si="30"/>
        <v>51.508212121212111</v>
      </c>
      <c r="P75">
        <f t="shared" si="31"/>
        <v>73.103601502340211</v>
      </c>
    </row>
    <row r="76" spans="1:24" x14ac:dyDescent="0.35">
      <c r="I76">
        <v>76</v>
      </c>
      <c r="K76">
        <f t="shared" si="28"/>
        <v>52.219363636363624</v>
      </c>
      <c r="L76">
        <f t="shared" si="29"/>
        <v>34.574909269021788</v>
      </c>
      <c r="M76">
        <v>76</v>
      </c>
      <c r="O76">
        <f t="shared" si="30"/>
        <v>52.219363636363624</v>
      </c>
      <c r="P76">
        <f t="shared" si="31"/>
        <v>73.686724516856174</v>
      </c>
    </row>
    <row r="77" spans="1:24" x14ac:dyDescent="0.35">
      <c r="I77">
        <v>77</v>
      </c>
      <c r="K77">
        <f t="shared" si="28"/>
        <v>52.930515151515138</v>
      </c>
      <c r="L77">
        <f t="shared" si="29"/>
        <v>35.149687435003926</v>
      </c>
      <c r="M77">
        <v>77</v>
      </c>
      <c r="O77">
        <f t="shared" si="30"/>
        <v>52.930515151515138</v>
      </c>
      <c r="P77">
        <f t="shared" si="31"/>
        <v>74.269970060760173</v>
      </c>
    </row>
    <row r="78" spans="1:24" x14ac:dyDescent="0.35">
      <c r="I78">
        <v>78</v>
      </c>
      <c r="K78">
        <f t="shared" si="28"/>
        <v>53.641666666666659</v>
      </c>
      <c r="L78">
        <f t="shared" si="29"/>
        <v>35.724343151142833</v>
      </c>
      <c r="M78">
        <v>78</v>
      </c>
      <c r="O78">
        <f t="shared" si="30"/>
        <v>53.641666666666659</v>
      </c>
      <c r="P78">
        <f t="shared" si="31"/>
        <v>74.853338054507418</v>
      </c>
    </row>
    <row r="79" spans="1:24" x14ac:dyDescent="0.35">
      <c r="I79">
        <v>79</v>
      </c>
      <c r="K79">
        <f t="shared" si="28"/>
        <v>54.352818181818172</v>
      </c>
      <c r="L79">
        <f t="shared" si="29"/>
        <v>36.298876499212078</v>
      </c>
      <c r="M79">
        <v>79</v>
      </c>
      <c r="O79">
        <f t="shared" si="30"/>
        <v>54.352818181818172</v>
      </c>
      <c r="P79">
        <f t="shared" si="31"/>
        <v>75.436828416324317</v>
      </c>
    </row>
    <row r="80" spans="1:24" x14ac:dyDescent="0.35">
      <c r="I80">
        <v>80</v>
      </c>
      <c r="K80">
        <f t="shared" si="28"/>
        <v>55.063969696969686</v>
      </c>
      <c r="L80">
        <f t="shared" si="29"/>
        <v>36.873287563206475</v>
      </c>
      <c r="M80">
        <v>80</v>
      </c>
      <c r="O80">
        <f t="shared" si="30"/>
        <v>55.063969696969686</v>
      </c>
      <c r="P80">
        <f t="shared" si="31"/>
        <v>76.020441062216051</v>
      </c>
    </row>
    <row r="81" spans="9:16" x14ac:dyDescent="0.35">
      <c r="I81">
        <v>81</v>
      </c>
      <c r="K81">
        <f t="shared" si="28"/>
        <v>55.775121212121199</v>
      </c>
      <c r="L81">
        <f t="shared" si="29"/>
        <v>37.447576429334248</v>
      </c>
      <c r="M81">
        <v>81</v>
      </c>
      <c r="O81">
        <f t="shared" si="30"/>
        <v>55.775121212121199</v>
      </c>
      <c r="P81">
        <f t="shared" si="31"/>
        <v>76.604175905974415</v>
      </c>
    </row>
    <row r="82" spans="9:16" x14ac:dyDescent="0.35">
      <c r="I82">
        <v>82</v>
      </c>
      <c r="K82">
        <f t="shared" si="28"/>
        <v>56.486272727272713</v>
      </c>
      <c r="L82">
        <f t="shared" si="29"/>
        <v>38.021743186009061</v>
      </c>
      <c r="M82">
        <v>82</v>
      </c>
      <c r="O82">
        <f t="shared" si="30"/>
        <v>56.486272727272713</v>
      </c>
      <c r="P82">
        <f t="shared" si="31"/>
        <v>77.188032859185739</v>
      </c>
    </row>
    <row r="83" spans="9:16" x14ac:dyDescent="0.35">
      <c r="I83">
        <v>83</v>
      </c>
      <c r="K83">
        <f t="shared" si="28"/>
        <v>57.197424242424233</v>
      </c>
      <c r="L83">
        <f t="shared" si="29"/>
        <v>38.595787923841826</v>
      </c>
      <c r="M83">
        <v>83</v>
      </c>
      <c r="O83">
        <f t="shared" si="30"/>
        <v>57.197424242424233</v>
      </c>
      <c r="P83">
        <f t="shared" si="31"/>
        <v>77.772011831239126</v>
      </c>
    </row>
    <row r="84" spans="9:16" x14ac:dyDescent="0.35">
      <c r="I84">
        <v>84</v>
      </c>
      <c r="K84">
        <f t="shared" si="28"/>
        <v>57.908575757575747</v>
      </c>
      <c r="L84">
        <f t="shared" si="29"/>
        <v>39.169710735632364</v>
      </c>
      <c r="M84">
        <v>84</v>
      </c>
      <c r="O84">
        <f t="shared" si="30"/>
        <v>57.908575757575747</v>
      </c>
      <c r="P84">
        <f t="shared" si="31"/>
        <v>78.356112729334725</v>
      </c>
    </row>
    <row r="85" spans="9:16" x14ac:dyDescent="0.35">
      <c r="I85">
        <v>85</v>
      </c>
      <c r="K85">
        <f t="shared" si="28"/>
        <v>58.61972727272726</v>
      </c>
      <c r="L85">
        <f t="shared" si="29"/>
        <v>39.743511716360871</v>
      </c>
      <c r="M85">
        <v>85</v>
      </c>
      <c r="O85">
        <f t="shared" si="30"/>
        <v>58.61972727272726</v>
      </c>
      <c r="P85">
        <f t="shared" si="31"/>
        <v>78.940335458492356</v>
      </c>
    </row>
    <row r="86" spans="9:16" x14ac:dyDescent="0.35">
      <c r="I86">
        <v>86</v>
      </c>
      <c r="K86">
        <f t="shared" si="28"/>
        <v>59.330878787878774</v>
      </c>
      <c r="L86">
        <f t="shared" si="29"/>
        <v>40.317190963179122</v>
      </c>
      <c r="M86">
        <v>86</v>
      </c>
      <c r="O86">
        <f t="shared" si="30"/>
        <v>59.330878787878774</v>
      </c>
      <c r="P86">
        <f t="shared" si="31"/>
        <v>79.524679921560249</v>
      </c>
    </row>
    <row r="87" spans="9:16" x14ac:dyDescent="0.35">
      <c r="I87">
        <v>87</v>
      </c>
      <c r="K87">
        <f t="shared" si="28"/>
        <v>60.042030303030288</v>
      </c>
      <c r="L87">
        <f t="shared" si="29"/>
        <v>40.890748575401631</v>
      </c>
      <c r="M87">
        <v>87</v>
      </c>
      <c r="O87">
        <f t="shared" si="30"/>
        <v>60.042030303030288</v>
      </c>
      <c r="P87">
        <f t="shared" si="31"/>
        <v>80.109146019223871</v>
      </c>
    </row>
    <row r="88" spans="9:16" x14ac:dyDescent="0.35">
      <c r="I88">
        <v>88</v>
      </c>
      <c r="K88">
        <f t="shared" si="28"/>
        <v>60.753181818181808</v>
      </c>
      <c r="L88">
        <f t="shared" si="29"/>
        <v>41.464184654496499</v>
      </c>
      <c r="M88">
        <v>88</v>
      </c>
      <c r="O88">
        <f t="shared" si="30"/>
        <v>60.753181818181808</v>
      </c>
      <c r="P88">
        <f t="shared" si="31"/>
        <v>80.693733650015162</v>
      </c>
    </row>
    <row r="89" spans="9:16" x14ac:dyDescent="0.35">
      <c r="I89">
        <v>89</v>
      </c>
      <c r="K89">
        <f t="shared" si="28"/>
        <v>61.464333333333322</v>
      </c>
      <c r="L89">
        <f t="shared" si="29"/>
        <v>42.037499304076128</v>
      </c>
      <c r="M89">
        <v>89</v>
      </c>
      <c r="O89">
        <f t="shared" si="30"/>
        <v>61.464333333333322</v>
      </c>
      <c r="P89">
        <f t="shared" si="31"/>
        <v>81.278442710321656</v>
      </c>
    </row>
    <row r="90" spans="9:16" x14ac:dyDescent="0.35">
      <c r="I90">
        <v>90</v>
      </c>
      <c r="K90">
        <f t="shared" si="28"/>
        <v>62.175484848484835</v>
      </c>
      <c r="L90">
        <f t="shared" si="29"/>
        <v>42.610692629887787</v>
      </c>
      <c r="M90">
        <v>90</v>
      </c>
      <c r="O90">
        <f t="shared" si="30"/>
        <v>62.175484848484835</v>
      </c>
      <c r="P90">
        <f t="shared" si="31"/>
        <v>81.863273094396135</v>
      </c>
    </row>
    <row r="91" spans="9:16" x14ac:dyDescent="0.35">
      <c r="I91">
        <v>91</v>
      </c>
      <c r="K91">
        <f t="shared" si="28"/>
        <v>62.886636363636349</v>
      </c>
      <c r="L91">
        <f t="shared" si="29"/>
        <v>43.183764739803976</v>
      </c>
      <c r="M91">
        <v>91</v>
      </c>
      <c r="O91">
        <f t="shared" si="30"/>
        <v>62.886636363636349</v>
      </c>
      <c r="P91">
        <f t="shared" si="31"/>
        <v>82.44822469436609</v>
      </c>
    </row>
    <row r="92" spans="9:16" x14ac:dyDescent="0.35">
      <c r="I92">
        <v>92</v>
      </c>
      <c r="K92">
        <f t="shared" si="28"/>
        <v>63.597787878787862</v>
      </c>
      <c r="L92">
        <f t="shared" si="29"/>
        <v>43.756715743812606</v>
      </c>
      <c r="M92">
        <v>92</v>
      </c>
      <c r="O92">
        <f t="shared" si="30"/>
        <v>63.597787878787862</v>
      </c>
      <c r="P92">
        <f t="shared" si="31"/>
        <v>83.033297400243598</v>
      </c>
    </row>
    <row r="93" spans="9:16" x14ac:dyDescent="0.35">
      <c r="I93">
        <v>93</v>
      </c>
      <c r="K93">
        <f t="shared" si="28"/>
        <v>64.308939393939369</v>
      </c>
      <c r="L93">
        <f t="shared" si="29"/>
        <v>44.329545754007</v>
      </c>
      <c r="M93">
        <v>93</v>
      </c>
      <c r="O93">
        <f t="shared" si="30"/>
        <v>64.308939393939369</v>
      </c>
      <c r="P93">
        <f t="shared" si="31"/>
        <v>83.618491099935326</v>
      </c>
    </row>
    <row r="94" spans="9:16" x14ac:dyDescent="0.35">
      <c r="I94">
        <v>94</v>
      </c>
      <c r="K94">
        <f t="shared" si="28"/>
        <v>65.020090909090882</v>
      </c>
      <c r="L94">
        <f t="shared" si="29"/>
        <v>44.902254884575811</v>
      </c>
      <c r="M94">
        <v>94</v>
      </c>
      <c r="O94">
        <f t="shared" si="30"/>
        <v>65.020090909090882</v>
      </c>
      <c r="P94">
        <f t="shared" si="31"/>
        <v>84.203805679252653</v>
      </c>
    </row>
    <row r="95" spans="9:16" x14ac:dyDescent="0.35">
      <c r="I95">
        <v>95</v>
      </c>
      <c r="K95">
        <f t="shared" si="28"/>
        <v>65.73124242424241</v>
      </c>
      <c r="L95">
        <f t="shared" si="29"/>
        <v>45.474843251792606</v>
      </c>
      <c r="M95">
        <v>95</v>
      </c>
      <c r="O95">
        <f t="shared" si="30"/>
        <v>65.73124242424241</v>
      </c>
      <c r="P95">
        <f t="shared" si="31"/>
        <v>84.789241021922038</v>
      </c>
    </row>
    <row r="96" spans="9:16" x14ac:dyDescent="0.35">
      <c r="I96">
        <v>96</v>
      </c>
      <c r="K96">
        <f t="shared" si="28"/>
        <v>66.442393939393924</v>
      </c>
      <c r="L96">
        <f t="shared" si="29"/>
        <v>46.04731097400542</v>
      </c>
      <c r="M96">
        <v>96</v>
      </c>
      <c r="O96">
        <f t="shared" si="30"/>
        <v>66.442393939393924</v>
      </c>
      <c r="P96">
        <f t="shared" si="31"/>
        <v>85.374797009595341</v>
      </c>
    </row>
    <row r="97" spans="9:16" x14ac:dyDescent="0.35">
      <c r="I97">
        <v>97</v>
      </c>
      <c r="K97">
        <f t="shared" si="28"/>
        <v>67.153545454545437</v>
      </c>
      <c r="L97">
        <f>11.6143770642258+0.81418916026595*K97-19.4540000315864*(1.0032154340836+(K97-28.1775562700965)^2/79301.1119427652)^0.5</f>
        <v>46.619658171626156</v>
      </c>
      <c r="M97">
        <v>97</v>
      </c>
      <c r="O97">
        <f t="shared" si="30"/>
        <v>67.153545454545437</v>
      </c>
      <c r="P97">
        <f>11.6143770642258+0.81418916026595*O97+19.4540000315864*(1.0032154340836+(O97-28.1775562700965)^2/79301.1119427652)^0.5</f>
        <v>85.960473521860763</v>
      </c>
    </row>
    <row r="98" spans="9:16" x14ac:dyDescent="0.35">
      <c r="I98">
        <v>98</v>
      </c>
      <c r="K98">
        <f t="shared" si="28"/>
        <v>67.864696969696951</v>
      </c>
      <c r="L98">
        <f>11.6143770642258+0.81418916026595*K98-19.4540000315864*(1.0032154340836+(K98-28.1775562700965)^2/79301.1119427652)^0.5</f>
        <v>47.191884967119677</v>
      </c>
      <c r="M98">
        <v>98</v>
      </c>
      <c r="O98">
        <f t="shared" si="30"/>
        <v>67.864696969696951</v>
      </c>
      <c r="P98">
        <f>11.6143770642258+0.81418916026595*O98+19.4540000315864*(1.0032154340836+(O98-28.1775562700965)^2/79301.1119427652)^0.5</f>
        <v>86.546270436253366</v>
      </c>
    </row>
    <row r="99" spans="9:16" x14ac:dyDescent="0.35">
      <c r="I99">
        <v>99</v>
      </c>
      <c r="K99">
        <f t="shared" si="28"/>
        <v>68.575848484848464</v>
      </c>
      <c r="L99">
        <f>11.6143770642258+0.81418916026595*K99-19.4540000315864*(1.0032154340836+(K99-28.1775562700965)^2/79301.1119427652)^0.5</f>
        <v>47.763991484992957</v>
      </c>
      <c r="M99">
        <v>99</v>
      </c>
      <c r="O99">
        <f t="shared" si="30"/>
        <v>68.575848484848464</v>
      </c>
      <c r="P99">
        <f>11.6143770642258+0.81418916026595*O99+19.4540000315864*(1.0032154340836+(O99-28.1775562700965)^2/79301.1119427652)^0.5</f>
        <v>87.132187628266237</v>
      </c>
    </row>
    <row r="100" spans="9:16" x14ac:dyDescent="0.35">
      <c r="I100">
        <v>100</v>
      </c>
      <c r="K100">
        <f t="shared" si="28"/>
        <v>69.286999999999978</v>
      </c>
      <c r="L100">
        <f>11.6143770642258+0.81418916026595*K100-19.4540000315864*(1.0032154340836+(K100-28.1775562700965)^2/79301.1119427652)^0.5</f>
        <v>48.335977851783809</v>
      </c>
      <c r="M100">
        <v>100</v>
      </c>
      <c r="O100">
        <f t="shared" si="30"/>
        <v>69.286999999999978</v>
      </c>
      <c r="P100">
        <f>11.6143770642258+0.81418916026595*O100+19.4540000315864*(1.0032154340836+(O100-28.1775562700965)^2/79301.1119427652)^0.5</f>
        <v>87.718224971361508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0"/>
  <dimension ref="A1:XX999"/>
  <sheetViews>
    <sheetView zoomScaleNormal="100" workbookViewId="0">
      <selection activeCell="H6" sqref="H6"/>
    </sheetView>
  </sheetViews>
  <sheetFormatPr defaultRowHeight="15.5" x14ac:dyDescent="0.35"/>
  <sheetData>
    <row r="1" spans="1:1" x14ac:dyDescent="0.35">
      <c r="A1" t="s">
        <v>664</v>
      </c>
    </row>
    <row r="2" spans="1:1" x14ac:dyDescent="0.35">
      <c r="A2" t="s">
        <v>662</v>
      </c>
    </row>
    <row r="3" spans="1:1" ht="17" customHeight="1" x14ac:dyDescent="0.35">
      <c r="A3" t="s">
        <v>663</v>
      </c>
    </row>
    <row r="4" spans="1:1" ht="38" customHeight="1" x14ac:dyDescent="0.35"/>
    <row r="5" spans="1:1" x14ac:dyDescent="0.35">
      <c r="A5" s="79"/>
    </row>
    <row r="8" spans="1:1" x14ac:dyDescent="0.35">
      <c r="A8" s="1" t="s">
        <v>454</v>
      </c>
    </row>
    <row r="26" spans="6:6" x14ac:dyDescent="0.35">
      <c r="F26" t="s">
        <v>298</v>
      </c>
    </row>
    <row r="999" spans="648:648" x14ac:dyDescent="0.35">
      <c r="XX999" s="44">
        <v>166765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_HID"/>
  <dimension ref="A1:B311"/>
  <sheetViews>
    <sheetView rightToLeft="1" workbookViewId="0"/>
  </sheetViews>
  <sheetFormatPr defaultRowHeight="15.5" x14ac:dyDescent="0.35"/>
  <sheetData>
    <row r="1" spans="1:2" x14ac:dyDescent="0.35">
      <c r="A1">
        <v>10.58</v>
      </c>
      <c r="B1">
        <v>18.579999999999998</v>
      </c>
    </row>
    <row r="2" spans="1:2" x14ac:dyDescent="0.35">
      <c r="A2">
        <v>10.58</v>
      </c>
      <c r="B2">
        <v>18.579999999999998</v>
      </c>
    </row>
    <row r="3" spans="1:2" x14ac:dyDescent="0.35">
      <c r="A3">
        <v>10.58</v>
      </c>
      <c r="B3">
        <v>18.579999999999998</v>
      </c>
    </row>
    <row r="4" spans="1:2" x14ac:dyDescent="0.35">
      <c r="A4">
        <v>10.58</v>
      </c>
      <c r="B4">
        <v>18.579999999999998</v>
      </c>
    </row>
    <row r="5" spans="1:2" x14ac:dyDescent="0.35">
      <c r="A5">
        <v>10.58</v>
      </c>
      <c r="B5">
        <v>28.58</v>
      </c>
    </row>
    <row r="6" spans="1:2" x14ac:dyDescent="0.35">
      <c r="A6">
        <v>10.58</v>
      </c>
      <c r="B6">
        <v>26.58</v>
      </c>
    </row>
    <row r="7" spans="1:2" x14ac:dyDescent="0.35">
      <c r="A7">
        <v>10.58</v>
      </c>
      <c r="B7">
        <v>17.579999999999998</v>
      </c>
    </row>
    <row r="8" spans="1:2" x14ac:dyDescent="0.35">
      <c r="A8">
        <v>10.58</v>
      </c>
      <c r="B8">
        <v>27.58</v>
      </c>
    </row>
    <row r="9" spans="1:2" x14ac:dyDescent="0.35">
      <c r="A9">
        <v>10.58</v>
      </c>
      <c r="B9">
        <v>27.58</v>
      </c>
    </row>
    <row r="10" spans="1:2" x14ac:dyDescent="0.35">
      <c r="A10">
        <v>10.58</v>
      </c>
      <c r="B10">
        <v>37.58</v>
      </c>
    </row>
    <row r="11" spans="1:2" x14ac:dyDescent="0.35">
      <c r="A11">
        <v>10.58</v>
      </c>
      <c r="B11">
        <v>28.58</v>
      </c>
    </row>
    <row r="12" spans="1:2" x14ac:dyDescent="0.35">
      <c r="A12">
        <v>5.83</v>
      </c>
      <c r="B12">
        <v>1.83</v>
      </c>
    </row>
    <row r="13" spans="1:2" x14ac:dyDescent="0.35">
      <c r="A13">
        <v>5.83</v>
      </c>
      <c r="B13">
        <v>8.83</v>
      </c>
    </row>
    <row r="14" spans="1:2" x14ac:dyDescent="0.35">
      <c r="A14">
        <v>5.83</v>
      </c>
      <c r="B14">
        <v>8.83</v>
      </c>
    </row>
    <row r="15" spans="1:2" x14ac:dyDescent="0.35">
      <c r="A15">
        <v>5.83</v>
      </c>
      <c r="B15">
        <v>8.83</v>
      </c>
    </row>
    <row r="16" spans="1:2" x14ac:dyDescent="0.35">
      <c r="A16">
        <v>10.83</v>
      </c>
      <c r="B16">
        <v>16.829999999999998</v>
      </c>
    </row>
    <row r="17" spans="1:2" x14ac:dyDescent="0.35">
      <c r="A17">
        <v>10.83</v>
      </c>
      <c r="B17">
        <v>19.829999999999998</v>
      </c>
    </row>
    <row r="18" spans="1:2" x14ac:dyDescent="0.35">
      <c r="A18">
        <v>10.83</v>
      </c>
      <c r="B18">
        <v>18.329999999999998</v>
      </c>
    </row>
    <row r="19" spans="1:2" x14ac:dyDescent="0.35">
      <c r="A19">
        <v>10.83</v>
      </c>
      <c r="B19">
        <v>14.83</v>
      </c>
    </row>
    <row r="20" spans="1:2" x14ac:dyDescent="0.35">
      <c r="A20">
        <v>21.33</v>
      </c>
      <c r="B20">
        <v>12</v>
      </c>
    </row>
    <row r="21" spans="1:2" x14ac:dyDescent="0.35">
      <c r="A21">
        <v>16.329999999999998</v>
      </c>
      <c r="B21">
        <v>27</v>
      </c>
    </row>
    <row r="22" spans="1:2" x14ac:dyDescent="0.35">
      <c r="A22">
        <v>21.33</v>
      </c>
      <c r="B22">
        <v>42</v>
      </c>
    </row>
    <row r="23" spans="1:2" x14ac:dyDescent="0.35">
      <c r="A23">
        <v>21.33</v>
      </c>
      <c r="B23">
        <v>46</v>
      </c>
    </row>
    <row r="24" spans="1:2" x14ac:dyDescent="0.35">
      <c r="A24">
        <v>21.33</v>
      </c>
      <c r="B24">
        <v>46</v>
      </c>
    </row>
    <row r="25" spans="1:2" x14ac:dyDescent="0.35">
      <c r="A25">
        <v>31.33</v>
      </c>
      <c r="B25">
        <v>57</v>
      </c>
    </row>
    <row r="26" spans="1:2" x14ac:dyDescent="0.35">
      <c r="A26">
        <v>41.08</v>
      </c>
      <c r="B26">
        <v>55.75</v>
      </c>
    </row>
    <row r="27" spans="1:2" x14ac:dyDescent="0.35">
      <c r="A27">
        <v>41.08</v>
      </c>
      <c r="B27">
        <v>55.75</v>
      </c>
    </row>
    <row r="28" spans="1:2" x14ac:dyDescent="0.35">
      <c r="A28">
        <v>41.08</v>
      </c>
      <c r="B28">
        <v>55.75</v>
      </c>
    </row>
    <row r="29" spans="1:2" x14ac:dyDescent="0.35">
      <c r="A29">
        <v>46.33</v>
      </c>
      <c r="B29">
        <v>57</v>
      </c>
    </row>
    <row r="30" spans="1:2" x14ac:dyDescent="0.35">
      <c r="A30">
        <v>61.33</v>
      </c>
      <c r="B30">
        <v>77</v>
      </c>
    </row>
    <row r="31" spans="1:2" x14ac:dyDescent="0.35">
      <c r="A31">
        <v>61.33</v>
      </c>
      <c r="B31">
        <v>76</v>
      </c>
    </row>
    <row r="32" spans="1:2" x14ac:dyDescent="0.35">
      <c r="A32">
        <v>61.33</v>
      </c>
      <c r="B32">
        <v>75</v>
      </c>
    </row>
    <row r="33" spans="1:2" x14ac:dyDescent="0.35">
      <c r="A33">
        <v>61.33</v>
      </c>
      <c r="B33">
        <v>75</v>
      </c>
    </row>
    <row r="34" spans="1:2" x14ac:dyDescent="0.35">
      <c r="A34">
        <v>61.33</v>
      </c>
      <c r="B34">
        <v>36</v>
      </c>
    </row>
    <row r="35" spans="1:2" x14ac:dyDescent="0.35">
      <c r="A35">
        <v>61.33</v>
      </c>
      <c r="B35">
        <v>56.42</v>
      </c>
    </row>
    <row r="36" spans="1:2" x14ac:dyDescent="0.35">
      <c r="A36">
        <v>61.33</v>
      </c>
      <c r="B36">
        <v>45</v>
      </c>
    </row>
    <row r="37" spans="1:2" x14ac:dyDescent="0.35">
      <c r="A37">
        <v>61.33</v>
      </c>
      <c r="B37">
        <v>45.42</v>
      </c>
    </row>
    <row r="38" spans="1:2" x14ac:dyDescent="0.35">
      <c r="A38">
        <v>61.33</v>
      </c>
      <c r="B38">
        <v>37</v>
      </c>
    </row>
    <row r="39" spans="1:2" x14ac:dyDescent="0.35">
      <c r="A39">
        <v>11.33</v>
      </c>
      <c r="B39">
        <v>8</v>
      </c>
    </row>
    <row r="40" spans="1:2" x14ac:dyDescent="0.35">
      <c r="A40">
        <v>5.83</v>
      </c>
      <c r="B40">
        <v>2.83</v>
      </c>
    </row>
    <row r="41" spans="1:2" x14ac:dyDescent="0.35">
      <c r="A41">
        <v>5.83</v>
      </c>
      <c r="B41">
        <v>2.83</v>
      </c>
    </row>
    <row r="42" spans="1:2" x14ac:dyDescent="0.35">
      <c r="A42">
        <v>5.83</v>
      </c>
      <c r="B42">
        <v>2.83</v>
      </c>
    </row>
    <row r="43" spans="1:2" x14ac:dyDescent="0.35">
      <c r="A43">
        <v>5.83</v>
      </c>
      <c r="B43">
        <v>2.83</v>
      </c>
    </row>
    <row r="44" spans="1:2" x14ac:dyDescent="0.35">
      <c r="A44">
        <v>15.83</v>
      </c>
      <c r="B44">
        <v>14.83</v>
      </c>
    </row>
    <row r="45" spans="1:2" x14ac:dyDescent="0.35">
      <c r="A45">
        <v>15.83</v>
      </c>
      <c r="B45">
        <v>16.829999999999998</v>
      </c>
    </row>
    <row r="46" spans="1:2" x14ac:dyDescent="0.35">
      <c r="A46">
        <v>15.83</v>
      </c>
      <c r="B46">
        <v>16.829999999999998</v>
      </c>
    </row>
    <row r="47" spans="1:2" x14ac:dyDescent="0.35">
      <c r="A47">
        <v>15.83</v>
      </c>
      <c r="B47">
        <v>16.829999999999998</v>
      </c>
    </row>
    <row r="48" spans="1:2" x14ac:dyDescent="0.35">
      <c r="A48">
        <v>11.33</v>
      </c>
      <c r="B48">
        <v>11</v>
      </c>
    </row>
    <row r="49" spans="1:2" x14ac:dyDescent="0.35">
      <c r="A49">
        <v>21.08</v>
      </c>
      <c r="B49">
        <v>42.75</v>
      </c>
    </row>
    <row r="50" spans="1:2" x14ac:dyDescent="0.35">
      <c r="A50">
        <v>21.08</v>
      </c>
      <c r="B50">
        <v>43.17</v>
      </c>
    </row>
    <row r="51" spans="1:2" x14ac:dyDescent="0.35">
      <c r="A51">
        <v>21.08</v>
      </c>
      <c r="B51">
        <v>43.17</v>
      </c>
    </row>
    <row r="52" spans="1:2" x14ac:dyDescent="0.35">
      <c r="A52">
        <v>21.08</v>
      </c>
      <c r="B52">
        <v>42.75</v>
      </c>
    </row>
    <row r="53" spans="1:2" x14ac:dyDescent="0.35">
      <c r="A53">
        <v>21.08</v>
      </c>
      <c r="B53">
        <v>42.75</v>
      </c>
    </row>
    <row r="54" spans="1:2" x14ac:dyDescent="0.35">
      <c r="A54">
        <v>41.08</v>
      </c>
      <c r="B54">
        <v>31.75</v>
      </c>
    </row>
    <row r="55" spans="1:2" x14ac:dyDescent="0.35">
      <c r="A55">
        <v>41.08</v>
      </c>
      <c r="B55">
        <v>31.75</v>
      </c>
    </row>
    <row r="56" spans="1:2" x14ac:dyDescent="0.35">
      <c r="A56">
        <v>41.08</v>
      </c>
      <c r="B56">
        <v>31.75</v>
      </c>
    </row>
    <row r="57" spans="1:2" x14ac:dyDescent="0.35">
      <c r="A57">
        <v>41.08</v>
      </c>
      <c r="B57">
        <v>36.75</v>
      </c>
    </row>
    <row r="58" spans="1:2" x14ac:dyDescent="0.35">
      <c r="A58">
        <v>41.08</v>
      </c>
      <c r="B58">
        <v>44.75</v>
      </c>
    </row>
    <row r="59" spans="1:2" x14ac:dyDescent="0.35">
      <c r="A59">
        <v>61.08</v>
      </c>
      <c r="B59">
        <v>36.75</v>
      </c>
    </row>
    <row r="60" spans="1:2" x14ac:dyDescent="0.35">
      <c r="A60">
        <v>61.08</v>
      </c>
      <c r="B60">
        <v>55.75</v>
      </c>
    </row>
    <row r="61" spans="1:2" x14ac:dyDescent="0.35">
      <c r="A61">
        <v>61.08</v>
      </c>
      <c r="B61">
        <v>40.17</v>
      </c>
    </row>
    <row r="62" spans="1:2" x14ac:dyDescent="0.35">
      <c r="A62">
        <v>61.08</v>
      </c>
      <c r="B62">
        <v>56.75</v>
      </c>
    </row>
    <row r="63" spans="1:2" x14ac:dyDescent="0.35">
      <c r="A63">
        <v>61.33</v>
      </c>
      <c r="B63">
        <v>26.42</v>
      </c>
    </row>
    <row r="64" spans="1:2" x14ac:dyDescent="0.35">
      <c r="A64">
        <v>61.33</v>
      </c>
      <c r="B64">
        <v>66</v>
      </c>
    </row>
    <row r="65" spans="1:2" x14ac:dyDescent="0.35">
      <c r="A65">
        <v>11.33</v>
      </c>
      <c r="B65">
        <v>13.33</v>
      </c>
    </row>
    <row r="66" spans="1:2" x14ac:dyDescent="0.35">
      <c r="A66">
        <v>20.079999999999998</v>
      </c>
      <c r="B66">
        <v>38.75</v>
      </c>
    </row>
    <row r="67" spans="1:2" x14ac:dyDescent="0.35">
      <c r="A67">
        <v>20.079999999999998</v>
      </c>
      <c r="B67">
        <v>38.75</v>
      </c>
    </row>
    <row r="68" spans="1:2" x14ac:dyDescent="0.35">
      <c r="A68">
        <v>20.079999999999998</v>
      </c>
      <c r="B68">
        <v>38.75</v>
      </c>
    </row>
    <row r="69" spans="1:2" x14ac:dyDescent="0.35">
      <c r="A69">
        <v>20.079999999999998</v>
      </c>
      <c r="B69">
        <v>38.75</v>
      </c>
    </row>
    <row r="70" spans="1:2" x14ac:dyDescent="0.35">
      <c r="A70">
        <v>20.079999999999998</v>
      </c>
      <c r="B70">
        <v>38.75</v>
      </c>
    </row>
    <row r="71" spans="1:2" x14ac:dyDescent="0.35">
      <c r="A71">
        <v>20.05</v>
      </c>
      <c r="B71">
        <v>38.75</v>
      </c>
    </row>
    <row r="72" spans="1:2" x14ac:dyDescent="0.35">
      <c r="A72">
        <v>40.08</v>
      </c>
      <c r="B72">
        <v>54.75</v>
      </c>
    </row>
    <row r="73" spans="1:2" x14ac:dyDescent="0.35">
      <c r="A73">
        <v>40.08</v>
      </c>
      <c r="B73">
        <v>25.75</v>
      </c>
    </row>
    <row r="74" spans="1:2" x14ac:dyDescent="0.35">
      <c r="A74">
        <v>40.08</v>
      </c>
      <c r="B74">
        <v>25.75</v>
      </c>
    </row>
    <row r="75" spans="1:2" x14ac:dyDescent="0.35">
      <c r="A75">
        <v>40.08</v>
      </c>
      <c r="B75">
        <v>54.75</v>
      </c>
    </row>
    <row r="76" spans="1:2" x14ac:dyDescent="0.35">
      <c r="A76">
        <v>40.08</v>
      </c>
      <c r="B76">
        <v>23.75</v>
      </c>
    </row>
    <row r="77" spans="1:2" x14ac:dyDescent="0.35">
      <c r="A77">
        <v>40.08</v>
      </c>
      <c r="B77">
        <v>73.08</v>
      </c>
    </row>
    <row r="78" spans="1:2" x14ac:dyDescent="0.35">
      <c r="A78">
        <v>60.08</v>
      </c>
      <c r="B78">
        <v>57.75</v>
      </c>
    </row>
    <row r="79" spans="1:2" x14ac:dyDescent="0.35">
      <c r="A79">
        <v>60.08</v>
      </c>
      <c r="B79">
        <v>56.75</v>
      </c>
    </row>
    <row r="80" spans="1:2" x14ac:dyDescent="0.35">
      <c r="A80">
        <v>60.08</v>
      </c>
      <c r="B80">
        <v>57.75</v>
      </c>
    </row>
    <row r="81" spans="1:2" x14ac:dyDescent="0.35">
      <c r="A81">
        <v>60.08</v>
      </c>
      <c r="B81">
        <v>58.17</v>
      </c>
    </row>
    <row r="82" spans="1:2" x14ac:dyDescent="0.35">
      <c r="A82">
        <v>61.33</v>
      </c>
      <c r="B82">
        <v>62</v>
      </c>
    </row>
    <row r="83" spans="1:2" x14ac:dyDescent="0.35">
      <c r="A83">
        <v>8.42</v>
      </c>
      <c r="B83">
        <v>9.09</v>
      </c>
    </row>
    <row r="84" spans="1:2" x14ac:dyDescent="0.35">
      <c r="A84">
        <v>20.58</v>
      </c>
      <c r="B84">
        <v>16.25</v>
      </c>
    </row>
    <row r="85" spans="1:2" x14ac:dyDescent="0.35">
      <c r="A85">
        <v>20.58</v>
      </c>
      <c r="B85">
        <v>16.25</v>
      </c>
    </row>
    <row r="86" spans="1:2" x14ac:dyDescent="0.35">
      <c r="A86">
        <v>20.55</v>
      </c>
      <c r="B86">
        <v>16.25</v>
      </c>
    </row>
    <row r="87" spans="1:2" x14ac:dyDescent="0.35">
      <c r="A87">
        <v>20.58</v>
      </c>
      <c r="B87">
        <v>16.25</v>
      </c>
    </row>
    <row r="88" spans="1:2" x14ac:dyDescent="0.35">
      <c r="A88">
        <v>20.58</v>
      </c>
      <c r="B88">
        <v>16.25</v>
      </c>
    </row>
    <row r="89" spans="1:2" x14ac:dyDescent="0.35">
      <c r="A89">
        <v>20.55</v>
      </c>
      <c r="B89">
        <v>16.25</v>
      </c>
    </row>
    <row r="90" spans="1:2" x14ac:dyDescent="0.35">
      <c r="A90">
        <v>23.5</v>
      </c>
      <c r="B90">
        <v>29.17</v>
      </c>
    </row>
    <row r="91" spans="1:2" x14ac:dyDescent="0.35">
      <c r="A91">
        <v>20.52</v>
      </c>
      <c r="B91">
        <v>21.19</v>
      </c>
    </row>
    <row r="92" spans="1:2" x14ac:dyDescent="0.35">
      <c r="A92">
        <v>20.52</v>
      </c>
      <c r="B92">
        <v>20.190000000000001</v>
      </c>
    </row>
    <row r="93" spans="1:2" x14ac:dyDescent="0.35">
      <c r="A93">
        <v>20.52</v>
      </c>
      <c r="B93">
        <v>20.190000000000001</v>
      </c>
    </row>
    <row r="94" spans="1:2" x14ac:dyDescent="0.35">
      <c r="A94">
        <v>20.52</v>
      </c>
      <c r="B94">
        <v>36.19</v>
      </c>
    </row>
    <row r="95" spans="1:2" x14ac:dyDescent="0.35">
      <c r="A95">
        <v>20.52</v>
      </c>
      <c r="B95">
        <v>26.19</v>
      </c>
    </row>
    <row r="96" spans="1:2" x14ac:dyDescent="0.35">
      <c r="A96">
        <v>20.52</v>
      </c>
      <c r="B96">
        <v>22.19</v>
      </c>
    </row>
    <row r="97" spans="1:2" x14ac:dyDescent="0.35">
      <c r="A97">
        <v>38.42</v>
      </c>
      <c r="B97">
        <v>29.51</v>
      </c>
    </row>
    <row r="98" spans="1:2" x14ac:dyDescent="0.35">
      <c r="A98">
        <v>35.83</v>
      </c>
      <c r="B98">
        <v>26.51</v>
      </c>
    </row>
    <row r="99" spans="1:2" x14ac:dyDescent="0.35">
      <c r="A99">
        <v>35.83</v>
      </c>
      <c r="B99">
        <v>27.09</v>
      </c>
    </row>
    <row r="100" spans="1:2" x14ac:dyDescent="0.35">
      <c r="A100">
        <v>35.83</v>
      </c>
      <c r="B100">
        <v>34.51</v>
      </c>
    </row>
    <row r="101" spans="1:2" x14ac:dyDescent="0.35">
      <c r="A101">
        <v>35.83</v>
      </c>
      <c r="B101">
        <v>37.090000000000003</v>
      </c>
    </row>
    <row r="102" spans="1:2" x14ac:dyDescent="0.35">
      <c r="A102">
        <v>35.83</v>
      </c>
      <c r="B102">
        <v>31.51</v>
      </c>
    </row>
    <row r="103" spans="1:2" x14ac:dyDescent="0.35">
      <c r="A103">
        <v>34.75</v>
      </c>
      <c r="B103">
        <v>55.42</v>
      </c>
    </row>
    <row r="104" spans="1:2" x14ac:dyDescent="0.35">
      <c r="A104">
        <v>34.75</v>
      </c>
      <c r="B104">
        <v>28.84</v>
      </c>
    </row>
    <row r="105" spans="1:2" x14ac:dyDescent="0.35">
      <c r="A105">
        <v>4.75</v>
      </c>
      <c r="B105">
        <v>14.42</v>
      </c>
    </row>
    <row r="106" spans="1:2" x14ac:dyDescent="0.35">
      <c r="A106">
        <v>19.75</v>
      </c>
      <c r="B106">
        <v>22.42</v>
      </c>
    </row>
    <row r="107" spans="1:2" x14ac:dyDescent="0.35">
      <c r="A107">
        <v>34.75</v>
      </c>
      <c r="B107">
        <v>42.42</v>
      </c>
    </row>
    <row r="108" spans="1:2" x14ac:dyDescent="0.35">
      <c r="A108">
        <v>34.75</v>
      </c>
      <c r="B108">
        <v>55.42</v>
      </c>
    </row>
    <row r="109" spans="1:2" x14ac:dyDescent="0.35">
      <c r="A109">
        <v>4.75</v>
      </c>
      <c r="B109">
        <v>14.42</v>
      </c>
    </row>
    <row r="110" spans="1:2" x14ac:dyDescent="0.35">
      <c r="A110">
        <v>17.25</v>
      </c>
      <c r="B110">
        <v>21.92</v>
      </c>
    </row>
    <row r="111" spans="1:2" x14ac:dyDescent="0.35">
      <c r="A111">
        <v>17.25</v>
      </c>
      <c r="B111">
        <v>21.92</v>
      </c>
    </row>
    <row r="112" spans="1:2" x14ac:dyDescent="0.35">
      <c r="A112">
        <v>17.25</v>
      </c>
      <c r="B112">
        <v>21.92</v>
      </c>
    </row>
    <row r="113" spans="1:2" x14ac:dyDescent="0.35">
      <c r="A113">
        <v>17.25</v>
      </c>
      <c r="B113">
        <v>21.92</v>
      </c>
    </row>
    <row r="114" spans="1:2" x14ac:dyDescent="0.35">
      <c r="A114">
        <v>17.25</v>
      </c>
      <c r="B114">
        <v>21.92</v>
      </c>
    </row>
    <row r="115" spans="1:2" x14ac:dyDescent="0.35">
      <c r="A115">
        <v>17.25</v>
      </c>
      <c r="B115">
        <v>21.92</v>
      </c>
    </row>
    <row r="116" spans="1:2" x14ac:dyDescent="0.35">
      <c r="A116">
        <v>19.75</v>
      </c>
      <c r="B116">
        <v>22.42</v>
      </c>
    </row>
    <row r="117" spans="1:2" x14ac:dyDescent="0.35">
      <c r="A117">
        <v>28.42</v>
      </c>
      <c r="B117">
        <v>32.090000000000003</v>
      </c>
    </row>
    <row r="118" spans="1:2" x14ac:dyDescent="0.35">
      <c r="A118">
        <v>28.42</v>
      </c>
      <c r="B118">
        <v>32.090000000000003</v>
      </c>
    </row>
    <row r="119" spans="1:2" x14ac:dyDescent="0.35">
      <c r="A119">
        <v>28.42</v>
      </c>
      <c r="B119">
        <v>32.090000000000003</v>
      </c>
    </row>
    <row r="120" spans="1:2" x14ac:dyDescent="0.35">
      <c r="A120">
        <v>28.42</v>
      </c>
      <c r="B120">
        <v>32.090000000000003</v>
      </c>
    </row>
    <row r="121" spans="1:2" x14ac:dyDescent="0.35">
      <c r="A121">
        <v>28.42</v>
      </c>
      <c r="B121">
        <v>32.090000000000003</v>
      </c>
    </row>
    <row r="122" spans="1:2" x14ac:dyDescent="0.35">
      <c r="A122">
        <v>28.42</v>
      </c>
      <c r="B122">
        <v>32.090000000000003</v>
      </c>
    </row>
    <row r="123" spans="1:2" x14ac:dyDescent="0.35">
      <c r="A123">
        <v>35.92</v>
      </c>
      <c r="B123">
        <v>46.59</v>
      </c>
    </row>
    <row r="124" spans="1:2" x14ac:dyDescent="0.35">
      <c r="A124">
        <v>40.53</v>
      </c>
      <c r="B124">
        <v>55.51</v>
      </c>
    </row>
    <row r="125" spans="1:2" x14ac:dyDescent="0.35">
      <c r="A125">
        <v>40.83</v>
      </c>
      <c r="B125">
        <v>56.51</v>
      </c>
    </row>
    <row r="126" spans="1:2" x14ac:dyDescent="0.35">
      <c r="A126">
        <v>40.83</v>
      </c>
      <c r="B126">
        <v>67.09</v>
      </c>
    </row>
    <row r="127" spans="1:2" x14ac:dyDescent="0.35">
      <c r="A127">
        <v>40.83</v>
      </c>
      <c r="B127">
        <v>57.09</v>
      </c>
    </row>
    <row r="128" spans="1:2" x14ac:dyDescent="0.35">
      <c r="A128">
        <v>40.83</v>
      </c>
      <c r="B128">
        <v>67.09</v>
      </c>
    </row>
    <row r="129" spans="1:2" x14ac:dyDescent="0.35">
      <c r="A129">
        <v>53.42</v>
      </c>
      <c r="B129">
        <v>55.09</v>
      </c>
    </row>
    <row r="130" spans="1:2" x14ac:dyDescent="0.35">
      <c r="A130">
        <v>50.83</v>
      </c>
      <c r="B130">
        <v>50.34</v>
      </c>
    </row>
    <row r="131" spans="1:2" x14ac:dyDescent="0.35">
      <c r="A131">
        <v>50.83</v>
      </c>
      <c r="B131">
        <v>50.34</v>
      </c>
    </row>
    <row r="132" spans="1:2" x14ac:dyDescent="0.35">
      <c r="A132">
        <v>50.83</v>
      </c>
      <c r="B132">
        <v>45.34</v>
      </c>
    </row>
    <row r="133" spans="1:2" x14ac:dyDescent="0.35">
      <c r="A133">
        <v>50.83</v>
      </c>
      <c r="B133">
        <v>47.76</v>
      </c>
    </row>
    <row r="134" spans="1:2" x14ac:dyDescent="0.35">
      <c r="A134">
        <v>53.42</v>
      </c>
      <c r="B134">
        <v>41.51</v>
      </c>
    </row>
    <row r="135" spans="1:2" x14ac:dyDescent="0.35">
      <c r="A135">
        <v>53.42</v>
      </c>
      <c r="B135">
        <v>41.09</v>
      </c>
    </row>
    <row r="136" spans="1:2" x14ac:dyDescent="0.35">
      <c r="A136">
        <v>5.58</v>
      </c>
      <c r="B136">
        <v>19.25</v>
      </c>
    </row>
    <row r="137" spans="1:2" x14ac:dyDescent="0.35">
      <c r="A137">
        <v>5.58</v>
      </c>
      <c r="B137">
        <v>19.25</v>
      </c>
    </row>
    <row r="138" spans="1:2" x14ac:dyDescent="0.35">
      <c r="A138">
        <v>5.58</v>
      </c>
      <c r="B138">
        <v>19.25</v>
      </c>
    </row>
    <row r="139" spans="1:2" x14ac:dyDescent="0.35">
      <c r="A139">
        <v>6.58</v>
      </c>
      <c r="B139">
        <v>19.25</v>
      </c>
    </row>
    <row r="140" spans="1:2" x14ac:dyDescent="0.35">
      <c r="A140">
        <v>5.58</v>
      </c>
      <c r="B140">
        <v>19.25</v>
      </c>
    </row>
    <row r="141" spans="1:2" x14ac:dyDescent="0.35">
      <c r="A141">
        <v>5.58</v>
      </c>
      <c r="B141">
        <v>19.25</v>
      </c>
    </row>
    <row r="142" spans="1:2" x14ac:dyDescent="0.35">
      <c r="A142">
        <v>20.58</v>
      </c>
      <c r="B142">
        <v>28.25</v>
      </c>
    </row>
    <row r="143" spans="1:2" x14ac:dyDescent="0.35">
      <c r="A143">
        <v>20.58</v>
      </c>
      <c r="B143">
        <v>28.25</v>
      </c>
    </row>
    <row r="144" spans="1:2" x14ac:dyDescent="0.35">
      <c r="A144">
        <v>20.55</v>
      </c>
      <c r="B144">
        <v>28.25</v>
      </c>
    </row>
    <row r="145" spans="1:2" x14ac:dyDescent="0.35">
      <c r="A145">
        <v>20.58</v>
      </c>
      <c r="B145">
        <v>28.25</v>
      </c>
    </row>
    <row r="146" spans="1:2" x14ac:dyDescent="0.35">
      <c r="A146">
        <v>20.58</v>
      </c>
      <c r="B146">
        <v>28.25</v>
      </c>
    </row>
    <row r="147" spans="1:2" x14ac:dyDescent="0.35">
      <c r="A147">
        <v>20.58</v>
      </c>
      <c r="B147">
        <v>28.25</v>
      </c>
    </row>
    <row r="148" spans="1:2" x14ac:dyDescent="0.35">
      <c r="A148">
        <v>28.75</v>
      </c>
      <c r="B148">
        <v>32.42</v>
      </c>
    </row>
    <row r="149" spans="1:2" x14ac:dyDescent="0.35">
      <c r="A149">
        <v>28.75</v>
      </c>
      <c r="B149">
        <v>32.42</v>
      </c>
    </row>
    <row r="150" spans="1:2" x14ac:dyDescent="0.35">
      <c r="A150">
        <v>28.75</v>
      </c>
      <c r="B150">
        <v>32.42</v>
      </c>
    </row>
    <row r="151" spans="1:2" x14ac:dyDescent="0.35">
      <c r="A151">
        <v>28.75</v>
      </c>
      <c r="B151">
        <v>32.42</v>
      </c>
    </row>
    <row r="152" spans="1:2" x14ac:dyDescent="0.35">
      <c r="A152">
        <v>28.75</v>
      </c>
      <c r="B152">
        <v>32.42</v>
      </c>
    </row>
    <row r="153" spans="1:2" x14ac:dyDescent="0.35">
      <c r="A153">
        <v>28.75</v>
      </c>
      <c r="B153">
        <v>32.42</v>
      </c>
    </row>
    <row r="154" spans="1:2" x14ac:dyDescent="0.35">
      <c r="A154">
        <v>39.25</v>
      </c>
      <c r="B154">
        <v>56.92</v>
      </c>
    </row>
    <row r="155" spans="1:2" x14ac:dyDescent="0.35">
      <c r="A155">
        <v>39.25</v>
      </c>
      <c r="B155">
        <v>60.92</v>
      </c>
    </row>
    <row r="156" spans="1:2" x14ac:dyDescent="0.35">
      <c r="A156">
        <v>39.25</v>
      </c>
      <c r="B156">
        <v>59.92</v>
      </c>
    </row>
    <row r="157" spans="1:2" x14ac:dyDescent="0.35">
      <c r="A157">
        <v>39.25</v>
      </c>
      <c r="B157">
        <v>59.34</v>
      </c>
    </row>
    <row r="158" spans="1:2" x14ac:dyDescent="0.35">
      <c r="A158">
        <v>39.25</v>
      </c>
      <c r="B158">
        <v>57.92</v>
      </c>
    </row>
    <row r="159" spans="1:2" x14ac:dyDescent="0.35">
      <c r="A159">
        <v>49.75</v>
      </c>
      <c r="B159">
        <v>47.42</v>
      </c>
    </row>
    <row r="160" spans="1:2" x14ac:dyDescent="0.35">
      <c r="A160">
        <v>49.75</v>
      </c>
      <c r="B160">
        <v>48.42</v>
      </c>
    </row>
    <row r="161" spans="1:2" x14ac:dyDescent="0.35">
      <c r="A161">
        <v>49.75</v>
      </c>
      <c r="B161">
        <v>48.42</v>
      </c>
    </row>
    <row r="162" spans="1:2" x14ac:dyDescent="0.35">
      <c r="A162">
        <v>49.75</v>
      </c>
      <c r="B162">
        <v>48.42</v>
      </c>
    </row>
    <row r="163" spans="1:2" x14ac:dyDescent="0.35">
      <c r="A163">
        <v>53.42</v>
      </c>
      <c r="B163">
        <v>45.09</v>
      </c>
    </row>
    <row r="164" spans="1:2" x14ac:dyDescent="0.35">
      <c r="A164">
        <v>13.42</v>
      </c>
      <c r="B164">
        <v>22.09</v>
      </c>
    </row>
    <row r="165" spans="1:2" x14ac:dyDescent="0.35">
      <c r="A165">
        <v>6.97</v>
      </c>
      <c r="B165">
        <v>26.64</v>
      </c>
    </row>
    <row r="166" spans="1:2" x14ac:dyDescent="0.35">
      <c r="A166">
        <v>6.97</v>
      </c>
      <c r="B166">
        <v>26.64</v>
      </c>
    </row>
    <row r="167" spans="1:2" x14ac:dyDescent="0.35">
      <c r="A167">
        <v>6.97</v>
      </c>
      <c r="B167">
        <v>26.64</v>
      </c>
    </row>
    <row r="168" spans="1:2" x14ac:dyDescent="0.35">
      <c r="A168">
        <v>8.42</v>
      </c>
      <c r="B168">
        <v>22.09</v>
      </c>
    </row>
    <row r="169" spans="1:2" x14ac:dyDescent="0.35">
      <c r="A169">
        <v>21.67</v>
      </c>
      <c r="B169">
        <v>29.34</v>
      </c>
    </row>
    <row r="170" spans="1:2" x14ac:dyDescent="0.35">
      <c r="A170">
        <v>21.67</v>
      </c>
      <c r="B170">
        <v>29.34</v>
      </c>
    </row>
    <row r="171" spans="1:2" x14ac:dyDescent="0.35">
      <c r="A171">
        <v>21.67</v>
      </c>
      <c r="B171">
        <v>29.34</v>
      </c>
    </row>
    <row r="172" spans="1:2" x14ac:dyDescent="0.35">
      <c r="A172">
        <v>28.42</v>
      </c>
      <c r="B172">
        <v>37.090000000000003</v>
      </c>
    </row>
    <row r="173" spans="1:2" x14ac:dyDescent="0.35">
      <c r="A173">
        <v>31.67</v>
      </c>
      <c r="B173">
        <v>34.340000000000003</v>
      </c>
    </row>
    <row r="174" spans="1:2" x14ac:dyDescent="0.35">
      <c r="A174">
        <v>31.67</v>
      </c>
      <c r="B174">
        <v>35.340000000000003</v>
      </c>
    </row>
    <row r="175" spans="1:2" x14ac:dyDescent="0.35">
      <c r="A175">
        <v>31.67</v>
      </c>
      <c r="B175">
        <v>29.34</v>
      </c>
    </row>
    <row r="176" spans="1:2" x14ac:dyDescent="0.35">
      <c r="A176">
        <v>38.42</v>
      </c>
      <c r="B176">
        <v>59.09</v>
      </c>
    </row>
    <row r="177" spans="1:2" x14ac:dyDescent="0.35">
      <c r="A177">
        <v>41.67</v>
      </c>
      <c r="B177">
        <v>61.34</v>
      </c>
    </row>
    <row r="178" spans="1:2" x14ac:dyDescent="0.35">
      <c r="A178">
        <v>41.67</v>
      </c>
      <c r="B178">
        <v>60.34</v>
      </c>
    </row>
    <row r="179" spans="1:2" x14ac:dyDescent="0.35">
      <c r="A179">
        <v>41.67</v>
      </c>
      <c r="B179">
        <v>61.34</v>
      </c>
    </row>
    <row r="180" spans="1:2" x14ac:dyDescent="0.35">
      <c r="A180">
        <v>53.42</v>
      </c>
      <c r="B180">
        <v>49.09</v>
      </c>
    </row>
    <row r="181" spans="1:2" x14ac:dyDescent="0.35">
      <c r="A181">
        <v>13.42</v>
      </c>
      <c r="B181">
        <v>11.59</v>
      </c>
    </row>
    <row r="182" spans="1:2" x14ac:dyDescent="0.35">
      <c r="A182">
        <v>13.42</v>
      </c>
      <c r="B182">
        <v>14.09</v>
      </c>
    </row>
    <row r="183" spans="1:2" x14ac:dyDescent="0.35">
      <c r="A183">
        <v>10.83</v>
      </c>
      <c r="B183">
        <v>26.5</v>
      </c>
    </row>
    <row r="184" spans="1:2" x14ac:dyDescent="0.35">
      <c r="A184">
        <v>10.83</v>
      </c>
      <c r="B184">
        <v>24.5</v>
      </c>
    </row>
    <row r="185" spans="1:2" x14ac:dyDescent="0.35">
      <c r="A185">
        <v>10.83</v>
      </c>
      <c r="B185">
        <v>33.92</v>
      </c>
    </row>
    <row r="186" spans="1:2" x14ac:dyDescent="0.35">
      <c r="A186">
        <v>10.83</v>
      </c>
      <c r="B186">
        <v>32.92</v>
      </c>
    </row>
    <row r="187" spans="1:2" x14ac:dyDescent="0.35">
      <c r="A187">
        <v>10.83</v>
      </c>
      <c r="B187">
        <v>16.09</v>
      </c>
    </row>
    <row r="188" spans="1:2" x14ac:dyDescent="0.35">
      <c r="A188">
        <v>15.42</v>
      </c>
      <c r="B188">
        <v>18.510000000000002</v>
      </c>
    </row>
    <row r="189" spans="1:2" x14ac:dyDescent="0.35">
      <c r="A189">
        <v>15.42</v>
      </c>
      <c r="B189">
        <v>28.09</v>
      </c>
    </row>
    <row r="190" spans="1:2" x14ac:dyDescent="0.35">
      <c r="A190">
        <v>15.42</v>
      </c>
      <c r="B190">
        <v>29.09</v>
      </c>
    </row>
    <row r="191" spans="1:2" x14ac:dyDescent="0.35">
      <c r="A191">
        <v>15.42</v>
      </c>
      <c r="B191">
        <v>29.09</v>
      </c>
    </row>
    <row r="192" spans="1:2" x14ac:dyDescent="0.35">
      <c r="A192">
        <v>9.42</v>
      </c>
      <c r="B192">
        <v>14.09</v>
      </c>
    </row>
    <row r="193" spans="1:2" x14ac:dyDescent="0.35">
      <c r="A193">
        <v>9.42</v>
      </c>
      <c r="B193">
        <v>14.09</v>
      </c>
    </row>
    <row r="194" spans="1:2" x14ac:dyDescent="0.35">
      <c r="A194">
        <v>9.42</v>
      </c>
      <c r="B194">
        <v>14.09</v>
      </c>
    </row>
    <row r="195" spans="1:2" x14ac:dyDescent="0.35">
      <c r="A195">
        <v>9.42</v>
      </c>
      <c r="B195">
        <v>14.09</v>
      </c>
    </row>
    <row r="196" spans="1:2" x14ac:dyDescent="0.35">
      <c r="A196">
        <v>9.42</v>
      </c>
      <c r="B196">
        <v>14.09</v>
      </c>
    </row>
    <row r="197" spans="1:2" x14ac:dyDescent="0.35">
      <c r="A197">
        <v>10.58</v>
      </c>
      <c r="B197">
        <v>23.25</v>
      </c>
    </row>
    <row r="198" spans="1:2" x14ac:dyDescent="0.35">
      <c r="A198">
        <v>10.58</v>
      </c>
      <c r="B198">
        <v>23.25</v>
      </c>
    </row>
    <row r="199" spans="1:2" x14ac:dyDescent="0.35">
      <c r="A199">
        <v>10.55</v>
      </c>
      <c r="B199">
        <v>23.25</v>
      </c>
    </row>
    <row r="200" spans="1:2" x14ac:dyDescent="0.35">
      <c r="A200">
        <v>10.58</v>
      </c>
      <c r="B200">
        <v>23.25</v>
      </c>
    </row>
    <row r="201" spans="1:2" x14ac:dyDescent="0.35">
      <c r="A201">
        <v>10.58</v>
      </c>
      <c r="B201">
        <v>23.25</v>
      </c>
    </row>
    <row r="202" spans="1:2" x14ac:dyDescent="0.35">
      <c r="A202">
        <v>10.55</v>
      </c>
      <c r="B202">
        <v>26.25</v>
      </c>
    </row>
    <row r="203" spans="1:2" x14ac:dyDescent="0.35">
      <c r="A203">
        <v>20.55</v>
      </c>
      <c r="B203">
        <v>29.25</v>
      </c>
    </row>
    <row r="204" spans="1:2" x14ac:dyDescent="0.35">
      <c r="A204">
        <v>20.55</v>
      </c>
      <c r="B204">
        <v>31.25</v>
      </c>
    </row>
    <row r="205" spans="1:2" x14ac:dyDescent="0.35">
      <c r="A205">
        <v>20.58</v>
      </c>
      <c r="B205">
        <v>30.25</v>
      </c>
    </row>
    <row r="206" spans="1:2" x14ac:dyDescent="0.35">
      <c r="A206">
        <v>20.55</v>
      </c>
      <c r="B206">
        <v>31.25</v>
      </c>
    </row>
    <row r="207" spans="1:2" x14ac:dyDescent="0.35">
      <c r="A207">
        <v>20.58</v>
      </c>
      <c r="B207">
        <v>31.25</v>
      </c>
    </row>
    <row r="208" spans="1:2" x14ac:dyDescent="0.35">
      <c r="A208">
        <v>20.55</v>
      </c>
      <c r="B208">
        <v>32.25</v>
      </c>
    </row>
    <row r="209" spans="1:2" x14ac:dyDescent="0.35">
      <c r="A209">
        <v>30.58</v>
      </c>
      <c r="B209">
        <v>31.25</v>
      </c>
    </row>
    <row r="210" spans="1:2" x14ac:dyDescent="0.35">
      <c r="A210">
        <v>30.55</v>
      </c>
      <c r="B210">
        <v>32.25</v>
      </c>
    </row>
    <row r="211" spans="1:2" x14ac:dyDescent="0.35">
      <c r="A211">
        <v>30.58</v>
      </c>
      <c r="B211">
        <v>31.25</v>
      </c>
    </row>
    <row r="212" spans="1:2" x14ac:dyDescent="0.35">
      <c r="A212">
        <v>30.58</v>
      </c>
      <c r="B212">
        <v>32.25</v>
      </c>
    </row>
    <row r="213" spans="1:2" x14ac:dyDescent="0.35">
      <c r="A213">
        <v>30.58</v>
      </c>
      <c r="B213">
        <v>31.25</v>
      </c>
    </row>
    <row r="214" spans="1:2" x14ac:dyDescent="0.35">
      <c r="A214">
        <v>30.55</v>
      </c>
      <c r="B214">
        <v>29.25</v>
      </c>
    </row>
    <row r="215" spans="1:2" x14ac:dyDescent="0.35">
      <c r="A215">
        <v>40.83</v>
      </c>
      <c r="B215">
        <v>61.5</v>
      </c>
    </row>
    <row r="216" spans="1:2" x14ac:dyDescent="0.35">
      <c r="A216">
        <v>40.83</v>
      </c>
      <c r="B216">
        <v>61.5</v>
      </c>
    </row>
    <row r="217" spans="1:2" x14ac:dyDescent="0.35">
      <c r="A217">
        <v>40.83</v>
      </c>
      <c r="B217">
        <v>58.5</v>
      </c>
    </row>
    <row r="218" spans="1:2" x14ac:dyDescent="0.35">
      <c r="A218">
        <v>40.83</v>
      </c>
      <c r="B218">
        <v>57.92</v>
      </c>
    </row>
    <row r="219" spans="1:2" x14ac:dyDescent="0.35">
      <c r="A219">
        <v>40.83</v>
      </c>
      <c r="B219">
        <v>57.5</v>
      </c>
    </row>
    <row r="220" spans="1:2" x14ac:dyDescent="0.35">
      <c r="A220">
        <v>50.83</v>
      </c>
      <c r="B220">
        <v>51.5</v>
      </c>
    </row>
    <row r="221" spans="1:2" x14ac:dyDescent="0.35">
      <c r="A221">
        <v>50.83</v>
      </c>
      <c r="B221">
        <v>51.5</v>
      </c>
    </row>
    <row r="222" spans="1:2" x14ac:dyDescent="0.35">
      <c r="A222">
        <v>50.83</v>
      </c>
      <c r="B222">
        <v>49.5</v>
      </c>
    </row>
    <row r="223" spans="1:2" x14ac:dyDescent="0.35">
      <c r="A223">
        <v>50.83</v>
      </c>
      <c r="B223">
        <v>48.5</v>
      </c>
    </row>
    <row r="224" spans="1:2" x14ac:dyDescent="0.35">
      <c r="A224">
        <v>63.42</v>
      </c>
      <c r="B224">
        <v>49.09</v>
      </c>
    </row>
    <row r="225" spans="1:2" x14ac:dyDescent="0.35">
      <c r="A225">
        <v>53.42</v>
      </c>
      <c r="B225">
        <v>52.09</v>
      </c>
    </row>
    <row r="226" spans="1:2" x14ac:dyDescent="0.35">
      <c r="A226">
        <v>22.58</v>
      </c>
      <c r="B226">
        <v>23.25</v>
      </c>
    </row>
    <row r="227" spans="1:2" x14ac:dyDescent="0.35">
      <c r="A227">
        <v>22.58</v>
      </c>
      <c r="B227">
        <v>21.25</v>
      </c>
    </row>
    <row r="228" spans="1:2" x14ac:dyDescent="0.35">
      <c r="A228">
        <v>20.83</v>
      </c>
      <c r="B228">
        <v>22.5</v>
      </c>
    </row>
    <row r="229" spans="1:2" x14ac:dyDescent="0.35">
      <c r="A229">
        <v>20.83</v>
      </c>
      <c r="B229">
        <v>22.5</v>
      </c>
    </row>
    <row r="230" spans="1:2" x14ac:dyDescent="0.35">
      <c r="A230">
        <v>20.83</v>
      </c>
      <c r="B230">
        <v>27.5</v>
      </c>
    </row>
    <row r="231" spans="1:2" x14ac:dyDescent="0.35">
      <c r="A231">
        <v>20.83</v>
      </c>
      <c r="B231">
        <v>25.92</v>
      </c>
    </row>
    <row r="232" spans="1:2" x14ac:dyDescent="0.35">
      <c r="A232">
        <v>22.68</v>
      </c>
      <c r="B232">
        <v>37.25</v>
      </c>
    </row>
    <row r="233" spans="1:2" x14ac:dyDescent="0.35">
      <c r="A233">
        <v>20.83</v>
      </c>
      <c r="B233">
        <v>22.92</v>
      </c>
    </row>
    <row r="234" spans="1:2" x14ac:dyDescent="0.35">
      <c r="A234">
        <v>20.83</v>
      </c>
      <c r="B234">
        <v>26.92</v>
      </c>
    </row>
    <row r="235" spans="1:2" x14ac:dyDescent="0.35">
      <c r="A235">
        <v>20.83</v>
      </c>
      <c r="B235">
        <v>21.5</v>
      </c>
    </row>
    <row r="236" spans="1:2" x14ac:dyDescent="0.35">
      <c r="A236">
        <v>20.83</v>
      </c>
      <c r="B236">
        <v>22.5</v>
      </c>
    </row>
    <row r="237" spans="1:2" x14ac:dyDescent="0.35">
      <c r="A237">
        <v>24.83</v>
      </c>
      <c r="B237">
        <v>33.5</v>
      </c>
    </row>
    <row r="238" spans="1:2" x14ac:dyDescent="0.35">
      <c r="A238">
        <v>24.83</v>
      </c>
      <c r="B238">
        <v>33.5</v>
      </c>
    </row>
    <row r="239" spans="1:2" x14ac:dyDescent="0.35">
      <c r="A239">
        <v>24.83</v>
      </c>
      <c r="B239">
        <v>31.5</v>
      </c>
    </row>
    <row r="240" spans="1:2" x14ac:dyDescent="0.35">
      <c r="A240">
        <v>24.83</v>
      </c>
      <c r="B240">
        <v>32.5</v>
      </c>
    </row>
    <row r="241" spans="1:2" x14ac:dyDescent="0.35">
      <c r="A241">
        <v>10.83</v>
      </c>
      <c r="B241">
        <v>14.5</v>
      </c>
    </row>
    <row r="242" spans="1:2" x14ac:dyDescent="0.35">
      <c r="A242">
        <v>10.83</v>
      </c>
      <c r="B242">
        <v>17.5</v>
      </c>
    </row>
    <row r="243" spans="1:2" x14ac:dyDescent="0.35">
      <c r="A243">
        <v>10.83</v>
      </c>
      <c r="B243">
        <v>14.5</v>
      </c>
    </row>
    <row r="244" spans="1:2" x14ac:dyDescent="0.35">
      <c r="A244">
        <v>10.83</v>
      </c>
      <c r="B244">
        <v>14.5</v>
      </c>
    </row>
    <row r="245" spans="1:2" x14ac:dyDescent="0.35">
      <c r="A245">
        <v>11.67</v>
      </c>
      <c r="B245">
        <v>17.5</v>
      </c>
    </row>
    <row r="246" spans="1:2" x14ac:dyDescent="0.35">
      <c r="A246">
        <v>11.67</v>
      </c>
      <c r="B246">
        <v>17.5</v>
      </c>
    </row>
    <row r="247" spans="1:2" x14ac:dyDescent="0.35">
      <c r="A247">
        <v>11.67</v>
      </c>
      <c r="B247">
        <v>17.5</v>
      </c>
    </row>
    <row r="248" spans="1:2" x14ac:dyDescent="0.35">
      <c r="A248">
        <v>11.67</v>
      </c>
      <c r="B248">
        <v>17.5</v>
      </c>
    </row>
    <row r="249" spans="1:2" x14ac:dyDescent="0.35">
      <c r="A249">
        <v>20.83</v>
      </c>
      <c r="B249">
        <v>26.5</v>
      </c>
    </row>
    <row r="250" spans="1:2" x14ac:dyDescent="0.35">
      <c r="A250">
        <v>20.83</v>
      </c>
      <c r="B250">
        <v>31.5</v>
      </c>
    </row>
    <row r="251" spans="1:2" x14ac:dyDescent="0.35">
      <c r="A251">
        <v>20.83</v>
      </c>
      <c r="B251">
        <v>28.5</v>
      </c>
    </row>
    <row r="252" spans="1:2" x14ac:dyDescent="0.35">
      <c r="A252">
        <v>20.83</v>
      </c>
      <c r="B252">
        <v>26.5</v>
      </c>
    </row>
    <row r="253" spans="1:2" x14ac:dyDescent="0.35">
      <c r="A253">
        <v>25.83</v>
      </c>
      <c r="B253">
        <v>34.5</v>
      </c>
    </row>
    <row r="254" spans="1:2" x14ac:dyDescent="0.35">
      <c r="A254">
        <v>25.83</v>
      </c>
      <c r="B254">
        <v>34.5</v>
      </c>
    </row>
    <row r="255" spans="1:2" x14ac:dyDescent="0.35">
      <c r="A255">
        <v>25.83</v>
      </c>
      <c r="B255">
        <v>34.5</v>
      </c>
    </row>
    <row r="256" spans="1:2" x14ac:dyDescent="0.35">
      <c r="A256">
        <v>25.83</v>
      </c>
      <c r="B256">
        <v>34.5</v>
      </c>
    </row>
    <row r="257" spans="1:2" x14ac:dyDescent="0.35">
      <c r="A257">
        <v>30.83</v>
      </c>
      <c r="B257">
        <v>29.92</v>
      </c>
    </row>
    <row r="258" spans="1:2" x14ac:dyDescent="0.35">
      <c r="A258">
        <v>30.83</v>
      </c>
      <c r="B258">
        <v>30.92</v>
      </c>
    </row>
    <row r="259" spans="1:2" x14ac:dyDescent="0.35">
      <c r="A259">
        <v>30.83</v>
      </c>
      <c r="B259">
        <v>31.5</v>
      </c>
    </row>
    <row r="260" spans="1:2" x14ac:dyDescent="0.35">
      <c r="A260">
        <v>30.83</v>
      </c>
      <c r="B260">
        <v>34.5</v>
      </c>
    </row>
    <row r="261" spans="1:2" x14ac:dyDescent="0.35">
      <c r="A261">
        <v>40.83</v>
      </c>
      <c r="B261">
        <v>66.5</v>
      </c>
    </row>
    <row r="262" spans="1:2" x14ac:dyDescent="0.35">
      <c r="A262">
        <v>40.83</v>
      </c>
      <c r="B262">
        <v>69.5</v>
      </c>
    </row>
    <row r="263" spans="1:2" x14ac:dyDescent="0.35">
      <c r="A263">
        <v>40.83</v>
      </c>
      <c r="B263">
        <v>68.5</v>
      </c>
    </row>
    <row r="264" spans="1:2" x14ac:dyDescent="0.35">
      <c r="A264">
        <v>40.53</v>
      </c>
      <c r="B264">
        <v>66.5</v>
      </c>
    </row>
    <row r="265" spans="1:2" x14ac:dyDescent="0.35">
      <c r="A265">
        <v>50.83</v>
      </c>
      <c r="B265">
        <v>53.34</v>
      </c>
    </row>
    <row r="266" spans="1:2" x14ac:dyDescent="0.35">
      <c r="A266">
        <v>50.83</v>
      </c>
      <c r="B266">
        <v>54.34</v>
      </c>
    </row>
    <row r="267" spans="1:2" x14ac:dyDescent="0.35">
      <c r="A267">
        <v>50.83</v>
      </c>
      <c r="B267">
        <v>61.76</v>
      </c>
    </row>
    <row r="268" spans="1:2" x14ac:dyDescent="0.35">
      <c r="A268">
        <v>50.83</v>
      </c>
      <c r="B268">
        <v>51.34</v>
      </c>
    </row>
    <row r="269" spans="1:2" x14ac:dyDescent="0.35">
      <c r="A269">
        <v>53.42</v>
      </c>
      <c r="B269">
        <v>52.09</v>
      </c>
    </row>
    <row r="270" spans="1:2" x14ac:dyDescent="0.35">
      <c r="A270">
        <v>53.42</v>
      </c>
      <c r="B270">
        <v>52.09</v>
      </c>
    </row>
    <row r="271" spans="1:2" x14ac:dyDescent="0.35">
      <c r="A271">
        <v>53.42</v>
      </c>
      <c r="B271">
        <v>52.09</v>
      </c>
    </row>
    <row r="272" spans="1:2" x14ac:dyDescent="0.35">
      <c r="A272">
        <v>22.58</v>
      </c>
      <c r="B272">
        <v>38.25</v>
      </c>
    </row>
    <row r="273" spans="1:2" x14ac:dyDescent="0.35">
      <c r="A273">
        <v>22.58</v>
      </c>
      <c r="B273">
        <v>43.25</v>
      </c>
    </row>
    <row r="274" spans="1:2" x14ac:dyDescent="0.35">
      <c r="A274">
        <v>22.58</v>
      </c>
      <c r="B274">
        <v>50.25</v>
      </c>
    </row>
    <row r="275" spans="1:2" x14ac:dyDescent="0.35">
      <c r="A275">
        <v>20.83</v>
      </c>
      <c r="B275">
        <v>29.5</v>
      </c>
    </row>
    <row r="276" spans="1:2" x14ac:dyDescent="0.35">
      <c r="A276">
        <v>20.83</v>
      </c>
      <c r="B276">
        <v>29.5</v>
      </c>
    </row>
    <row r="277" spans="1:2" x14ac:dyDescent="0.35">
      <c r="A277">
        <v>20.83</v>
      </c>
      <c r="B277">
        <v>38</v>
      </c>
    </row>
    <row r="278" spans="1:2" x14ac:dyDescent="0.35">
      <c r="A278">
        <v>25.42</v>
      </c>
      <c r="B278">
        <v>31.69</v>
      </c>
    </row>
    <row r="279" spans="1:2" x14ac:dyDescent="0.35">
      <c r="A279">
        <v>26.67</v>
      </c>
      <c r="B279">
        <v>27.34</v>
      </c>
    </row>
    <row r="280" spans="1:2" x14ac:dyDescent="0.35">
      <c r="A280">
        <v>26.67</v>
      </c>
      <c r="B280">
        <v>32.340000000000003</v>
      </c>
    </row>
    <row r="281" spans="1:2" x14ac:dyDescent="0.35">
      <c r="A281">
        <v>26.67</v>
      </c>
      <c r="B281">
        <v>26.76</v>
      </c>
    </row>
    <row r="282" spans="1:2" x14ac:dyDescent="0.35">
      <c r="A282">
        <v>23.42</v>
      </c>
      <c r="B282">
        <v>10.51</v>
      </c>
    </row>
    <row r="283" spans="1:2" x14ac:dyDescent="0.35">
      <c r="A283">
        <v>11.67</v>
      </c>
      <c r="B283">
        <v>18.34</v>
      </c>
    </row>
    <row r="284" spans="1:2" x14ac:dyDescent="0.35">
      <c r="A284">
        <v>11.67</v>
      </c>
      <c r="B284">
        <v>18.34</v>
      </c>
    </row>
    <row r="285" spans="1:2" x14ac:dyDescent="0.35">
      <c r="A285">
        <v>11.67</v>
      </c>
      <c r="B285">
        <v>18.34</v>
      </c>
    </row>
    <row r="286" spans="1:2" x14ac:dyDescent="0.35">
      <c r="A286">
        <v>13.42</v>
      </c>
      <c r="B286">
        <v>8.09</v>
      </c>
    </row>
    <row r="287" spans="1:2" x14ac:dyDescent="0.35">
      <c r="A287">
        <v>11.67</v>
      </c>
      <c r="B287">
        <v>22.34</v>
      </c>
    </row>
    <row r="288" spans="1:2" x14ac:dyDescent="0.35">
      <c r="A288">
        <v>11.67</v>
      </c>
      <c r="B288">
        <v>21.34</v>
      </c>
    </row>
    <row r="289" spans="1:2" x14ac:dyDescent="0.35">
      <c r="A289">
        <v>11.67</v>
      </c>
      <c r="B289">
        <v>21.34</v>
      </c>
    </row>
    <row r="290" spans="1:2" x14ac:dyDescent="0.35">
      <c r="A290">
        <v>13.42</v>
      </c>
      <c r="B290">
        <v>16.09</v>
      </c>
    </row>
    <row r="291" spans="1:2" x14ac:dyDescent="0.35">
      <c r="A291">
        <v>21.67</v>
      </c>
      <c r="B291">
        <v>29.34</v>
      </c>
    </row>
    <row r="292" spans="1:2" x14ac:dyDescent="0.35">
      <c r="A292">
        <v>21.67</v>
      </c>
      <c r="B292">
        <v>30.34</v>
      </c>
    </row>
    <row r="293" spans="1:2" x14ac:dyDescent="0.35">
      <c r="A293">
        <v>21.67</v>
      </c>
      <c r="B293">
        <v>30.34</v>
      </c>
    </row>
    <row r="294" spans="1:2" x14ac:dyDescent="0.35">
      <c r="A294">
        <v>28.42</v>
      </c>
      <c r="B294">
        <v>31.09</v>
      </c>
    </row>
    <row r="295" spans="1:2" x14ac:dyDescent="0.35">
      <c r="A295">
        <v>26.67</v>
      </c>
      <c r="B295">
        <v>24.34</v>
      </c>
    </row>
    <row r="296" spans="1:2" x14ac:dyDescent="0.35">
      <c r="A296">
        <v>26.67</v>
      </c>
      <c r="B296">
        <v>35.340000000000003</v>
      </c>
    </row>
    <row r="297" spans="1:2" x14ac:dyDescent="0.35">
      <c r="A297">
        <v>26.67</v>
      </c>
      <c r="B297">
        <v>35.340000000000003</v>
      </c>
    </row>
    <row r="298" spans="1:2" x14ac:dyDescent="0.35">
      <c r="A298">
        <v>28.42</v>
      </c>
      <c r="B298">
        <v>37.090000000000003</v>
      </c>
    </row>
    <row r="299" spans="1:2" x14ac:dyDescent="0.35">
      <c r="A299">
        <v>31.67</v>
      </c>
      <c r="B299">
        <v>37.340000000000003</v>
      </c>
    </row>
    <row r="300" spans="1:2" x14ac:dyDescent="0.35">
      <c r="A300">
        <v>31.67</v>
      </c>
      <c r="B300">
        <v>37.340000000000003</v>
      </c>
    </row>
    <row r="301" spans="1:2" x14ac:dyDescent="0.35">
      <c r="A301">
        <v>31.67</v>
      </c>
      <c r="B301">
        <v>39.76</v>
      </c>
    </row>
    <row r="302" spans="1:2" x14ac:dyDescent="0.35">
      <c r="A302">
        <v>38.42</v>
      </c>
      <c r="B302">
        <v>63.09</v>
      </c>
    </row>
    <row r="303" spans="1:2" x14ac:dyDescent="0.35">
      <c r="A303">
        <v>41.67</v>
      </c>
      <c r="B303">
        <v>67.34</v>
      </c>
    </row>
    <row r="304" spans="1:2" x14ac:dyDescent="0.35">
      <c r="A304">
        <v>41.67</v>
      </c>
      <c r="B304">
        <v>67.34</v>
      </c>
    </row>
    <row r="305" spans="1:2" x14ac:dyDescent="0.35">
      <c r="A305">
        <v>41.67</v>
      </c>
      <c r="B305">
        <v>67.34</v>
      </c>
    </row>
    <row r="306" spans="1:2" x14ac:dyDescent="0.35">
      <c r="A306">
        <v>53.42</v>
      </c>
      <c r="B306">
        <v>64.09</v>
      </c>
    </row>
    <row r="307" spans="1:2" x14ac:dyDescent="0.35">
      <c r="A307">
        <v>51.67</v>
      </c>
      <c r="B307">
        <v>51.34</v>
      </c>
    </row>
    <row r="308" spans="1:2" x14ac:dyDescent="0.35">
      <c r="A308">
        <v>51.67</v>
      </c>
      <c r="B308">
        <v>50.76</v>
      </c>
    </row>
    <row r="309" spans="1:2" x14ac:dyDescent="0.35">
      <c r="A309">
        <v>51.67</v>
      </c>
      <c r="B309">
        <v>46.34</v>
      </c>
    </row>
    <row r="310" spans="1:2" x14ac:dyDescent="0.35">
      <c r="A310">
        <v>53.42</v>
      </c>
      <c r="B310">
        <v>50.09</v>
      </c>
    </row>
    <row r="311" spans="1:2" x14ac:dyDescent="0.35">
      <c r="A311">
        <v>53.42</v>
      </c>
      <c r="B311">
        <v>49.09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 8.9</vt:lpstr>
      <vt:lpstr>P 8.10</vt:lpstr>
      <vt:lpstr>Linear Regression Output 1</vt:lpstr>
      <vt:lpstr>Sheet3_HID</vt:lpstr>
      <vt:lpstr>P 8.11</vt:lpstr>
      <vt:lpstr>SCA_HID</vt:lpstr>
      <vt:lpstr>Linear Regression Output 2</vt:lpstr>
      <vt:lpstr>Sheet9_HID</vt:lpstr>
      <vt:lpstr>Scatter Plot Output 1</vt:lpstr>
      <vt:lpstr>Sheet7_HID</vt:lpstr>
      <vt:lpstr>P 8.13</vt:lpstr>
      <vt:lpstr>Sheet5_HID</vt:lpstr>
      <vt:lpstr>Linear Regression Output 3</vt:lpstr>
      <vt:lpstr>Sheet13_HID</vt:lpstr>
      <vt:lpstr>P 8.15</vt:lpstr>
      <vt:lpstr>SCA1_HID</vt:lpstr>
      <vt:lpstr>Linear Regression Output 4</vt:lpstr>
      <vt:lpstr>Sheet12_HID</vt:lpstr>
      <vt:lpstr>Scatter Plot Output 2</vt:lpstr>
      <vt:lpstr>Sheet10_HID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King</dc:creator>
  <cp:lastModifiedBy>Faisal Alsurayhi</cp:lastModifiedBy>
  <dcterms:created xsi:type="dcterms:W3CDTF">2019-12-24T19:39:24Z</dcterms:created>
  <dcterms:modified xsi:type="dcterms:W3CDTF">2026-03-10T21:47:43Z</dcterms:modified>
</cp:coreProperties>
</file>